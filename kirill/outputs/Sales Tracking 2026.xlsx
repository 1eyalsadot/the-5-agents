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27.xml" ContentType="application/vnd.openxmlformats-officedocument.spreadsheetml.comments+xml"/>
  <Override PartName="/xl/comments26.xml" ContentType="application/vnd.openxmlformats-officedocument.spreadsheetml.comments+xml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7.vml" ContentType="application/vnd.openxmlformats-officedocument.vmlDrawing"/>
  <Override PartName="/xl/drawings/vmlDrawing6.vml" ContentType="application/vnd.openxmlformats-officedocument.vmlDrawing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1.vml" ContentType="application/vnd.openxmlformats-officedocument.vmlDrawing"/>
  <Override PartName="/xl/drawings/vmlDrawing26.vml" ContentType="application/vnd.openxmlformats-officedocument.vmlDrawing"/>
  <Override PartName="/xl/drawings/vmlDrawing14.vml" ContentType="application/vnd.openxmlformats-officedocument.vmlDrawing"/>
  <Override PartName="/xl/drawings/vmlDrawing25.vml" ContentType="application/vnd.openxmlformats-officedocument.vmlDrawing"/>
  <Override PartName="/xl/drawings/vmlDrawing24.vml" ContentType="application/vnd.openxmlformats-officedocument.vmlDrawing"/>
  <Override PartName="/xl/drawings/vmlDrawing23.vml" ContentType="application/vnd.openxmlformats-officedocument.vmlDrawing"/>
  <Override PartName="/xl/drawings/vmlDrawing22.vml" ContentType="application/vnd.openxmlformats-officedocument.vmlDrawing"/>
  <Override PartName="/xl/drawings/vmlDrawing21.vml" ContentType="application/vnd.openxmlformats-officedocument.vmlDrawing"/>
  <Override PartName="/xl/drawings/vmlDrawing19.vml" ContentType="application/vnd.openxmlformats-officedocument.vmlDrawing"/>
  <Override PartName="/xl/drawings/vmlDrawing20.vml" ContentType="application/vnd.openxmlformats-officedocument.vmlDrawing"/>
  <Override PartName="/xl/drawings/vmlDrawing18.vml" ContentType="application/vnd.openxmlformats-officedocument.vmlDrawing"/>
  <Override PartName="/xl/drawings/vmlDrawing17.vml" ContentType="application/vnd.openxmlformats-officedocument.vmlDrawing"/>
  <Override PartName="/xl/drawings/vmlDrawing16.vml" ContentType="application/vnd.openxmlformats-officedocument.vmlDrawing"/>
  <Override PartName="/xl/drawings/vmlDrawing15.vml" ContentType="application/vnd.openxmlformats-officedocument.vmlDrawing"/>
  <Override PartName="/xl/comments20.xml" ContentType="application/vnd.openxmlformats-officedocument.spreadsheetml.comments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comments16.xml" ContentType="application/vnd.openxmlformats-officedocument.spreadsheetml.comments+xml"/>
  <Override PartName="/xl/comments15.xml" ContentType="application/vnd.openxmlformats-officedocument.spreadsheetml.comments+xml"/>
  <Override PartName="/xl/comments5.xml" ContentType="application/vnd.openxmlformats-officedocument.spreadsheetml.comments+xml"/>
  <Override PartName="/xl/comments28.xml" ContentType="application/vnd.openxmlformats-officedocument.spreadsheetml.comments+xml"/>
  <Override PartName="/xl/comments30.xml" ContentType="application/vnd.openxmlformats-officedocument.spreadsheetml.comments+xml"/>
  <Override PartName="/xl/comments29.xml" ContentType="application/vnd.openxmlformats-officedocument.spreadsheetml.comments+xml"/>
  <Override PartName="/xl/comments10.xml" ContentType="application/vnd.openxmlformats-officedocument.spreadsheetml.comments+xml"/>
  <Override PartName="/xl/comments25.xml" ContentType="application/vnd.openxmlformats-officedocument.spreadsheetml.comments+xml"/>
  <Override PartName="/xl/workbook.xml" ContentType="application/vnd.openxmlformats-officedocument.spreadsheetml.sheet.main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_rels/sheet1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30.xml.rels" ContentType="application/vnd.openxmlformats-package.relationships+xml"/>
  <Override PartName="/xl/worksheets/_rels/sheet1.xml.rels" ContentType="application/vnd.openxmlformats-package.relationships+xml"/>
  <Override PartName="/xl/worksheets/_rels/sheet28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29.xml.rels" ContentType="application/vnd.openxmlformats-package.relationships+xml"/>
  <Override PartName="/xl/worksheets/_rels/sheet17.xml.rels" ContentType="application/vnd.openxmlformats-package.relationships+xml"/>
  <Override PartName="/xl/worksheets/_rels/sheet27.xml.rels" ContentType="application/vnd.openxmlformats-package.relationships+xml"/>
  <Override PartName="/xl/worksheets/_rels/sheet26.xml.rels" ContentType="application/vnd.openxmlformats-package.relationships+xml"/>
  <Override PartName="/xl/worksheets/_rels/sheet25.xml.rels" ContentType="application/vnd.openxmlformats-package.relationships+xml"/>
  <Override PartName="/xl/worksheets/_rels/sheet2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19.xml" ContentType="application/vnd.openxmlformats-officedocument.spreadsheetml.comments+xml"/>
  <Override PartName="/xl/comments21.xml" ContentType="application/vnd.openxmlformats-officedocument.spreadsheetml.comments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styles.xml" ContentType="application/vnd.openxmlformats-officedocument.spreadsheetml.style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תקציב  " sheetId="1" state="visible" r:id="rId3"/>
    <sheet name="מצטבר - בחירה" sheetId="2" state="visible" r:id="rId4"/>
    <sheet name="רבעונים" sheetId="3" state="visible" r:id="rId5"/>
    <sheet name="2025" sheetId="4" state="hidden" r:id="rId6"/>
    <sheet name="ינואר" sheetId="5" state="hidden" r:id="rId7"/>
    <sheet name="פברואר" sheetId="6" state="hidden" r:id="rId8"/>
    <sheet name="מצטבר פברואר" sheetId="7" state="hidden" r:id="rId9"/>
    <sheet name="מרץ" sheetId="8" state="hidden" r:id="rId10"/>
    <sheet name="Q1" sheetId="9" state="visible" r:id="rId11"/>
    <sheet name="מצטבר יוני" sheetId="10" state="visible" r:id="rId12"/>
    <sheet name="מצטבר מרץ" sheetId="11" state="hidden" r:id="rId13"/>
    <sheet name="אפריל" sheetId="12" state="hidden" r:id="rId14"/>
    <sheet name="מצטבר אפריל" sheetId="13" state="hidden" r:id="rId15"/>
    <sheet name="מאי" sheetId="14" state="hidden" r:id="rId16"/>
    <sheet name="מצטבר מאי" sheetId="15" state="hidden" r:id="rId17"/>
    <sheet name="יוני" sheetId="16" state="hidden" r:id="rId18"/>
    <sheet name="Q2" sheetId="17" state="visible" r:id="rId19"/>
    <sheet name="יולי" sheetId="18" state="visible" r:id="rId20"/>
    <sheet name="מצטבר יולי" sheetId="19" state="visible" r:id="rId21"/>
    <sheet name="אוגוסט" sheetId="20" state="visible" r:id="rId22"/>
    <sheet name="מצטבר אוגוסט" sheetId="21" state="visible" r:id="rId23"/>
    <sheet name="ספטמבר" sheetId="22" state="visible" r:id="rId24"/>
    <sheet name="מצטבר ספטמבר" sheetId="23" state="visible" r:id="rId25"/>
    <sheet name="Q3" sheetId="24" state="visible" r:id="rId26"/>
    <sheet name="אוקטובר" sheetId="25" state="visible" r:id="rId27"/>
    <sheet name="מצטבר אוקטובר" sheetId="26" state="visible" r:id="rId28"/>
    <sheet name="נובמבר" sheetId="27" state="visible" r:id="rId29"/>
    <sheet name="מצטבר נובמבר" sheetId="28" state="visible" r:id="rId30"/>
    <sheet name="דצמבר" sheetId="29" state="visible" r:id="rId31"/>
    <sheet name="מצטבר דצמבר" sheetId="30" state="visible" r:id="rId32"/>
    <sheet name="Q4" sheetId="31" state="visible" r:id="rId33"/>
    <sheet name="גיליון1" sheetId="32" state="visible" r:id="rId34"/>
    <sheet name="2024" sheetId="33" state="hidden" r:id="rId35"/>
    <sheet name="נתונים_שטוחים" sheetId="34" state="hidden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=E15/$Q15</t>
        </r>
      </text>
    </comment>
    <comment ref="E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=E37/$Q37</t>
        </r>
      </text>
    </comment>
    <comment ref="F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=F15/$Q15</t>
        </r>
      </text>
    </comment>
    <comment ref="F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=F37/$Q37</t>
        </r>
      </text>
    </comment>
    <comment ref="G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=G15/$Q15</t>
        </r>
      </text>
    </comment>
    <comment ref="G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=G37/$Q37</t>
        </r>
      </text>
    </comment>
    <comment ref="H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=H15/$Q15</t>
        </r>
      </text>
    </comment>
    <comment ref="H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=H37/$Q37</t>
        </r>
      </text>
    </comment>
    <comment ref="I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=I15/$Q15</t>
        </r>
      </text>
    </comment>
    <comment ref="I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=I37/$Q37</t>
        </r>
      </text>
    </comment>
    <comment ref="J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=J15/$Q15</t>
        </r>
      </text>
    </comment>
    <comment ref="J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=J37/$Q37</t>
        </r>
      </text>
    </comment>
    <comment ref="K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=K15/$Q15</t>
        </r>
      </text>
    </comment>
    <comment ref="K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=K37/$Q37</t>
        </r>
      </text>
    </comment>
    <comment ref="L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=L15/$Q15</t>
        </r>
      </text>
    </comment>
    <comment ref="L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=L37/$Q37</t>
        </r>
      </text>
    </comment>
    <comment ref="M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=M15/$Q15</t>
        </r>
      </text>
    </comment>
    <comment ref="M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=M37/$Q37</t>
        </r>
      </text>
    </comment>
    <comment ref="N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=N15/$Q15</t>
        </r>
      </text>
    </comment>
    <comment ref="N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=N37/$Q37</t>
        </r>
      </text>
    </comment>
    <comment ref="O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=O15/$Q15</t>
        </r>
      </text>
    </comment>
    <comment ref="O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=O37/$Q37</t>
        </r>
      </text>
    </comment>
    <comment ref="P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=P15/$Q15</t>
        </r>
      </text>
    </comment>
    <comment ref="P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=P37/$Q37</t>
        </r>
      </text>
    </comment>
    <comment ref="Q5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=SUM(E53:P53)</t>
        </r>
      </text>
    </comment>
    <comment ref="Q7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=SUM(E74:P74)</t>
        </r>
      </text>
    </comment>
    <comment ref="AG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=_xlfn.XLOOKUP(A16,'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=_xlfn.XLOOKUP(A19,'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G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מצטבר יוני</t>
        </r>
        <r>
          <rPr>
            <sz val="10"/>
            <rFont val="Arial"/>
            <family val="2"/>
          </rPr>
          <t xml:space="preserve">'!H:H)</t>
        </r>
      </text>
    </comment>
    <comment ref="AI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=[1]אמזון!$M$29</t>
        </r>
      </text>
    </comment>
    <comment ref="AI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I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'!O:O)</t>
        </r>
      </text>
    </comment>
    <comment ref="AJ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'!L:L)</t>
        </r>
      </text>
    </comment>
    <comment ref="AJ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=[1]אמזון!$M$30</t>
        </r>
      </text>
    </comment>
    <comment ref="AJ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J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'!P:P)</t>
        </r>
      </text>
    </comment>
    <comment ref="AK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'!M:M)</t>
        </r>
      </text>
    </comment>
    <comment ref="AK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=[1]אמזון!$M$31</t>
        </r>
      </text>
    </comment>
    <comment ref="AK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K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'!Q:Q)</t>
        </r>
      </text>
    </comment>
    <comment ref="AL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'!N:N)</t>
        </r>
      </text>
    </comment>
    <comment ref="AL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=[1]אמזון!$M$32</t>
        </r>
      </text>
    </comment>
    <comment ref="AL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L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'!R:R)</t>
        </r>
      </text>
    </comment>
    <comment ref="AM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'!O:O)</t>
        </r>
      </text>
    </comment>
    <comment ref="AM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=[1]אמזון!$M$33</t>
        </r>
      </text>
    </comment>
    <comment ref="AM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M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'!S:S)</t>
        </r>
      </text>
    </comment>
    <comment ref="AN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=_xlfn.XLOOKUP($A16,'[1]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1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=_xlfn.XLOOKUP($A19,'[1]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'!$B:$B,'[1]</t>
        </r>
        <r>
          <rPr>
            <sz val="10"/>
            <rFont val="FreeSans"/>
            <family val="2"/>
          </rPr>
          <t xml:space="preserve">ישראל חציון שני הערכה </t>
        </r>
        <r>
          <rPr>
            <sz val="10"/>
            <rFont val="Arial"/>
            <family val="2"/>
          </rPr>
          <t xml:space="preserve">'!P:P)</t>
        </r>
      </text>
    </comment>
    <comment ref="AN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=[1]אמזון!$M$34</t>
        </r>
      </text>
    </comment>
    <comment ref="AN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  <comment ref="AN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'!$L:$L,'[1]</t>
        </r>
        <r>
          <rPr>
            <sz val="10"/>
            <rFont val="FreeSans"/>
            <family val="2"/>
          </rPr>
          <t xml:space="preserve">מפיצים הערכה לחציון שני </t>
        </r>
        <r>
          <rPr>
            <sz val="10"/>
            <rFont val="Arial"/>
            <family val="2"/>
          </rPr>
          <t xml:space="preserve">'!T:T)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=G21/F21-1</t>
        </r>
      </text>
    </comment>
    <comment ref="H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=G23/F23-1</t>
        </r>
      </text>
    </comment>
    <comment ref="H2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=G24/F24-1</t>
        </r>
      </text>
    </comment>
    <comment ref="H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=G25/F25-1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2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=G29/F29-1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=G21/J21-1</t>
        </r>
      </text>
    </comment>
    <comment ref="K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=G25/J25-1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=G27/J27-1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=G25/F25-1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=G31/F31-1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=G13/J13-1</t>
        </r>
      </text>
    </comment>
    <comment ref="K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=G23/J23-1</t>
        </r>
      </text>
    </comment>
    <comment ref="K2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=G24/J24-1</t>
        </r>
      </text>
    </comment>
    <comment ref="K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=G25/J25-1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=G34/J34-1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=G25/F25-1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=G13/J13-1</t>
        </r>
      </text>
    </comment>
    <comment ref="K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=G25/J25-1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=G12/F12-1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=G21/F21-1</t>
        </r>
      </text>
    </comment>
    <comment ref="H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=G23/F23-1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=G31/F31-1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=G34/F34-1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=G13/J13-1</t>
        </r>
      </text>
    </comment>
    <comment ref="K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=G21/J21-1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=G27/J27-1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=G34/J34-1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=H13/G13-1</t>
        </r>
      </text>
    </comment>
    <comment ref="I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=H33/G33-1</t>
        </r>
      </text>
    </comment>
    <comment ref="I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=H36/G36-1</t>
        </r>
      </text>
    </comment>
    <comment ref="I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=H37/G37-1</t>
        </r>
      </text>
    </comment>
    <comment ref="I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=H39/G39-1</t>
        </r>
      </text>
    </comment>
    <comment ref="L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=H28/K28-1</t>
        </r>
      </text>
    </comment>
    <comment ref="L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=H33/K33-1</t>
        </r>
      </text>
    </comment>
    <comment ref="L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=H36/K36-1</t>
        </r>
      </text>
    </comment>
    <comment ref="L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=H37/K37-1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=G12/F12-1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=G22/F22-1</t>
        </r>
      </text>
    </comment>
    <comment ref="H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=G25/F25-1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=G31/F31-1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=G34/F34-1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=G21/J21-1</t>
        </r>
      </text>
    </comment>
    <comment ref="K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=G23/J23-1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=G34/J34-1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=G26/F26-1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3" authorId="0">
      <text>
        <r>
          <rPr>
            <sz val="10"/>
            <rFont val="Arial"/>
            <family val="2"/>
          </rPr>
          <t xml:space="preserve">Isa:
</t>
        </r>
        <r>
          <rPr>
            <sz val="10"/>
            <rFont val="FreeSans"/>
            <family val="2"/>
          </rPr>
          <t xml:space="preserve">חנויות ספורט</t>
        </r>
      </text>
    </commen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=G12/F12-1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=G21/F21-1</t>
        </r>
      </text>
    </comment>
    <comment ref="H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=G23/F23-1</t>
        </r>
      </text>
    </comment>
    <comment ref="H2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=G24/F24-1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=G13/J13-1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=G27/J27-1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=G39/J39-1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G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=G3/F3-1</t>
        </r>
      </text>
    </commen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=G21/F21-1</t>
        </r>
      </text>
    </comment>
    <comment ref="H2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=G22/F22-1</t>
        </r>
      </text>
    </comment>
    <comment ref="H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=G23/F23-1</t>
        </r>
      </text>
    </comment>
    <comment ref="H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=G25/F25-1</t>
        </r>
      </text>
    </comment>
    <comment ref="H2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=G27/F27-1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=G31/F31-1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=G34/F34-1</t>
        </r>
      </text>
    </comment>
    <comment ref="H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=G35/F35-1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=G38/F38-1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=G13/J13-1</t>
        </r>
      </text>
    </comment>
    <comment ref="K2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=G21/J21-1</t>
        </r>
      </text>
    </comment>
    <comment ref="K2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=G23/J23-1</t>
        </r>
      </text>
    </comment>
    <comment ref="K2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=G26/J26-1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=G30/J30-1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=G34/J34-1</t>
        </r>
      </text>
    </comment>
    <comment ref="K3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=G35/J35-1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  <comment ref="K3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=G38/J38-1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=G13/F13-1</t>
        </r>
      </text>
    </comment>
    <comment ref="H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=G14/F14-1</t>
        </r>
      </text>
    </comment>
    <comment ref="H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=G28/F28-1</t>
        </r>
      </text>
    </comment>
    <comment ref="H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=G30/F30-1</t>
        </r>
      </text>
    </comment>
    <comment ref="H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=G32/F32-1</t>
        </r>
      </text>
    </comment>
    <comment ref="H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=G33/F33-1</t>
        </r>
      </text>
    </comment>
    <comment ref="H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=G36/F36-1</t>
        </r>
      </text>
    </comment>
    <comment ref="H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=G37/F37-1</t>
        </r>
      </text>
    </comment>
    <comment ref="H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=G39/F39-1</t>
        </r>
      </text>
    </comment>
    <comment ref="K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=G28/J28-1</t>
        </r>
      </text>
    </comment>
    <comment ref="K3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=G31/J31-1</t>
        </r>
      </text>
    </comment>
    <comment ref="K3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=G32/J32-1</t>
        </r>
      </text>
    </comment>
    <comment ref="K3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=G33/J33-1</t>
        </r>
      </text>
    </comment>
    <comment ref="K3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=G36/J36-1</t>
        </r>
      </text>
    </comment>
    <comment ref="K3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=G37/J37-1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R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  <comment ref="R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'!AI:AI)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  <comment ref="P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'!AR:AR)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R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  <comment ref="R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'!AJ:AJ)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  <comment ref="P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'!AS:AS)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R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  <comment ref="R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'!AK:AK)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  <comment ref="P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'!AT:AT)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Q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Q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'!AL:AL)</t>
        </r>
      </text>
    </comment>
    <comment ref="W4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=H42-V42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  <comment ref="P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'!AU:AU)</t>
        </r>
      </text>
    </comment>
  </commentList>
</comments>
</file>

<file path=xl/comments2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Q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Q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'!AM:AM)</t>
        </r>
      </text>
    </comment>
    <comment ref="W4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=H42-V42</t>
        </r>
      </text>
    </comment>
  </commentList>
</comments>
</file>

<file path=xl/comments2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  <comment ref="P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'!AV:AV)</t>
        </r>
      </text>
    </comment>
  </commentList>
</comments>
</file>

<file path=xl/comments2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H5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לקוח חדש לשנת </t>
        </r>
        <r>
          <rPr>
            <sz val="10"/>
            <rFont val="Arial"/>
            <family val="2"/>
          </rPr>
          <t xml:space="preserve">2026, ללא היסטוריית מכירות ב-2024/2025 (</t>
        </r>
        <r>
          <rPr>
            <sz val="10"/>
            <rFont val="FreeSans"/>
            <family val="2"/>
          </rPr>
          <t xml:space="preserve">אין </t>
        </r>
        <r>
          <rPr>
            <sz val="10"/>
            <rFont val="Arial"/>
            <family val="2"/>
          </rPr>
          <t xml:space="preserve">VLOOKUP-</t>
        </r>
        <r>
          <rPr>
            <sz val="10"/>
            <rFont val="FreeSans"/>
            <family val="2"/>
          </rPr>
          <t xml:space="preserve">מקור בגיליונות ההיסטוריים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 xml:space="preserve">ערך </t>
        </r>
        <r>
          <rPr>
            <sz val="10"/>
            <rFont val="Arial"/>
            <family val="2"/>
          </rPr>
          <t xml:space="preserve">2026 הוזן כ-0 וימולא ידנית כשתהיה תנועה בפועל. אין רישום תקציב/יעד עבור לקוח זה בגיליון 'תקציב' - העמודות הרלוונטיות הושארו ריקות בכוונה (</t>
        </r>
        <r>
          <rPr>
            <sz val="10"/>
            <rFont val="FreeSans"/>
            <family val="2"/>
          </rPr>
          <t xml:space="preserve">כמו ברשומות </t>
        </r>
        <r>
          <rPr>
            <sz val="10"/>
            <rFont val="Arial"/>
            <family val="2"/>
          </rPr>
          <t xml:space="preserve">REMEDICARE B.V. / QUADRIFOGLIO MEDICAL </t>
        </r>
        <r>
          <rPr>
            <sz val="10"/>
            <rFont val="FreeSans"/>
            <family val="2"/>
          </rPr>
          <t xml:space="preserve">הקיימות</t>
        </r>
        <r>
          <rPr>
            <sz val="10"/>
            <rFont val="Arial"/>
            <family val="2"/>
          </rPr>
          <t xml:space="preserve">).</t>
        </r>
      </text>
    </comment>
    <comment ref="Q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Q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'!AN:AN)</t>
        </r>
      </text>
    </comment>
    <comment ref="W4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קיריל, </t>
        </r>
        <r>
          <rPr>
            <sz val="10"/>
            <rFont val="Arial"/>
            <family val="2"/>
          </rPr>
          <t xml:space="preserve">01/10/2026] </t>
        </r>
        <r>
          <rPr>
            <sz val="10"/>
            <rFont val="FreeSans"/>
            <family val="2"/>
          </rPr>
          <t xml:space="preserve">נוסחה זו הייתה קיימת מקור עם שגיאת </t>
        </r>
        <r>
          <rPr>
            <sz val="10"/>
            <rFont val="Arial"/>
            <family val="2"/>
          </rPr>
          <t xml:space="preserve">#DIV/0!/#VALUE! </t>
        </r>
        <r>
          <rPr>
            <sz val="10"/>
            <rFont val="FreeSans"/>
            <family val="2"/>
          </rPr>
          <t xml:space="preserve">קבועה (מאומת בקובץ המקורי לפני כל שינוי שלי) כשהמכנה/איבר הוא </t>
        </r>
        <r>
          <rPr>
            <sz val="10"/>
            <rFont val="Arial"/>
            <family val="2"/>
          </rPr>
          <t xml:space="preserve">0 או ריק. עטפתי ב-IFERROR(...,"-") </t>
        </r>
        <r>
          <rPr>
            <sz val="10"/>
            <rFont val="FreeSans"/>
            <family val="2"/>
          </rPr>
          <t xml:space="preserve">כדי למנוע שגיאה, בהתאם לקונבנציה הקיימת בגיליונות יולי-דצמבר של אותו קובץ. הלוגיקה החשבונית לא שונתה. נוסחה מקורית</t>
        </r>
        <r>
          <rPr>
            <sz val="10"/>
            <rFont val="Arial"/>
            <family val="2"/>
          </rPr>
          <t xml:space="preserve">: =H42-V42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P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=_xlfn.XLOOKUP($A39,'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'!AW:AW)</t>
        </r>
      </text>
    </comment>
    <comment ref="U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1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1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1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1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1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1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1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1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=_xlfn.XLOOKUP(A18,'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2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2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2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2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2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2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2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2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2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2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=_xlfn.XLOOKUP(A29,'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30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=_xlfn.XLOOKUP(A30,'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31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=_xlfn.XLOOKUP(A31,'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32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=_xlfn.XLOOKUP(A32,'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33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=_xlfn.XLOOKUP(A33,'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34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=_xlfn.XLOOKUP(A34,'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35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=_xlfn.XLOOKUP(A35,'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36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=_xlfn.XLOOKUP(A36,'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37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=_xlfn.XLOOKUP(A37,'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38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=_xlfn.XLOOKUP(A38,'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  <comment ref="U39" authorId="0">
      <text>
        <r>
          <rPr>
            <sz val="10"/>
            <rFont val="FreeSans"/>
            <family val="2"/>
          </rPr>
          <t xml:space="preserve">ערך קפוא (לא נוסחה). הנוסחה המקורית השתמשה ב</t>
        </r>
        <r>
          <rPr>
            <sz val="10"/>
            <rFont val="Arial"/>
            <family val="2"/>
          </rPr>
          <t xml:space="preserve">-XLOOKUP/</t>
        </r>
        <r>
          <rPr>
            <sz val="10"/>
            <rFont val="FreeSans"/>
            <family val="2"/>
          </rPr>
          <t xml:space="preserve">קישור חיצוני שאינם נתמכים במנוע הריקלקולציה </t>
        </r>
        <r>
          <rPr>
            <sz val="10"/>
            <rFont val="Arial"/>
            <family val="2"/>
          </rPr>
          <t xml:space="preserve">(LibreOffice) </t>
        </r>
        <r>
          <rPr>
            <sz val="10"/>
            <rFont val="FreeSans"/>
            <family val="2"/>
          </rPr>
          <t xml:space="preserve">בסביבה זו. הוקפא לערך האחרון שחושב בקובץ המקורי </t>
        </r>
        <r>
          <rPr>
            <sz val="10"/>
            <rFont val="Arial"/>
            <family val="2"/>
          </rPr>
          <t xml:space="preserve">(Excel) </t>
        </r>
        <r>
          <rPr>
            <sz val="10"/>
            <rFont val="FreeSans"/>
            <family val="2"/>
          </rPr>
          <t xml:space="preserve">בתאריך </t>
        </r>
        <r>
          <rPr>
            <sz val="10"/>
            <rFont val="Arial"/>
            <family val="2"/>
          </rPr>
          <t xml:space="preserve">01/10/2026. נוסחה מקורית: =_xlfn.XLOOKUP(A39,'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'!A:A,'</t>
        </r>
        <r>
          <rPr>
            <sz val="10"/>
            <rFont val="FreeSans"/>
            <family val="2"/>
          </rPr>
          <t xml:space="preserve">תקציב  </t>
        </r>
        <r>
          <rPr>
            <sz val="10"/>
            <rFont val="Arial"/>
            <family val="2"/>
          </rPr>
          <t xml:space="preserve">'!AO:AO)</t>
        </r>
      </text>
    </comment>
  </commentList>
</comments>
</file>

<file path=xl/sharedStrings.xml><?xml version="1.0" encoding="utf-8"?>
<sst xmlns="http://schemas.openxmlformats.org/spreadsheetml/2006/main" count="7016" uniqueCount="2436">
  <si>
    <t xml:space="preserve">Actual </t>
  </si>
  <si>
    <t xml:space="preserve">מטרה </t>
  </si>
  <si>
    <t xml:space="preserve">#</t>
  </si>
  <si>
    <t xml:space="preserve">ארץ</t>
  </si>
  <si>
    <t xml:space="preserve">ינואר</t>
  </si>
  <si>
    <t xml:space="preserve">פברואר</t>
  </si>
  <si>
    <t xml:space="preserve">מרץ</t>
  </si>
  <si>
    <t xml:space="preserve">אפריל</t>
  </si>
  <si>
    <t xml:space="preserve">מאי</t>
  </si>
  <si>
    <t xml:space="preserve">יוני</t>
  </si>
  <si>
    <t xml:space="preserve">יולי</t>
  </si>
  <si>
    <t xml:space="preserve">אוגוסט</t>
  </si>
  <si>
    <t xml:space="preserve">ספטמבר</t>
  </si>
  <si>
    <t xml:space="preserve">אוקטובר</t>
  </si>
  <si>
    <t xml:space="preserve">נובמבר</t>
  </si>
  <si>
    <t xml:space="preserve">דצמבר</t>
  </si>
  <si>
    <t xml:space="preserve">שנתי</t>
  </si>
  <si>
    <t xml:space="preserve">מצטבר ינואר  </t>
  </si>
  <si>
    <t xml:space="preserve">מצטבר פברואר</t>
  </si>
  <si>
    <t xml:space="preserve">מצטבר מרץ</t>
  </si>
  <si>
    <t xml:space="preserve">מצטבר אפריל</t>
  </si>
  <si>
    <t xml:space="preserve">מצטבר מאי</t>
  </si>
  <si>
    <t xml:space="preserve">מצטבר יוני</t>
  </si>
  <si>
    <t xml:space="preserve">מצטבר יולי</t>
  </si>
  <si>
    <t xml:space="preserve">מצטבר אוגוסט</t>
  </si>
  <si>
    <t xml:space="preserve">מצטבר ספטמבר</t>
  </si>
  <si>
    <t xml:space="preserve">מצטבר אוקטובר</t>
  </si>
  <si>
    <t xml:space="preserve">מצטבר נובמבר</t>
  </si>
  <si>
    <t xml:space="preserve">מצטבר דצמבר</t>
  </si>
  <si>
    <t xml:space="preserve">H1</t>
  </si>
  <si>
    <t xml:space="preserve">H2</t>
  </si>
  <si>
    <t xml:space="preserve">סופר פארם לייף</t>
  </si>
  <si>
    <t xml:space="preserve">ISRAEL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</si>
  <si>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</si>
  <si>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</si>
  <si>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</si>
  <si>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</si>
  <si>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</si>
  <si>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</si>
  <si>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</si>
  <si>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</si>
  <si>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</si>
  <si>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ספורט</t>
  </si>
  <si>
    <t xml:space="preserve">בתי חולים ושרות</t>
  </si>
  <si>
    <t xml:space="preserve">מכוני פיזיותרפיה</t>
  </si>
  <si>
    <t xml:space="preserve">לקוחות אינטרנט</t>
  </si>
  <si>
    <t xml:space="preserve">סופר פארם מרקט פלייס</t>
  </si>
  <si>
    <t xml:space="preserve">חנויות נעליים</t>
  </si>
  <si>
    <t xml:space="preserve">סה"כ ישראל</t>
  </si>
  <si>
    <t xml:space="preserve">Total - 301 - Amazon</t>
  </si>
  <si>
    <t xml:space="preserve">AMAZON</t>
  </si>
  <si>
    <t xml:space="preserve">USA</t>
  </si>
  <si>
    <t xml:space="preserve">Total - 202 - Super-Pharm POLAND</t>
  </si>
  <si>
    <t xml:space="preserve">SUPER PHARM POLAND</t>
  </si>
  <si>
    <t xml:space="preserve">POLAND</t>
  </si>
  <si>
    <t xml:space="preserve">Total - 203 - Ortho- Partner ag SWITZERLAND</t>
  </si>
  <si>
    <t xml:space="preserve">ORTHO- PARTNER AG.</t>
  </si>
  <si>
    <t xml:space="preserve">SWITZERLAND</t>
  </si>
  <si>
    <t xml:space="preserve">Total - 204 - Sanaflex Anatomic GREECE</t>
  </si>
  <si>
    <t xml:space="preserve">SANAFLEX ANATOMIC</t>
  </si>
  <si>
    <t xml:space="preserve">GREECE</t>
  </si>
  <si>
    <t xml:space="preserve">Total - 205 - Health Care Prod. Gmbh GERMANY</t>
  </si>
  <si>
    <t xml:space="preserve">HEALTH CARE PROD. GMBH</t>
  </si>
  <si>
    <t xml:space="preserve">GERMANY</t>
  </si>
  <si>
    <t xml:space="preserve">Total - 206 - Orthomed  Ltd BULGARIA</t>
  </si>
  <si>
    <t xml:space="preserve">ORTHOMED  LTD</t>
  </si>
  <si>
    <t xml:space="preserve">BULGARIA</t>
  </si>
  <si>
    <t xml:space="preserve">Total - 207 - Salus HUNGARY</t>
  </si>
  <si>
    <t xml:space="preserve">SALUS</t>
  </si>
  <si>
    <t xml:space="preserve">HUNGARY</t>
  </si>
  <si>
    <t xml:space="preserve">Total - 216 - Max Konnaris CYPRUS</t>
  </si>
  <si>
    <t xml:space="preserve">MAX KONNARIS LTD</t>
  </si>
  <si>
    <t xml:space="preserve">CYPRUS</t>
  </si>
  <si>
    <t xml:space="preserve">Total - 208 - Medipal Company NABLUS</t>
  </si>
  <si>
    <t xml:space="preserve">MEDIPAL COMPANY</t>
  </si>
  <si>
    <t xml:space="preserve">NABLUS</t>
  </si>
  <si>
    <t xml:space="preserve">Total - 209 - Ortoprofil Prod ROMANIA</t>
  </si>
  <si>
    <t xml:space="preserve">ORTOPROFIL PROD. ROMANIA</t>
  </si>
  <si>
    <t xml:space="preserve">ROMANIA</t>
  </si>
  <si>
    <t xml:space="preserve">Total - 210 - Oy. Ea. Ab. FINLAND</t>
  </si>
  <si>
    <t xml:space="preserve">OY. EA. AB.</t>
  </si>
  <si>
    <t xml:space="preserve">FINLAND</t>
  </si>
  <si>
    <t xml:space="preserve">Total - 201- Seven Gear FINLAND oy</t>
  </si>
  <si>
    <t xml:space="preserve">SEVEN GEAR</t>
  </si>
  <si>
    <t xml:space="preserve">211 - Pharmag Lachmair Ges. Mbh AUSTRIA</t>
  </si>
  <si>
    <t xml:space="preserve">PHARMAG LACHMAIR GES. MBH</t>
  </si>
  <si>
    <t xml:space="preserve">AUSTRIA</t>
  </si>
  <si>
    <t xml:space="preserve">Total - 213 - E.f.m.o. SPAIN</t>
  </si>
  <si>
    <t xml:space="preserve">E.F.M.O.</t>
  </si>
  <si>
    <t xml:space="preserve">SPAIN</t>
  </si>
  <si>
    <t xml:space="preserve">Total - 214 - Alfred Gera&amp; Sons Ltd. MALTA</t>
  </si>
  <si>
    <t xml:space="preserve">ALFRED GERA</t>
  </si>
  <si>
    <t xml:space="preserve">MALTA</t>
  </si>
  <si>
    <t xml:space="preserve">YOUNG IN HEALTHCARE CO.,</t>
  </si>
  <si>
    <t xml:space="preserve">200 - ROW : 217 - N3W FOODS USA</t>
  </si>
  <si>
    <t xml:space="preserve">HANS</t>
  </si>
  <si>
    <t xml:space="preserve">New Distributors</t>
  </si>
  <si>
    <t xml:space="preserve">NEW DISTRIBUTORS</t>
  </si>
  <si>
    <t xml:space="preserve">סה"כ חו"ל</t>
  </si>
  <si>
    <t xml:space="preserve">סה"כ </t>
  </si>
  <si>
    <t xml:space="preserve">בתי מרקחת כמיפל</t>
  </si>
  <si>
    <t xml:space="preserve">בחר חודש (מצטבר מינואר עד החודש שנבחר, כולל):</t>
  </si>
  <si>
    <t xml:space="preserve">(מספר חודש נבחר:)</t>
  </si>
  <si>
    <t xml:space="preserve">תאריך חישוב:</t>
  </si>
  <si>
    <t xml:space="preserve">הערה: עמודות 'מטרה מצטברת' מוצגות רק כאשר החודש הנבחר הוא יולי ואילך (אין מושג 'מטרה' בקובץ המקור לחודשים ינואר-יוני - רק תקציב).</t>
  </si>
  <si>
    <t xml:space="preserve">מספר</t>
  </si>
  <si>
    <t xml:space="preserve">קטגוריה</t>
  </si>
  <si>
    <t xml:space="preserve">קבוצה</t>
  </si>
  <si>
    <t xml:space="preserve">2024 מצטבר</t>
  </si>
  <si>
    <t xml:space="preserve">2025 מצטבר</t>
  </si>
  <si>
    <t xml:space="preserve">2026 מצטבר</t>
  </si>
  <si>
    <t xml:space="preserve">% מול 2025</t>
  </si>
  <si>
    <t xml:space="preserve">₪ מול 2025</t>
  </si>
  <si>
    <t xml:space="preserve">תקציב מצטבר</t>
  </si>
  <si>
    <t xml:space="preserve">% מול תקציב</t>
  </si>
  <si>
    <t xml:space="preserve">₪ מול תקציב</t>
  </si>
  <si>
    <t xml:space="preserve">מטרה מצטברת</t>
  </si>
  <si>
    <t xml:space="preserve">% מול מטרה</t>
  </si>
  <si>
    <t xml:space="preserve">₪ מול מטרה</t>
  </si>
  <si>
    <t xml:space="preserve">סה"כ ישראל ללא אונליין</t>
  </si>
  <si>
    <t xml:space="preserve">סה"כ מכירות</t>
  </si>
  <si>
    <t xml:space="preserve">אחוז מכירות חו"ל מסה"כ מכירות</t>
  </si>
  <si>
    <t xml:space="preserve">בחר רבעון:</t>
  </si>
  <si>
    <t xml:space="preserve">Q4</t>
  </si>
  <si>
    <t xml:space="preserve">(מספר רבעון:)</t>
  </si>
  <si>
    <t xml:space="preserve">הערה: נתוני הרבעון בלבד (3 חודשי הרבעון), לא מצטבר משנה. עמודות 'מטרה' מוצגות רק עבור Q3/Q4 (אין מושג 'מטרה' לרבעונים Q1/Q2 בקובץ המקור - רק תקציב). תוקן באג שהיה בגיליון Q3 הישן (מטרה הצביע בטעות לחודשי אוקטובר-דצמבר במקום יולי-ספטמבר).</t>
  </si>
  <si>
    <t xml:space="preserve">2024 (רבעון)</t>
  </si>
  <si>
    <t xml:space="preserve">2025 (רבעון)</t>
  </si>
  <si>
    <t xml:space="preserve">2026 (רבעון)</t>
  </si>
  <si>
    <t xml:space="preserve">תקציב (רבעון)</t>
  </si>
  <si>
    <t xml:space="preserve">מטרה (רבעון)</t>
  </si>
  <si>
    <t xml:space="preserve">Customer</t>
  </si>
  <si>
    <t xml:space="preserve">Total</t>
  </si>
  <si>
    <t xml:space="preserve">מצטבר</t>
  </si>
  <si>
    <t xml:space="preserve"> </t>
  </si>
  <si>
    <t xml:space="preserve">Sales</t>
  </si>
  <si>
    <t xml:space="preserve">110 - Chemipal</t>
  </si>
  <si>
    <t xml:space="preserve">102 - Orthopedic institutes</t>
  </si>
  <si>
    <t xml:space="preserve">101 - Factory customers</t>
  </si>
  <si>
    <t xml:space="preserve">104 - Sports Shop</t>
  </si>
  <si>
    <t xml:space="preserve">103 - Physiotherapy institutes</t>
  </si>
  <si>
    <t xml:space="preserve">109 - Private Shops</t>
  </si>
  <si>
    <t xml:space="preserve">105 - Pedicure Salons</t>
  </si>
  <si>
    <t xml:space="preserve">111 - Superpharm Life</t>
  </si>
  <si>
    <t xml:space="preserve">108 - Shoe Stores</t>
  </si>
  <si>
    <t xml:space="preserve">106 - Hospitals</t>
  </si>
  <si>
    <t xml:space="preserve">107 - Pharmacies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</si>
  <si>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</si>
  <si>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</si>
  <si>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</si>
  <si>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</si>
  <si>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202 - Super-Pharm POLAND</t>
  </si>
  <si>
    <t xml:space="preserve">201- Seven Gear FINLAND oy</t>
  </si>
  <si>
    <t xml:space="preserve">216 - Max Konnaris CYPRUS</t>
  </si>
  <si>
    <t xml:space="preserve">205 - Health Care Prod. Gmbh GERMANY</t>
  </si>
  <si>
    <t xml:space="preserve">301 - Amazon</t>
  </si>
  <si>
    <t xml:space="preserve">206 - Orthomed  Ltd BULGARIA</t>
  </si>
  <si>
    <t xml:space="preserve">203 - Ortho- Partner ag SWITZERLAND</t>
  </si>
  <si>
    <t xml:space="preserve">210 - Oy. Ea. Ab. FINLAND</t>
  </si>
  <si>
    <t xml:space="preserve">204 - Sanaflex Anatomic GREECE</t>
  </si>
  <si>
    <t xml:space="preserve">214 - Alfred Gera&amp; Sons Ltd. MALTA</t>
  </si>
  <si>
    <t xml:space="preserve">213 - E.f.m.o. SPAIN</t>
  </si>
  <si>
    <t xml:space="preserve">207 - Salus HUNGARY</t>
  </si>
  <si>
    <t xml:space="preserve">208 - Medipal Company NABLUS</t>
  </si>
  <si>
    <t xml:space="preserve">209 - Ortoprofil Prod ROMANIA</t>
  </si>
  <si>
    <t xml:space="preserve">215 - Young In Healthcare Co. SOUTH KOREA</t>
  </si>
  <si>
    <t xml:space="preserve">212 - Quadrifoglio Medical ROMANIA</t>
  </si>
  <si>
    <t xml:space="preserve">דוח מכירות ינואר 2026</t>
  </si>
  <si>
    <t xml:space="preserve">אחוז מול 2025</t>
  </si>
  <si>
    <t xml:space="preserve">כספי מול 2025  </t>
  </si>
  <si>
    <t xml:space="preserve">תקציב</t>
  </si>
  <si>
    <t xml:space="preserve">REMEDICARE B.V.</t>
  </si>
  <si>
    <t xml:space="preserve">HOLLAND</t>
  </si>
  <si>
    <t xml:space="preserve">QUADRIFOGLIO MEDICAL</t>
  </si>
  <si>
    <t xml:space="preserve">KOREA</t>
  </si>
  <si>
    <t xml:space="preserve">סה"כ מכירות </t>
  </si>
  <si>
    <t xml:space="preserve">מכבי</t>
  </si>
  <si>
    <t xml:space="preserve">BAKU</t>
  </si>
  <si>
    <t xml:space="preserve">AZERBAIJAN</t>
  </si>
  <si>
    <t xml:space="preserve">MEXICO</t>
  </si>
  <si>
    <t xml:space="preserve">דוח מכירות פברואר 2026</t>
  </si>
  <si>
    <t xml:space="preserve">דוח מכירות מצטבר פברואר 2026</t>
  </si>
  <si>
    <t xml:space="preserve">1-2.2024</t>
  </si>
  <si>
    <t xml:space="preserve">1-2.2025</t>
  </si>
  <si>
    <t xml:space="preserve">1-2.2026</t>
  </si>
  <si>
    <t xml:space="preserve">דוח מכירות מרץ 2026</t>
  </si>
  <si>
    <t xml:space="preserve">דוח מכירות Q1-2026</t>
  </si>
  <si>
    <t xml:space="preserve">1-3.2024</t>
  </si>
  <si>
    <t xml:space="preserve">1-3.2025</t>
  </si>
  <si>
    <t xml:space="preserve">1-3.2026</t>
  </si>
  <si>
    <t xml:space="preserve">דוח מכירות מצטבר יוני 2026</t>
  </si>
  <si>
    <t xml:space="preserve">1-6.2024</t>
  </si>
  <si>
    <t xml:space="preserve">1-6.2025</t>
  </si>
  <si>
    <t xml:space="preserve">1-6.2026</t>
  </si>
  <si>
    <t xml:space="preserve">דוח מכירות מצטבר מרץ 2026</t>
  </si>
  <si>
    <t xml:space="preserve">דוח מכירות אפריל 2026</t>
  </si>
  <si>
    <t xml:space="preserve">דוח מכירות מצטבר אפריל 2026</t>
  </si>
  <si>
    <t xml:space="preserve">1-4.2024</t>
  </si>
  <si>
    <t xml:space="preserve">1-4.2025</t>
  </si>
  <si>
    <t xml:space="preserve">1-4.2026</t>
  </si>
  <si>
    <t xml:space="preserve">דוח מכירות מאי 2026</t>
  </si>
  <si>
    <t xml:space="preserve">דוח מכירות מצטבר מאי 2026</t>
  </si>
  <si>
    <t xml:space="preserve">1-5.2024</t>
  </si>
  <si>
    <t xml:space="preserve">1-5.2025</t>
  </si>
  <si>
    <t xml:space="preserve">1-5.2026</t>
  </si>
  <si>
    <t xml:space="preserve">דוח מכירות יוני 2026</t>
  </si>
  <si>
    <t xml:space="preserve">דוח מכירות Q2-2026</t>
  </si>
  <si>
    <t xml:space="preserve">4-6.2024</t>
  </si>
  <si>
    <t xml:space="preserve">4-6.2025</t>
  </si>
  <si>
    <t xml:space="preserve">4-6.2026</t>
  </si>
  <si>
    <t xml:space="preserve">דוח מכירות יולי 2026</t>
  </si>
  <si>
    <t xml:space="preserve">SOB</t>
  </si>
  <si>
    <t xml:space="preserve">% ביצוע </t>
  </si>
  <si>
    <t xml:space="preserve">כספי מול תקציב </t>
  </si>
  <si>
    <t xml:space="preserve">% מול מטרה </t>
  </si>
  <si>
    <t xml:space="preserve">כספי מול מטרה </t>
  </si>
  <si>
    <t xml:space="preserve">דוח מכירות מצטבר יולי 2026</t>
  </si>
  <si>
    <t xml:space="preserve">1-7.2024</t>
  </si>
  <si>
    <t xml:space="preserve">1-7.2025</t>
  </si>
  <si>
    <t xml:space="preserve">1-7.2026</t>
  </si>
  <si>
    <t xml:space="preserve">% ביצוע</t>
  </si>
  <si>
    <t xml:space="preserve">דוח מכירות אוגוסט 2026</t>
  </si>
  <si>
    <t xml:space="preserve">דוח מכירות מצטבר אוגוסט 2026</t>
  </si>
  <si>
    <t xml:space="preserve">1-8.2024</t>
  </si>
  <si>
    <t xml:space="preserve">1-8.2025</t>
  </si>
  <si>
    <t xml:space="preserve">1-8.2026</t>
  </si>
  <si>
    <t xml:space="preserve">דוח מכירות ספטמבר 2026</t>
  </si>
  <si>
    <t xml:space="preserve">דוח מכירות מצטבר ספטמבר 2026</t>
  </si>
  <si>
    <t xml:space="preserve">1-9.2024</t>
  </si>
  <si>
    <t xml:space="preserve">1-9.2025</t>
  </si>
  <si>
    <t xml:space="preserve">1-9.2026</t>
  </si>
  <si>
    <t xml:space="preserve">דוח מכירות Q3-2026</t>
  </si>
  <si>
    <t xml:space="preserve">7-9.2024</t>
  </si>
  <si>
    <t xml:space="preserve">7-9.2025</t>
  </si>
  <si>
    <t xml:space="preserve">7-9.2026</t>
  </si>
  <si>
    <t xml:space="preserve">דוח מכירות אוקטובר 2026</t>
  </si>
  <si>
    <t xml:space="preserve">דוח מכירות מצטבר אוקטובר 2026</t>
  </si>
  <si>
    <t xml:space="preserve">1-10.2024</t>
  </si>
  <si>
    <t xml:space="preserve">1-10.2025</t>
  </si>
  <si>
    <t xml:space="preserve">1-10.2026</t>
  </si>
  <si>
    <t xml:space="preserve">דוח מכירות נובמבר 2026</t>
  </si>
  <si>
    <t xml:space="preserve">דוח מכירות מצטבר נובמבר 2026</t>
  </si>
  <si>
    <t xml:space="preserve">1-11.2024</t>
  </si>
  <si>
    <t xml:space="preserve">1-11.2025</t>
  </si>
  <si>
    <t xml:space="preserve">1-11.2026</t>
  </si>
  <si>
    <t xml:space="preserve">דוח מכירות דצמבר 2026</t>
  </si>
  <si>
    <t xml:space="preserve">דוח מכירות מצטבר דצמבר 2026</t>
  </si>
  <si>
    <t xml:space="preserve">1-12.2024</t>
  </si>
  <si>
    <t xml:space="preserve">1-12.2025</t>
  </si>
  <si>
    <t xml:space="preserve">1-12.2026</t>
  </si>
  <si>
    <t xml:space="preserve">FCST </t>
  </si>
  <si>
    <t xml:space="preserve">TOTAL </t>
  </si>
  <si>
    <t xml:space="preserve">שוק ישראל </t>
  </si>
  <si>
    <t xml:space="preserve">אונליין ישראל </t>
  </si>
  <si>
    <t xml:space="preserve">ישראל </t>
  </si>
  <si>
    <t xml:space="preserve">אמזון </t>
  </si>
  <si>
    <t xml:space="preserve">מפיצים </t>
  </si>
  <si>
    <t xml:space="preserve">סה"כ</t>
  </si>
  <si>
    <t xml:space="preserve"> </t>
  </si>
  <si>
    <t xml:space="preserve">דוח מכירות Q4-2026</t>
  </si>
  <si>
    <t xml:space="preserve">10-12.2024</t>
  </si>
  <si>
    <t xml:space="preserve">10-12.2025</t>
  </si>
  <si>
    <t xml:space="preserve">10-12.2026</t>
  </si>
  <si>
    <t xml:space="preserve">Meditex Group IL</t>
  </si>
  <si>
    <t xml:space="preserve">Meditex Group Global : Meditex Group IL</t>
  </si>
  <si>
    <t xml:space="preserve">Custom Sales by Customer Summary</t>
  </si>
  <si>
    <t xml:space="preserve">01 July 2026 - 31 July 2026</t>
  </si>
  <si>
    <t xml:space="preserve">Order Number Web Site - Cash Sale</t>
  </si>
  <si>
    <t xml:space="preserve">Document Number</t>
  </si>
  <si>
    <t xml:space="preserve">Quantity</t>
  </si>
  <si>
    <t xml:space="preserve">150004 מדיקל אופיר ב"ש בע"מ</t>
  </si>
  <si>
    <t xml:space="preserve">INV68974</t>
  </si>
  <si>
    <t xml:space="preserve">150007 אבידן אורטופדיה שיקומית ב</t>
  </si>
  <si>
    <t xml:space="preserve">INV68894</t>
  </si>
  <si>
    <t xml:space="preserve">150010 אור אורטופדיה</t>
  </si>
  <si>
    <t xml:space="preserve">INV68922</t>
  </si>
  <si>
    <t xml:space="preserve">INV68984</t>
  </si>
  <si>
    <t xml:space="preserve">Total - 150010 אור אורטופדיה</t>
  </si>
  <si>
    <t xml:space="preserve">150012 אשד אורטופדיה בע"מ</t>
  </si>
  <si>
    <t xml:space="preserve">INV68970</t>
  </si>
  <si>
    <t xml:space="preserve">INV68875</t>
  </si>
  <si>
    <t xml:space="preserve">Total - 150012 אשד אורטופדיה בע"מ</t>
  </si>
  <si>
    <t xml:space="preserve">150013 גליל אורטופדיה</t>
  </si>
  <si>
    <t xml:space="preserve">INV68971</t>
  </si>
  <si>
    <t xml:space="preserve">150020 בירו אורטופדיה (יוסי)</t>
  </si>
  <si>
    <t xml:space="preserve">INV68938</t>
  </si>
  <si>
    <t xml:space="preserve">150055 סניוס מדיק בע"מ</t>
  </si>
  <si>
    <t xml:space="preserve">INV68867</t>
  </si>
  <si>
    <t xml:space="preserve">150130 מדנט באר שבע</t>
  </si>
  <si>
    <t xml:space="preserve">INV68915</t>
  </si>
  <si>
    <t xml:space="preserve">INV68951</t>
  </si>
  <si>
    <t xml:space="preserve">INV68882</t>
  </si>
  <si>
    <t xml:space="preserve">Total - 150130 מדנט באר שבע</t>
  </si>
  <si>
    <t xml:space="preserve">150138 מדיק סנטר ר.א בע"מ</t>
  </si>
  <si>
    <t xml:space="preserve">INV68956</t>
  </si>
  <si>
    <t xml:space="preserve">INV68869</t>
  </si>
  <si>
    <t xml:space="preserve">Total - 150138 מדיק סנטר ר.א בע"מ</t>
  </si>
  <si>
    <t xml:space="preserve">150139 מדילייט-אורטופדיה</t>
  </si>
  <si>
    <t xml:space="preserve">INV68982</t>
  </si>
  <si>
    <t xml:space="preserve">150161 ענת אורטופדיה א'-חיימוב ט</t>
  </si>
  <si>
    <t xml:space="preserve">INV68952</t>
  </si>
  <si>
    <t xml:space="preserve">150182 עטרת מדיפוט נתניה</t>
  </si>
  <si>
    <t xml:space="preserve">INV68859</t>
  </si>
  <si>
    <t xml:space="preserve">150196 לב האורטופדיה רחובות</t>
  </si>
  <si>
    <t xml:space="preserve">INV68893</t>
  </si>
  <si>
    <t xml:space="preserve">150202 רוני אורטופדיה בע"מ</t>
  </si>
  <si>
    <t xml:space="preserve">INV68897</t>
  </si>
  <si>
    <t xml:space="preserve">INV68932</t>
  </si>
  <si>
    <t xml:space="preserve">INV68977</t>
  </si>
  <si>
    <t xml:space="preserve">CM44675</t>
  </si>
  <si>
    <t xml:space="preserve">Total - 150202 רוני אורטופדיה בע"מ</t>
  </si>
  <si>
    <t xml:space="preserve">150336 מרכז לאביזרים אורט' אסותא</t>
  </si>
  <si>
    <t xml:space="preserve">INV68866</t>
  </si>
  <si>
    <t xml:space="preserve">150340 חגי אורטופדיה בע"מ</t>
  </si>
  <si>
    <t xml:space="preserve">INV68877</t>
  </si>
  <si>
    <t xml:space="preserve">150366 א.א.אורטופדיה איתי-יהוד</t>
  </si>
  <si>
    <t xml:space="preserve">INV68907</t>
  </si>
  <si>
    <t xml:space="preserve">INV68941</t>
  </si>
  <si>
    <t xml:space="preserve">Total - 150366 א.א.אורטופדיה איתי-יהוד</t>
  </si>
  <si>
    <t xml:space="preserve">151005 עקב אכילס -מכון אורטופדי</t>
  </si>
  <si>
    <t xml:space="preserve">INV68958</t>
  </si>
  <si>
    <t xml:space="preserve">151057 מזלטק בע"מ</t>
  </si>
  <si>
    <t xml:space="preserve">INV68883</t>
  </si>
  <si>
    <t xml:space="preserve">151136 אמיר מדיקל פארם בע"מ</t>
  </si>
  <si>
    <t xml:space="preserve">INV68934</t>
  </si>
  <si>
    <t xml:space="preserve">151144 רפואית כל</t>
  </si>
  <si>
    <t xml:space="preserve">INV68975</t>
  </si>
  <si>
    <t xml:space="preserve">151145 גל און קליניק אורתופדיה</t>
  </si>
  <si>
    <t xml:space="preserve">INV68980</t>
  </si>
  <si>
    <t xml:space="preserve">INV68928</t>
  </si>
  <si>
    <t xml:space="preserve">Total - 151145 גל און קליניק אורתופדיה</t>
  </si>
  <si>
    <t xml:space="preserve">151187 משי אורלגין בע"מ</t>
  </si>
  <si>
    <t xml:space="preserve">INV68886</t>
  </si>
  <si>
    <t xml:space="preserve">INV68993</t>
  </si>
  <si>
    <t xml:space="preserve">Total - 151187 משי אורלגין בע"מ</t>
  </si>
  <si>
    <t xml:space="preserve">151209 רוני אורטופדיה  בע"מ - רמבם</t>
  </si>
  <si>
    <t xml:space="preserve">INV68997</t>
  </si>
  <si>
    <t xml:space="preserve">INV68937</t>
  </si>
  <si>
    <t xml:space="preserve">INV68878</t>
  </si>
  <si>
    <t xml:space="preserve">INV68874</t>
  </si>
  <si>
    <t xml:space="preserve">CM44663</t>
  </si>
  <si>
    <t xml:space="preserve">Total - 151209 רוני אורטופדיה  בע"מ - רמבם</t>
  </si>
  <si>
    <t xml:space="preserve">152031 גפיים חיפה</t>
  </si>
  <si>
    <t xml:space="preserve">INV68864</t>
  </si>
  <si>
    <t xml:space="preserve">153196 קלפון וילפריד</t>
  </si>
  <si>
    <t xml:space="preserve">INV68924</t>
  </si>
  <si>
    <t xml:space="preserve">157464 מדיקל הצפון ב.מ-חורי</t>
  </si>
  <si>
    <t xml:space="preserve">INV68871</t>
  </si>
  <si>
    <t xml:space="preserve">157521 נזרין פארם-ראוי אורתופדיה</t>
  </si>
  <si>
    <t xml:space="preserve">INV68929</t>
  </si>
  <si>
    <t xml:space="preserve">INV68881</t>
  </si>
  <si>
    <t xml:space="preserve">INV68955</t>
  </si>
  <si>
    <t xml:space="preserve">INV68947</t>
  </si>
  <si>
    <t xml:space="preserve">CM44671</t>
  </si>
  <si>
    <t xml:space="preserve">Total - 157521 נזרין פארם-ראוי אורתופדיה</t>
  </si>
  <si>
    <t xml:space="preserve">C02177 עולם האורטופדיה והספורט</t>
  </si>
  <si>
    <t xml:space="preserve">INV68917</t>
  </si>
  <si>
    <t xml:space="preserve">C02233 זבוטובסקי ולרי</t>
  </si>
  <si>
    <t xml:space="preserve">INV68966</t>
  </si>
  <si>
    <t xml:space="preserve">C02311 אייזלר אורטופדיה בעמ</t>
  </si>
  <si>
    <t xml:space="preserve">INV68945</t>
  </si>
  <si>
    <t xml:space="preserve">INV68863</t>
  </si>
  <si>
    <t xml:space="preserve">INV68876</t>
  </si>
  <si>
    <t xml:space="preserve">INV68900</t>
  </si>
  <si>
    <t xml:space="preserve">Total - C02311 אייזלר אורטופדיה בעמ</t>
  </si>
  <si>
    <t xml:space="preserve">C02318 סופר ספיר בעמ</t>
  </si>
  <si>
    <t xml:space="preserve">CM44677</t>
  </si>
  <si>
    <t xml:space="preserve">Total - 102 - Orthopedic institutes</t>
  </si>
  <si>
    <t xml:space="preserve">150390 סופר פארם ישראל</t>
  </si>
  <si>
    <t xml:space="preserve">INV68992</t>
  </si>
  <si>
    <t xml:space="preserve">INV68991</t>
  </si>
  <si>
    <t xml:space="preserve">Total - 150390 סופר פארם ישראל</t>
  </si>
  <si>
    <t xml:space="preserve">Total - 111 - Superpharm Life</t>
  </si>
  <si>
    <t xml:space="preserve">150394 לור שרותי בריאות</t>
  </si>
  <si>
    <t xml:space="preserve">150394SC1 לור שירותי בריאות</t>
  </si>
  <si>
    <t xml:space="preserve">INV68910</t>
  </si>
  <si>
    <t xml:space="preserve">INV68960</t>
  </si>
  <si>
    <t xml:space="preserve">INV68942</t>
  </si>
  <si>
    <t xml:space="preserve">Total - 150394SC1 לור שירותי בריאות</t>
  </si>
  <si>
    <t xml:space="preserve">Total - 150394 לור שרותי בריאות</t>
  </si>
  <si>
    <t xml:space="preserve">151060 מכון מילא לפיזיוטרפיה</t>
  </si>
  <si>
    <t xml:space="preserve">INV68895</t>
  </si>
  <si>
    <t xml:space="preserve">151100 ס.ח מרכז בריאות</t>
  </si>
  <si>
    <t xml:space="preserve">INV68868</t>
  </si>
  <si>
    <t xml:space="preserve">C02326 וגנר שירה</t>
  </si>
  <si>
    <t xml:space="preserve">INV68902</t>
  </si>
  <si>
    <t xml:space="preserve">Total - 103 - Physiotherapy institutes</t>
  </si>
  <si>
    <t xml:space="preserve">151045 סנדלריית רוממה</t>
  </si>
  <si>
    <t xml:space="preserve">INV68963</t>
  </si>
  <si>
    <t xml:space="preserve">151138 בורג המפרץ בע"מ</t>
  </si>
  <si>
    <t xml:space="preserve">CM44676</t>
  </si>
  <si>
    <t xml:space="preserve">155504 בית טבע פנצאיה</t>
  </si>
  <si>
    <t xml:space="preserve">INV68935</t>
  </si>
  <si>
    <t xml:space="preserve">C02173 מגוון (א.ה.) מוצרי פרסום בע"מ</t>
  </si>
  <si>
    <t xml:space="preserve">INV68996</t>
  </si>
  <si>
    <t xml:space="preserve">C02268 ר.ת מדיקל גרופ</t>
  </si>
  <si>
    <t xml:space="preserve">INV68948</t>
  </si>
  <si>
    <t xml:space="preserve">C02270 טעם טבע של גיל</t>
  </si>
  <si>
    <t xml:space="preserve">INV68916</t>
  </si>
  <si>
    <t xml:space="preserve">INV68901</t>
  </si>
  <si>
    <t xml:space="preserve">Total - C02270 טעם טבע של גיל</t>
  </si>
  <si>
    <t xml:space="preserve">Total - 109 - Private Shops</t>
  </si>
  <si>
    <t xml:space="preserve">151127 בית טבע נטורלניק</t>
  </si>
  <si>
    <t xml:space="preserve">INV68981</t>
  </si>
  <si>
    <t xml:space="preserve">INV68944</t>
  </si>
  <si>
    <t xml:space="preserve">INV68943</t>
  </si>
  <si>
    <t xml:space="preserve">INV68961</t>
  </si>
  <si>
    <t xml:space="preserve">INV68905</t>
  </si>
  <si>
    <t xml:space="preserve">INV68930</t>
  </si>
  <si>
    <t xml:space="preserve">INV68870</t>
  </si>
  <si>
    <t xml:space="preserve">INV68976</t>
  </si>
  <si>
    <t xml:space="preserve">INV68949</t>
  </si>
  <si>
    <t xml:space="preserve">CM44646</t>
  </si>
  <si>
    <t xml:space="preserve">CM44647</t>
  </si>
  <si>
    <t xml:space="preserve">CM44672</t>
  </si>
  <si>
    <t xml:space="preserve">Total - 151127 בית טבע נטורלניק</t>
  </si>
  <si>
    <t xml:space="preserve">155120 ל.שונים בהקפה</t>
  </si>
  <si>
    <t xml:space="preserve">INV68940</t>
  </si>
  <si>
    <t xml:space="preserve">INV68884</t>
  </si>
  <si>
    <t xml:space="preserve">INV68919</t>
  </si>
  <si>
    <t xml:space="preserve">INV68909</t>
  </si>
  <si>
    <t xml:space="preserve">CM44673</t>
  </si>
  <si>
    <t xml:space="preserve">Total - 155120 ל.שונים בהקפה</t>
  </si>
  <si>
    <t xml:space="preserve">155121 ל.שונים במזומן</t>
  </si>
  <si>
    <t xml:space="preserve">INV68873</t>
  </si>
  <si>
    <t xml:space="preserve">CS24252</t>
  </si>
  <si>
    <t xml:space="preserve">CS24090</t>
  </si>
  <si>
    <t xml:space="preserve">Total - 155121 ל.שונים במזומן</t>
  </si>
  <si>
    <t xml:space="preserve">155190 קניות עובדים</t>
  </si>
  <si>
    <t xml:space="preserve">INV68885</t>
  </si>
  <si>
    <t xml:space="preserve">INV68931</t>
  </si>
  <si>
    <t xml:space="preserve">INV68927</t>
  </si>
  <si>
    <t xml:space="preserve">INV68994</t>
  </si>
  <si>
    <t xml:space="preserve">INV68950</t>
  </si>
  <si>
    <t xml:space="preserve">INV68896</t>
  </si>
  <si>
    <t xml:space="preserve">INV68908</t>
  </si>
  <si>
    <t xml:space="preserve">Total - 155190 קניות עובדים</t>
  </si>
  <si>
    <t xml:space="preserve">Total - 101 - Factory customers</t>
  </si>
  <si>
    <t xml:space="preserve">151178 ב.מ טוטאל פארם להבות חביב</t>
  </si>
  <si>
    <t xml:space="preserve">INV68923</t>
  </si>
  <si>
    <t xml:space="preserve">INV68862</t>
  </si>
  <si>
    <t xml:space="preserve">INV68957</t>
  </si>
  <si>
    <t xml:space="preserve">Total - 151178 ב.מ טוטאל פארם להבות חביב</t>
  </si>
  <si>
    <t xml:space="preserve">156500 הנגב בע"מ ב.מ</t>
  </si>
  <si>
    <t xml:space="preserve">INV68904</t>
  </si>
  <si>
    <t xml:space="preserve">156903 טל שחר ב.מ</t>
  </si>
  <si>
    <t xml:space="preserve">INV68906</t>
  </si>
  <si>
    <t xml:space="preserve">INV68939</t>
  </si>
  <si>
    <t xml:space="preserve">INV68865</t>
  </si>
  <si>
    <t xml:space="preserve">INV68962</t>
  </si>
  <si>
    <t xml:space="preserve">INV68968</t>
  </si>
  <si>
    <t xml:space="preserve">INV68918</t>
  </si>
  <si>
    <t xml:space="preserve">Total - 156903 טל שחר ב.מ</t>
  </si>
  <si>
    <t xml:space="preserve">156908 טלפארמה בע"מ</t>
  </si>
  <si>
    <t xml:space="preserve">INV68969</t>
  </si>
  <si>
    <t xml:space="preserve">C02307 מדי פארם בתי מרקחת בעמ</t>
  </si>
  <si>
    <t xml:space="preserve">INV68872</t>
  </si>
  <si>
    <t xml:space="preserve">INV68880</t>
  </si>
  <si>
    <t xml:space="preserve">INV68983</t>
  </si>
  <si>
    <t xml:space="preserve">INV68911</t>
  </si>
  <si>
    <t xml:space="preserve">INV68925</t>
  </si>
  <si>
    <t xml:space="preserve">INV68903</t>
  </si>
  <si>
    <t xml:space="preserve">Total - C02307 מדי פארם בתי מרקחת בעמ</t>
  </si>
  <si>
    <t xml:space="preserve">Total - 107 - Pharmacies</t>
  </si>
  <si>
    <t xml:space="preserve">152010 איכילוב ביה'ח-מחסן ציוד</t>
  </si>
  <si>
    <t xml:space="preserve">INV68985</t>
  </si>
  <si>
    <t xml:space="preserve">Total - 106 - Hospitals</t>
  </si>
  <si>
    <t xml:space="preserve">152401 קופת חולים מאוחדת</t>
  </si>
  <si>
    <t xml:space="preserve">7114 7114-קופ"ח מאוחדת קרית ספר (אבני נזר)</t>
  </si>
  <si>
    <t xml:space="preserve">CM44674</t>
  </si>
  <si>
    <t xml:space="preserve">7418 7418-קופ"ח מאוחדת עכו</t>
  </si>
  <si>
    <t xml:space="preserve">INV68926</t>
  </si>
  <si>
    <t xml:space="preserve">Total - 152401 קופת חולים מאוחדת</t>
  </si>
  <si>
    <t xml:space="preserve">Total - 113 - Kupat Holim Meuhedet</t>
  </si>
  <si>
    <t xml:space="preserve">152501 קופ"ח כללית 1203-9</t>
  </si>
  <si>
    <t xml:space="preserve">INV68954</t>
  </si>
  <si>
    <t xml:space="preserve">INV68967</t>
  </si>
  <si>
    <t xml:space="preserve">INV68888</t>
  </si>
  <si>
    <t xml:space="preserve">INV68920</t>
  </si>
  <si>
    <t xml:space="preserve">INV68913</t>
  </si>
  <si>
    <t xml:space="preserve">INV68972</t>
  </si>
  <si>
    <t xml:space="preserve">INV68887</t>
  </si>
  <si>
    <t xml:space="preserve">INV68953</t>
  </si>
  <si>
    <t xml:space="preserve">INV68933</t>
  </si>
  <si>
    <t xml:space="preserve">INV68889</t>
  </si>
  <si>
    <t xml:space="preserve">INV68891</t>
  </si>
  <si>
    <t xml:space="preserve">INV68973</t>
  </si>
  <si>
    <t xml:space="preserve">INV68987</t>
  </si>
  <si>
    <t xml:space="preserve">INV68986</t>
  </si>
  <si>
    <t xml:space="preserve">INV68914</t>
  </si>
  <si>
    <t xml:space="preserve">INV68912</t>
  </si>
  <si>
    <t xml:space="preserve">INV68921</t>
  </si>
  <si>
    <t xml:space="preserve">INV68936</t>
  </si>
  <si>
    <t xml:space="preserve">INV68990</t>
  </si>
  <si>
    <t xml:space="preserve">INV68890</t>
  </si>
  <si>
    <t xml:space="preserve">INV68946</t>
  </si>
  <si>
    <t xml:space="preserve">INV68959</t>
  </si>
  <si>
    <t xml:space="preserve">INV68899</t>
  </si>
  <si>
    <t xml:space="preserve">INV68988</t>
  </si>
  <si>
    <t xml:space="preserve">INV68898</t>
  </si>
  <si>
    <t xml:space="preserve">Total - 152501 קופ"ח כללית 1203-9</t>
  </si>
  <si>
    <t xml:space="preserve">Total - 112 - Kupat Holim Clalit</t>
  </si>
  <si>
    <t xml:space="preserve">155138 לקוח אינטרנט</t>
  </si>
  <si>
    <t xml:space="preserve">CS25787</t>
  </si>
  <si>
    <t xml:space="preserve">CS25788</t>
  </si>
  <si>
    <t xml:space="preserve">CS24882</t>
  </si>
  <si>
    <t xml:space="preserve">CS25180</t>
  </si>
  <si>
    <t xml:space="preserve">CS24415</t>
  </si>
  <si>
    <t xml:space="preserve">CS24656</t>
  </si>
  <si>
    <t xml:space="preserve">CS25791</t>
  </si>
  <si>
    <t xml:space="preserve">CS24953</t>
  </si>
  <si>
    <t xml:space="preserve">CS24557</t>
  </si>
  <si>
    <t xml:space="preserve">CS24385</t>
  </si>
  <si>
    <t xml:space="preserve">CS24240</t>
  </si>
  <si>
    <t xml:space="preserve">CS24869</t>
  </si>
  <si>
    <t xml:space="preserve">CS25058</t>
  </si>
  <si>
    <t xml:space="preserve">CS25413</t>
  </si>
  <si>
    <t xml:space="preserve">CS25798</t>
  </si>
  <si>
    <t xml:space="preserve">CS25226</t>
  </si>
  <si>
    <t xml:space="preserve">CS24842</t>
  </si>
  <si>
    <t xml:space="preserve">CS24581</t>
  </si>
  <si>
    <t xml:space="preserve">CS24084</t>
  </si>
  <si>
    <t xml:space="preserve">CS25276</t>
  </si>
  <si>
    <t xml:space="preserve">CS25677</t>
  </si>
  <si>
    <t xml:space="preserve">CS24722</t>
  </si>
  <si>
    <t xml:space="preserve">CS24802</t>
  </si>
  <si>
    <t xml:space="preserve">CS24152</t>
  </si>
  <si>
    <t xml:space="preserve">CS25286</t>
  </si>
  <si>
    <t xml:space="preserve">CS25541</t>
  </si>
  <si>
    <t xml:space="preserve">CS24224</t>
  </si>
  <si>
    <t xml:space="preserve">CS24072</t>
  </si>
  <si>
    <t xml:space="preserve">CS24314</t>
  </si>
  <si>
    <t xml:space="preserve">CS25497</t>
  </si>
  <si>
    <t xml:space="preserve">CS25804</t>
  </si>
  <si>
    <t xml:space="preserve">CS25776</t>
  </si>
  <si>
    <t xml:space="preserve">CS24229</t>
  </si>
  <si>
    <t xml:space="preserve">CS25055</t>
  </si>
  <si>
    <t xml:space="preserve">CS25251</t>
  </si>
  <si>
    <t xml:space="preserve">CS24305</t>
  </si>
  <si>
    <t xml:space="preserve">CS24981</t>
  </si>
  <si>
    <t xml:space="preserve">CS25653</t>
  </si>
  <si>
    <t xml:space="preserve">CS25586</t>
  </si>
  <si>
    <t xml:space="preserve">CS25429</t>
  </si>
  <si>
    <t xml:space="preserve">CS24730</t>
  </si>
  <si>
    <t xml:space="preserve">CS25728</t>
  </si>
  <si>
    <t xml:space="preserve">CS25676</t>
  </si>
  <si>
    <t xml:space="preserve">CS24902</t>
  </si>
  <si>
    <t xml:space="preserve">CS24669</t>
  </si>
  <si>
    <t xml:space="preserve">CS25466</t>
  </si>
  <si>
    <t xml:space="preserve">CS25490</t>
  </si>
  <si>
    <t xml:space="preserve">CS24038</t>
  </si>
  <si>
    <t xml:space="preserve">CS24257</t>
  </si>
  <si>
    <t xml:space="preserve">CS24231</t>
  </si>
  <si>
    <t xml:space="preserve">CS25535</t>
  </si>
  <si>
    <t xml:space="preserve">CS24172</t>
  </si>
  <si>
    <t xml:space="preserve">CS25494</t>
  </si>
  <si>
    <t xml:space="preserve">CS25463</t>
  </si>
  <si>
    <t xml:space="preserve">CS25278</t>
  </si>
  <si>
    <t xml:space="preserve">CS25253</t>
  </si>
  <si>
    <t xml:space="preserve">CS24505</t>
  </si>
  <si>
    <t xml:space="preserve">CS25648</t>
  </si>
  <si>
    <t xml:space="preserve">CS25451</t>
  </si>
  <si>
    <t xml:space="preserve">CS25130</t>
  </si>
  <si>
    <t xml:space="preserve">CS25608</t>
  </si>
  <si>
    <t xml:space="preserve">CS24970</t>
  </si>
  <si>
    <t xml:space="preserve">CS24997</t>
  </si>
  <si>
    <t xml:space="preserve">CS24649</t>
  </si>
  <si>
    <t xml:space="preserve">CS25205</t>
  </si>
  <si>
    <t xml:space="preserve">CS25144</t>
  </si>
  <si>
    <t xml:space="preserve">CS24564</t>
  </si>
  <si>
    <t xml:space="preserve">CS25016</t>
  </si>
  <si>
    <t xml:space="preserve">CS24532</t>
  </si>
  <si>
    <t xml:space="preserve">CS25662</t>
  </si>
  <si>
    <t xml:space="preserve">CS24119</t>
  </si>
  <si>
    <t xml:space="preserve">CS25349</t>
  </si>
  <si>
    <t xml:space="preserve">CS24911</t>
  </si>
  <si>
    <t xml:space="preserve">CS24528</t>
  </si>
  <si>
    <t xml:space="preserve">CS24523</t>
  </si>
  <si>
    <t xml:space="preserve">CS24627</t>
  </si>
  <si>
    <t xml:space="preserve">CS25727</t>
  </si>
  <si>
    <t xml:space="preserve">CS25505</t>
  </si>
  <si>
    <t xml:space="preserve">CS25341</t>
  </si>
  <si>
    <t xml:space="preserve">CS25091</t>
  </si>
  <si>
    <t xml:space="preserve">CS25824</t>
  </si>
  <si>
    <t xml:space="preserve">CS25271</t>
  </si>
  <si>
    <t xml:space="preserve">CS24794</t>
  </si>
  <si>
    <t xml:space="preserve">CS24447</t>
  </si>
  <si>
    <t xml:space="preserve">CS24808</t>
  </si>
  <si>
    <t xml:space="preserve">CS25635</t>
  </si>
  <si>
    <t xml:space="preserve">CS24720</t>
  </si>
  <si>
    <t xml:space="preserve">CS25188</t>
  </si>
  <si>
    <t xml:space="preserve">CS25244</t>
  </si>
  <si>
    <t xml:space="preserve">CS25022</t>
  </si>
  <si>
    <t xml:space="preserve">CS25472</t>
  </si>
  <si>
    <t xml:space="preserve">CS25050</t>
  </si>
  <si>
    <t xml:space="preserve">CS24207</t>
  </si>
  <si>
    <t xml:space="preserve">CS25257</t>
  </si>
  <si>
    <t xml:space="preserve">CS24176</t>
  </si>
  <si>
    <t xml:space="preserve">CS24915</t>
  </si>
  <si>
    <t xml:space="preserve">CS24158</t>
  </si>
  <si>
    <t xml:space="preserve">CS24796</t>
  </si>
  <si>
    <t xml:space="preserve">CS24352</t>
  </si>
  <si>
    <t xml:space="preserve">CS24164</t>
  </si>
  <si>
    <t xml:space="preserve">CS24893</t>
  </si>
  <si>
    <t xml:space="preserve">CS24366</t>
  </si>
  <si>
    <t xml:space="preserve">CS24781</t>
  </si>
  <si>
    <t xml:space="preserve">CS24738</t>
  </si>
  <si>
    <t xml:space="preserve">CS24390</t>
  </si>
  <si>
    <t xml:space="preserve">CS24068</t>
  </si>
  <si>
    <t xml:space="preserve">CS25273</t>
  </si>
  <si>
    <t xml:space="preserve">CS24797</t>
  </si>
  <si>
    <t xml:space="preserve">CS24083</t>
  </si>
  <si>
    <t xml:space="preserve">CS24246</t>
  </si>
  <si>
    <t xml:space="preserve">CS24168</t>
  </si>
  <si>
    <t xml:space="preserve">CS24124</t>
  </si>
  <si>
    <t xml:space="preserve">CS24179</t>
  </si>
  <si>
    <t xml:space="preserve">CS24807</t>
  </si>
  <si>
    <t xml:space="preserve">CS25700</t>
  </si>
  <si>
    <t xml:space="preserve">CS25774</t>
  </si>
  <si>
    <t xml:space="preserve">CS25694</t>
  </si>
  <si>
    <t xml:space="preserve">CS25716</t>
  </si>
  <si>
    <t xml:space="preserve">CS25733</t>
  </si>
  <si>
    <t xml:space="preserve">CS25695</t>
  </si>
  <si>
    <t xml:space="preserve">CS25686</t>
  </si>
  <si>
    <t xml:space="preserve">CS24588</t>
  </si>
  <si>
    <t xml:space="preserve">CS24402</t>
  </si>
  <si>
    <t xml:space="preserve">CS25224</t>
  </si>
  <si>
    <t xml:space="preserve">CS25374</t>
  </si>
  <si>
    <t xml:space="preserve">CS24193</t>
  </si>
  <si>
    <t xml:space="preserve">CS25334</t>
  </si>
  <si>
    <t xml:space="preserve">CS24913</t>
  </si>
  <si>
    <t xml:space="preserve">CS25583</t>
  </si>
  <si>
    <t xml:space="preserve">CS24639</t>
  </si>
  <si>
    <t xml:space="preserve">CS24500</t>
  </si>
  <si>
    <t xml:space="preserve">CS24578</t>
  </si>
  <si>
    <t xml:space="preserve">CS24445</t>
  </si>
  <si>
    <t xml:space="preserve">CS24334</t>
  </si>
  <si>
    <t xml:space="preserve">CS25604</t>
  </si>
  <si>
    <t xml:space="preserve">CS25372</t>
  </si>
  <si>
    <t xml:space="preserve">CS24701</t>
  </si>
  <si>
    <t xml:space="preserve">CS24548</t>
  </si>
  <si>
    <t xml:space="preserve">CS24307</t>
  </si>
  <si>
    <t xml:space="preserve">CS25017</t>
  </si>
  <si>
    <t xml:space="preserve">CS24499</t>
  </si>
  <si>
    <t xml:space="preserve">CS24061</t>
  </si>
  <si>
    <t xml:space="preserve">CS24653</t>
  </si>
  <si>
    <t xml:space="preserve">CS24941</t>
  </si>
  <si>
    <t xml:space="preserve">CS24645</t>
  </si>
  <si>
    <t xml:space="preserve">CS24062</t>
  </si>
  <si>
    <t xml:space="preserve">CS25259</t>
  </si>
  <si>
    <t xml:space="preserve">CS24546</t>
  </si>
  <si>
    <t xml:space="preserve">CS24665</t>
  </si>
  <si>
    <t xml:space="preserve">CS24497</t>
  </si>
  <si>
    <t xml:space="preserve">CS24929</t>
  </si>
  <si>
    <t xml:space="preserve">CS24706</t>
  </si>
  <si>
    <t xml:space="preserve">CS24803</t>
  </si>
  <si>
    <t xml:space="preserve">CS25269</t>
  </si>
  <si>
    <t xml:space="preserve">CS24378</t>
  </si>
  <si>
    <t xml:space="preserve">CS24127</t>
  </si>
  <si>
    <t xml:space="preserve">CS24888</t>
  </si>
  <si>
    <t xml:space="preserve">CS25178</t>
  </si>
  <si>
    <t xml:space="preserve">CS24142</t>
  </si>
  <si>
    <t xml:space="preserve">CS24458</t>
  </si>
  <si>
    <t xml:space="preserve">CS24801</t>
  </si>
  <si>
    <t xml:space="preserve">CS24615</t>
  </si>
  <si>
    <t xml:space="preserve">CS25617</t>
  </si>
  <si>
    <t xml:space="preserve">CS24146</t>
  </si>
  <si>
    <t xml:space="preserve">CS24153</t>
  </si>
  <si>
    <t xml:space="preserve">CS24919</t>
  </si>
  <si>
    <t xml:space="preserve">CS25763</t>
  </si>
  <si>
    <t xml:space="preserve">CS25303</t>
  </si>
  <si>
    <t xml:space="preserve">CS24868</t>
  </si>
  <si>
    <t xml:space="preserve">CS25630</t>
  </si>
  <si>
    <t xml:space="preserve">CS24772</t>
  </si>
  <si>
    <t xml:space="preserve">CS25747</t>
  </si>
  <si>
    <t xml:space="preserve">CS25795</t>
  </si>
  <si>
    <t xml:space="preserve">CS25730</t>
  </si>
  <si>
    <t xml:space="preserve">CS25417</t>
  </si>
  <si>
    <t xml:space="preserve">CS25408</t>
  </si>
  <si>
    <t xml:space="preserve">CS24423</t>
  </si>
  <si>
    <t xml:space="preserve">CS24606</t>
  </si>
  <si>
    <t xml:space="preserve">CS24225</t>
  </si>
  <si>
    <t xml:space="preserve">CS24159</t>
  </si>
  <si>
    <t xml:space="preserve">CS24085</t>
  </si>
  <si>
    <t xml:space="preserve">CS25149</t>
  </si>
  <si>
    <t xml:space="preserve">CS24821</t>
  </si>
  <si>
    <t xml:space="preserve">CS24561</t>
  </si>
  <si>
    <t xml:space="preserve">CS25223</t>
  </si>
  <si>
    <t xml:space="preserve">CS25430</t>
  </si>
  <si>
    <t xml:space="preserve">CS24804</t>
  </si>
  <si>
    <t xml:space="preserve">CS25319</t>
  </si>
  <si>
    <t xml:space="preserve">CS24938</t>
  </si>
  <si>
    <t xml:space="preserve">CS25797</t>
  </si>
  <si>
    <t xml:space="preserve">CS25748</t>
  </si>
  <si>
    <t xml:space="preserve">CS25764</t>
  </si>
  <si>
    <t xml:space="preserve">CS25724</t>
  </si>
  <si>
    <t xml:space="preserve">CS25672</t>
  </si>
  <si>
    <t xml:space="preserve">CS24753</t>
  </si>
  <si>
    <t xml:space="preserve">CS25652</t>
  </si>
  <si>
    <t xml:space="preserve">CS25230</t>
  </si>
  <si>
    <t xml:space="preserve">CS24690</t>
  </si>
  <si>
    <t xml:space="preserve">CS25465</t>
  </si>
  <si>
    <t xml:space="preserve">CS24723</t>
  </si>
  <si>
    <t xml:space="preserve">CS24492</t>
  </si>
  <si>
    <t xml:space="preserve">CS24685</t>
  </si>
  <si>
    <t xml:space="preserve">CS24269</t>
  </si>
  <si>
    <t xml:space="preserve">CS25033</t>
  </si>
  <si>
    <t xml:space="preserve">CS24584</t>
  </si>
  <si>
    <t xml:space="preserve">CS24095</t>
  </si>
  <si>
    <t xml:space="preserve">CS25014</t>
  </si>
  <si>
    <t xml:space="preserve">CS24399</t>
  </si>
  <si>
    <t xml:space="preserve">CS24480</t>
  </si>
  <si>
    <t xml:space="preserve">CS24230</t>
  </si>
  <si>
    <t xml:space="preserve">CS24418</t>
  </si>
  <si>
    <t xml:space="preserve">CS25484</t>
  </si>
  <si>
    <t xml:space="preserve">CS25004</t>
  </si>
  <si>
    <t xml:space="preserve">CS24729</t>
  </si>
  <si>
    <t xml:space="preserve">CS24031</t>
  </si>
  <si>
    <t xml:space="preserve">CS25770</t>
  </si>
  <si>
    <t xml:space="preserve">CS25470</t>
  </si>
  <si>
    <t xml:space="preserve">CS25501</t>
  </si>
  <si>
    <t xml:space="preserve">CS25128</t>
  </si>
  <si>
    <t xml:space="preserve">CS25321</t>
  </si>
  <si>
    <t xml:space="preserve">CS25450</t>
  </si>
  <si>
    <t xml:space="preserve">CS25520</t>
  </si>
  <si>
    <t xml:space="preserve">CS24956</t>
  </si>
  <si>
    <t xml:space="preserve">CS25098</t>
  </si>
  <si>
    <t xml:space="preserve">CS25083</t>
  </si>
  <si>
    <t xml:space="preserve">CS25742</t>
  </si>
  <si>
    <t xml:space="preserve">CS25563</t>
  </si>
  <si>
    <t xml:space="preserve">CS24199</t>
  </si>
  <si>
    <t xml:space="preserve">CS24951</t>
  </si>
  <si>
    <t xml:space="preserve">CS24975</t>
  </si>
  <si>
    <t xml:space="preserve">CS25737</t>
  </si>
  <si>
    <t xml:space="preserve">CS24580</t>
  </si>
  <si>
    <t xml:space="preserve">CS25588</t>
  </si>
  <si>
    <t xml:space="preserve">CS25684</t>
  </si>
  <si>
    <t xml:space="preserve">CS25664</t>
  </si>
  <si>
    <t xml:space="preserve">CS25502</t>
  </si>
  <si>
    <t xml:space="preserve">CS24960</t>
  </si>
  <si>
    <t xml:space="preserve">CS24756</t>
  </si>
  <si>
    <t xml:space="preserve">CS24410</t>
  </si>
  <si>
    <t xml:space="preserve">CS24494</t>
  </si>
  <si>
    <t xml:space="preserve">CS24732</t>
  </si>
  <si>
    <t xml:space="preserve">CS25375</t>
  </si>
  <si>
    <t xml:space="preserve">CS25448</t>
  </si>
  <si>
    <t xml:space="preserve">CS24828</t>
  </si>
  <si>
    <t xml:space="preserve">CS25229</t>
  </si>
  <si>
    <t xml:space="preserve">CS24446</t>
  </si>
  <si>
    <t xml:space="preserve">CS24816</t>
  </si>
  <si>
    <t xml:space="preserve">CS25581</t>
  </si>
  <si>
    <t xml:space="preserve">CS24684</t>
  </si>
  <si>
    <t xml:space="preserve">CS24400</t>
  </si>
  <si>
    <t xml:space="preserve">CS24918</t>
  </si>
  <si>
    <t xml:space="preserve">CS24920</t>
  </si>
  <si>
    <t xml:space="preserve">CS24365</t>
  </si>
  <si>
    <t xml:space="preserve">CS24743</t>
  </si>
  <si>
    <t xml:space="preserve">CS25395</t>
  </si>
  <si>
    <t xml:space="preserve">CS24834</t>
  </si>
  <si>
    <t xml:space="preserve">CS24118</t>
  </si>
  <si>
    <t xml:space="preserve">CS25512</t>
  </si>
  <si>
    <t xml:space="preserve">CS25620</t>
  </si>
  <si>
    <t xml:space="preserve">CS24927</t>
  </si>
  <si>
    <t xml:space="preserve">CS24784</t>
  </si>
  <si>
    <t xml:space="preserve">CS25532</t>
  </si>
  <si>
    <t xml:space="preserve">CS25387</t>
  </si>
  <si>
    <t xml:space="preserve">CS25782</t>
  </si>
  <si>
    <t xml:space="preserve">CS25614</t>
  </si>
  <si>
    <t xml:space="preserve">CS25353</t>
  </si>
  <si>
    <t xml:space="preserve">CS24683</t>
  </si>
  <si>
    <t xml:space="preserve">CS24550</t>
  </si>
  <si>
    <t xml:space="preserve">CS25562</t>
  </si>
  <si>
    <t xml:space="preserve">CS25198</t>
  </si>
  <si>
    <t xml:space="preserve">CS24060</t>
  </si>
  <si>
    <t xml:space="preserve">CS25146</t>
  </si>
  <si>
    <t xml:space="preserve">CS25028</t>
  </si>
  <si>
    <t xml:space="preserve">CS24910</t>
  </si>
  <si>
    <t xml:space="preserve">CS25697</t>
  </si>
  <si>
    <t xml:space="preserve">CS25001</t>
  </si>
  <si>
    <t xml:space="preserve">CS24787</t>
  </si>
  <si>
    <t xml:space="preserve">CS25109</t>
  </si>
  <si>
    <t xml:space="preserve">CS25047</t>
  </si>
  <si>
    <t xml:space="preserve">CS25573</t>
  </si>
  <si>
    <t xml:space="preserve">CS24845</t>
  </si>
  <si>
    <t xml:space="preserve">CS24501</t>
  </si>
  <si>
    <t xml:space="preserve">CS24789</t>
  </si>
  <si>
    <t xml:space="preserve">CS25213</t>
  </si>
  <si>
    <t xml:space="preserve">CS25559</t>
  </si>
  <si>
    <t xml:space="preserve">CS24926</t>
  </si>
  <si>
    <t xml:space="preserve">CS24759</t>
  </si>
  <si>
    <t xml:space="preserve">CS24114</t>
  </si>
  <si>
    <t xml:space="preserve">CS24969</t>
  </si>
  <si>
    <t xml:space="preserve">CS25316</t>
  </si>
  <si>
    <t xml:space="preserve">CS25035</t>
  </si>
  <si>
    <t xml:space="preserve">CS24121</t>
  </si>
  <si>
    <t xml:space="preserve">CS25706</t>
  </si>
  <si>
    <t xml:space="preserve">CS24277</t>
  </si>
  <si>
    <t xml:space="preserve">CS24971</t>
  </si>
  <si>
    <t xml:space="preserve">CS24900</t>
  </si>
  <si>
    <t xml:space="preserve">CS25233</t>
  </si>
  <si>
    <t xml:space="preserve">CS24829</t>
  </si>
  <si>
    <t xml:space="preserve">CS24791</t>
  </si>
  <si>
    <t xml:space="preserve">CS25623</t>
  </si>
  <si>
    <t xml:space="preserve">CS24355</t>
  </si>
  <si>
    <t xml:space="preserve">CS24950</t>
  </si>
  <si>
    <t xml:space="preserve">CS24357</t>
  </si>
  <si>
    <t xml:space="preserve">CS24529</t>
  </si>
  <si>
    <t xml:space="preserve">CS25124</t>
  </si>
  <si>
    <t xml:space="preserve">CS24328</t>
  </si>
  <si>
    <t xml:space="preserve">CS25011</t>
  </si>
  <si>
    <t xml:space="preserve">CS24824</t>
  </si>
  <si>
    <t xml:space="preserve">CS25654</t>
  </si>
  <si>
    <t xml:space="preserve">CS25519</t>
  </si>
  <si>
    <t xml:space="preserve">CS24785</t>
  </si>
  <si>
    <t xml:space="preserve">CS25734</t>
  </si>
  <si>
    <t xml:space="preserve">CS25043</t>
  </si>
  <si>
    <t xml:space="preserve">CS25299</t>
  </si>
  <si>
    <t xml:space="preserve">CS24524</t>
  </si>
  <si>
    <t xml:space="preserve">CS25027</t>
  </si>
  <si>
    <t xml:space="preserve">CS24849</t>
  </si>
  <si>
    <t xml:space="preserve">CS25806</t>
  </si>
  <si>
    <t xml:space="preserve">CS25469</t>
  </si>
  <si>
    <t xml:space="preserve">CS24386</t>
  </si>
  <si>
    <t xml:space="preserve">CS24752</t>
  </si>
  <si>
    <t xml:space="preserve">CS24372</t>
  </si>
  <si>
    <t xml:space="preserve">CS24029</t>
  </si>
  <si>
    <t xml:space="preserve">CS25156</t>
  </si>
  <si>
    <t xml:space="preserve">CS24871</t>
  </si>
  <si>
    <t xml:space="preserve">CS24130</t>
  </si>
  <si>
    <t xml:space="preserve">CS24574</t>
  </si>
  <si>
    <t xml:space="preserve">CS24206</t>
  </si>
  <si>
    <t xml:space="preserve">CS24391</t>
  </si>
  <si>
    <t xml:space="preserve">CS24067</t>
  </si>
  <si>
    <t xml:space="preserve">CS25076</t>
  </si>
  <si>
    <t xml:space="preserve">CS25503</t>
  </si>
  <si>
    <t xml:space="preserve">CS25088</t>
  </si>
  <si>
    <t xml:space="preserve">CS24923</t>
  </si>
  <si>
    <t xml:space="preserve">CS24044</t>
  </si>
  <si>
    <t xml:space="preserve">CS25318</t>
  </si>
  <si>
    <t xml:space="preserve">CS24456</t>
  </si>
  <si>
    <t xml:space="preserve">CS25597</t>
  </si>
  <si>
    <t xml:space="preserve">CS25565</t>
  </si>
  <si>
    <t xml:space="preserve">CS25461</t>
  </si>
  <si>
    <t xml:space="preserve">CS25603</t>
  </si>
  <si>
    <t xml:space="preserve">CS24323</t>
  </si>
  <si>
    <t xml:space="preserve">CS25637</t>
  </si>
  <si>
    <t xml:space="preserve">CS24514</t>
  </si>
  <si>
    <t xml:space="preserve">CS25148</t>
  </si>
  <si>
    <t xml:space="preserve">CS25592</t>
  </si>
  <si>
    <t xml:space="preserve">CS24438</t>
  </si>
  <si>
    <t xml:space="preserve">CS24196</t>
  </si>
  <si>
    <t xml:space="preserve">CS25564</t>
  </si>
  <si>
    <t xml:space="preserve">CS25516</t>
  </si>
  <si>
    <t xml:space="preserve">CS24285</t>
  </si>
  <si>
    <t xml:space="preserve">CS24675</t>
  </si>
  <si>
    <t xml:space="preserve">CS25814</t>
  </si>
  <si>
    <t xml:space="preserve">CS24182</t>
  </si>
  <si>
    <t xml:space="preserve">CS24412</t>
  </si>
  <si>
    <t xml:space="preserve">CS25070</t>
  </si>
  <si>
    <t xml:space="preserve">CS24510</t>
  </si>
  <si>
    <t xml:space="preserve">CS24363</t>
  </si>
  <si>
    <t xml:space="preserve">CS25300</t>
  </si>
  <si>
    <t xml:space="preserve">CS25100</t>
  </si>
  <si>
    <t xml:space="preserve">CS25732</t>
  </si>
  <si>
    <t xml:space="preserve">CS24475</t>
  </si>
  <si>
    <t xml:space="preserve">CS24432</t>
  </si>
  <si>
    <t xml:space="preserve">CS24998</t>
  </si>
  <si>
    <t xml:space="preserve">CS24637</t>
  </si>
  <si>
    <t xml:space="preserve">CS25649</t>
  </si>
  <si>
    <t xml:space="preserve">CS24903</t>
  </si>
  <si>
    <t xml:space="preserve">CS24863</t>
  </si>
  <si>
    <t xml:space="preserve">CS24301</t>
  </si>
  <si>
    <t xml:space="preserve">CS25053</t>
  </si>
  <si>
    <t xml:space="preserve">CS25079</t>
  </si>
  <si>
    <t xml:space="preserve">CS24612</t>
  </si>
  <si>
    <t xml:space="preserve">CS24899</t>
  </si>
  <si>
    <t xml:space="preserve">CS24449</t>
  </si>
  <si>
    <t xml:space="preserve">CS25305</t>
  </si>
  <si>
    <t xml:space="preserve">CS24945</t>
  </si>
  <si>
    <t xml:space="preserve">CS24204</t>
  </si>
  <si>
    <t xml:space="preserve">CS25238</t>
  </si>
  <si>
    <t xml:space="preserve">CS25323</t>
  </si>
  <si>
    <t xml:space="preserve">CS24506</t>
  </si>
  <si>
    <t xml:space="preserve">CS24678</t>
  </si>
  <si>
    <t xml:space="preserve">CS24244</t>
  </si>
  <si>
    <t xml:space="preserve">CS24767</t>
  </si>
  <si>
    <t xml:space="preserve">CS24750</t>
  </si>
  <si>
    <t xml:space="preserve">CS24686</t>
  </si>
  <si>
    <t xml:space="preserve">CS24110</t>
  </si>
  <si>
    <t xml:space="preserve">CS24048</t>
  </si>
  <si>
    <t xml:space="preserve">CS24843</t>
  </si>
  <si>
    <t xml:space="preserve">CS24388</t>
  </si>
  <si>
    <t xml:space="preserve">CS24795</t>
  </si>
  <si>
    <t xml:space="preserve">CS25082</t>
  </si>
  <si>
    <t xml:space="preserve">CS24713</t>
  </si>
  <si>
    <t xml:space="preserve">CS25129</t>
  </si>
  <si>
    <t xml:space="preserve">CS25825</t>
  </si>
  <si>
    <t xml:space="preserve">CS24434</t>
  </si>
  <si>
    <t xml:space="preserve">CS25113</t>
  </si>
  <si>
    <t xml:space="preserve">CS24724</t>
  </si>
  <si>
    <t xml:space="preserve">CS24961</t>
  </si>
  <si>
    <t xml:space="preserve">CS24957</t>
  </si>
  <si>
    <t xml:space="preserve">CS25796</t>
  </si>
  <si>
    <t xml:space="preserve">CS25106</t>
  </si>
  <si>
    <t xml:space="preserve">CS24954</t>
  </si>
  <si>
    <t xml:space="preserve">CS25265</t>
  </si>
  <si>
    <t xml:space="preserve">CS25749</t>
  </si>
  <si>
    <t xml:space="preserve">CS25337</t>
  </si>
  <si>
    <t xml:space="preserve">CS24471</t>
  </si>
  <si>
    <t xml:space="preserve">CS25252</t>
  </si>
  <si>
    <t xml:space="preserve">CS24734</t>
  </si>
  <si>
    <t xml:space="preserve">CS24232</t>
  </si>
  <si>
    <t xml:space="preserve">CS25593</t>
  </si>
  <si>
    <t xml:space="preserve">CS25074</t>
  </si>
  <si>
    <t xml:space="preserve">CS24775</t>
  </si>
  <si>
    <t xml:space="preserve">CS24811</t>
  </si>
  <si>
    <t xml:space="preserve">CS24641</t>
  </si>
  <si>
    <t xml:space="preserve">CS24825</t>
  </si>
  <si>
    <t xml:space="preserve">CS24946</t>
  </si>
  <si>
    <t xml:space="preserve">CS25117</t>
  </si>
  <si>
    <t xml:space="preserve">CS25280</t>
  </si>
  <si>
    <t xml:space="preserve">CS24543</t>
  </si>
  <si>
    <t xml:space="preserve">CS24892</t>
  </si>
  <si>
    <t xml:space="preserve">CS24887</t>
  </si>
  <si>
    <t xml:space="preserve">CS25264</t>
  </si>
  <si>
    <t xml:space="preserve">CS25241</t>
  </si>
  <si>
    <t xml:space="preserve">CS24190</t>
  </si>
  <si>
    <t xml:space="preserve">CS24972</t>
  </si>
  <si>
    <t xml:space="preserve">CS24662</t>
  </si>
  <si>
    <t xml:space="preserve">CS24788</t>
  </si>
  <si>
    <t xml:space="preserve">CS24046</t>
  </si>
  <si>
    <t xml:space="preserve">CS25698</t>
  </si>
  <si>
    <t xml:space="preserve">CS24367</t>
  </si>
  <si>
    <t xml:space="preserve">CS24210</t>
  </si>
  <si>
    <t xml:space="preserve">CS24113</t>
  </si>
  <si>
    <t xml:space="preserve">CS25248</t>
  </si>
  <si>
    <t xml:space="preserve">CS25119</t>
  </si>
  <si>
    <t xml:space="preserve">CS24472</t>
  </si>
  <si>
    <t xml:space="preserve">CS25217</t>
  </si>
  <si>
    <t xml:space="preserve">CS24382</t>
  </si>
  <si>
    <t xml:space="preserve">CS25646</t>
  </si>
  <si>
    <t xml:space="preserve">CS24837</t>
  </si>
  <si>
    <t xml:space="preserve">CS24404</t>
  </si>
  <si>
    <t xml:space="preserve">CS25675</t>
  </si>
  <si>
    <t xml:space="preserve">CS25666</t>
  </si>
  <si>
    <t xml:space="preserve">CS25288</t>
  </si>
  <si>
    <t xml:space="preserve">CS24249</t>
  </si>
  <si>
    <t xml:space="preserve">CS25263</t>
  </si>
  <si>
    <t xml:space="preserve">CS25086</t>
  </si>
  <si>
    <t xml:space="preserve">CS25007</t>
  </si>
  <si>
    <t xml:space="preserve">CS24940</t>
  </si>
  <si>
    <t xml:space="preserve">CS24563</t>
  </si>
  <si>
    <t xml:space="preserve">CS24306</t>
  </si>
  <si>
    <t xml:space="preserve">CS25471</t>
  </si>
  <si>
    <t xml:space="preserve">CS25294</t>
  </si>
  <si>
    <t xml:space="preserve">CS24554</t>
  </si>
  <si>
    <t xml:space="preserve">CS25369</t>
  </si>
  <si>
    <t xml:space="preserve">CS25595</t>
  </si>
  <si>
    <t xml:space="preserve">CS24995</t>
  </si>
  <si>
    <t xml:space="preserve">CS24762</t>
  </si>
  <si>
    <t xml:space="preserve">CS24333</t>
  </si>
  <si>
    <t xml:space="preserve">CS25493</t>
  </si>
  <si>
    <t xml:space="preserve">CS25283</t>
  </si>
  <si>
    <t xml:space="preserve">CS24503</t>
  </si>
  <si>
    <t xml:space="preserve">CS24414</t>
  </si>
  <si>
    <t xml:space="preserve">CS24452</t>
  </si>
  <si>
    <t xml:space="preserve">CS25210</t>
  </si>
  <si>
    <t xml:space="preserve">CS25051</t>
  </si>
  <si>
    <t xml:space="preserve">CS24731</t>
  </si>
  <si>
    <t xml:space="preserve">CS25254</t>
  </si>
  <si>
    <t xml:space="preserve">CS24421</t>
  </si>
  <si>
    <t xml:space="preserve">CS24039</t>
  </si>
  <si>
    <t xml:space="preserve">CS25726</t>
  </si>
  <si>
    <t xml:space="preserve">CS24058</t>
  </si>
  <si>
    <t xml:space="preserve">CS25769</t>
  </si>
  <si>
    <t xml:space="preserve">CS25306</t>
  </si>
  <si>
    <t xml:space="preserve">CS24630</t>
  </si>
  <si>
    <t xml:space="preserve">CS24405</t>
  </si>
  <si>
    <t xml:space="preserve">CS24138</t>
  </si>
  <si>
    <t xml:space="preserve">CS25212</t>
  </si>
  <si>
    <t xml:space="preserve">CS25145</t>
  </si>
  <si>
    <t xml:space="preserve">CS24520</t>
  </si>
  <si>
    <t xml:space="preserve">CS24276</t>
  </si>
  <si>
    <t xml:space="preserve">CS25591</t>
  </si>
  <si>
    <t xml:space="preserve">CS24299</t>
  </si>
  <si>
    <t xml:space="preserve">CS25751</t>
  </si>
  <si>
    <t xml:space="preserve">CS24687</t>
  </si>
  <si>
    <t xml:space="preserve">CS24582</t>
  </si>
  <si>
    <t xml:space="preserve">CS24169</t>
  </si>
  <si>
    <t xml:space="preserve">CS25687</t>
  </si>
  <si>
    <t xml:space="preserve">CS24214</t>
  </si>
  <si>
    <t xml:space="preserve">CS25078</t>
  </si>
  <si>
    <t xml:space="preserve">CS24270</t>
  </si>
  <si>
    <t xml:space="preserve">CS25710</t>
  </si>
  <si>
    <t xml:space="preserve">CS25578</t>
  </si>
  <si>
    <t xml:space="preserve">CS24380</t>
  </si>
  <si>
    <t xml:space="preserve">CS24560</t>
  </si>
  <si>
    <t xml:space="preserve">CS24259</t>
  </si>
  <si>
    <t xml:space="preserve">CS24245</t>
  </si>
  <si>
    <t xml:space="preserve">CS24375</t>
  </si>
  <si>
    <t xml:space="preserve">CS24166</t>
  </si>
  <si>
    <t xml:space="preserve">CS24760</t>
  </si>
  <si>
    <t xml:space="preserve">CS24430</t>
  </si>
  <si>
    <t xml:space="preserve">CS25585</t>
  </si>
  <si>
    <t xml:space="preserve">CS25227</t>
  </si>
  <si>
    <t xml:space="preserve">CS25187</t>
  </si>
  <si>
    <t xml:space="preserve">CS24338</t>
  </si>
  <si>
    <t xml:space="preserve">CS24425</t>
  </si>
  <si>
    <t xml:space="preserve">CS24303</t>
  </si>
  <si>
    <t xml:space="preserve">CS25298</t>
  </si>
  <si>
    <t xml:space="preserve">CS24450</t>
  </si>
  <si>
    <t xml:space="preserve">CS24774</t>
  </si>
  <si>
    <t xml:space="preserve">CS24473</t>
  </si>
  <si>
    <t xml:space="preserve">CS25311</t>
  </si>
  <si>
    <t xml:space="preserve">CS24681</t>
  </si>
  <si>
    <t xml:space="preserve">CS24552</t>
  </si>
  <si>
    <t xml:space="preserve">CS25065</t>
  </si>
  <si>
    <t xml:space="preserve">CS25049</t>
  </si>
  <si>
    <t xml:space="preserve">CS24444</t>
  </si>
  <si>
    <t xml:space="preserve">CS24117</t>
  </si>
  <si>
    <t xml:space="preserve">CS25293</t>
  </si>
  <si>
    <t xml:space="preserve">CS25155</t>
  </si>
  <si>
    <t xml:space="preserve">CS24319</t>
  </si>
  <si>
    <t xml:space="preserve">CS25479</t>
  </si>
  <si>
    <t xml:space="preserve">CS25192</t>
  </si>
  <si>
    <t xml:space="preserve">CS24027</t>
  </si>
  <si>
    <t xml:space="preserve">CS25433</t>
  </si>
  <si>
    <t xml:space="preserve">CS24638</t>
  </si>
  <si>
    <t xml:space="preserve">CS25085</t>
  </si>
  <si>
    <t xml:space="preserve">CS25163</t>
  </si>
  <si>
    <t xml:space="preserve">CS24283</t>
  </si>
  <si>
    <t xml:space="preserve">CS25197</t>
  </si>
  <si>
    <t xml:space="preserve">CS24433</t>
  </si>
  <si>
    <t xml:space="preserve">CS24035</t>
  </si>
  <si>
    <t xml:space="preserve">CS24895</t>
  </si>
  <si>
    <t xml:space="preserve">CS25752</t>
  </si>
  <si>
    <t xml:space="preserve">CS24944</t>
  </si>
  <si>
    <t xml:space="preserve">CS25486</t>
  </si>
  <si>
    <t xml:space="preserve">CS24663</t>
  </si>
  <si>
    <t xml:space="preserve">CS24488</t>
  </si>
  <si>
    <t xml:space="preserve">CS24597</t>
  </si>
  <si>
    <t xml:space="preserve">CS24347</t>
  </si>
  <si>
    <t xml:space="preserve">CS25714</t>
  </si>
  <si>
    <t xml:space="preserve">CS25052</t>
  </si>
  <si>
    <t xml:space="preserve">CS25755</t>
  </si>
  <si>
    <t xml:space="preserve">CS24978</t>
  </si>
  <si>
    <t xml:space="preserve">CS24977</t>
  </si>
  <si>
    <t xml:space="preserve">CS24055</t>
  </si>
  <si>
    <t xml:space="preserve">CS25103</t>
  </si>
  <si>
    <t xml:space="preserve">CS24905</t>
  </si>
  <si>
    <t xml:space="preserve">CS25189</t>
  </si>
  <si>
    <t xml:space="preserve">CS25127</t>
  </si>
  <si>
    <t xml:space="preserve">CS24635</t>
  </si>
  <si>
    <t xml:space="preserve">CS24544</t>
  </si>
  <si>
    <t xml:space="preserve">CS24329</t>
  </si>
  <si>
    <t xml:space="preserve">CS24783</t>
  </si>
  <si>
    <t xml:space="preserve">CS24298</t>
  </si>
  <si>
    <t xml:space="preserve">CS25601</t>
  </si>
  <si>
    <t xml:space="preserve">CS25708</t>
  </si>
  <si>
    <t xml:space="preserve">CS25478</t>
  </si>
  <si>
    <t xml:space="preserve">CS24502</t>
  </si>
  <si>
    <t xml:space="preserve">CS24983</t>
  </si>
  <si>
    <t xml:space="preserve">CS24251</t>
  </si>
  <si>
    <t xml:space="preserve">CS24748</t>
  </si>
  <si>
    <t xml:space="preserve">CS24392</t>
  </si>
  <si>
    <t xml:space="preserve">CS24344</t>
  </si>
  <si>
    <t xml:space="preserve">CS25405</t>
  </si>
  <si>
    <t xml:space="preserve">CS24814</t>
  </si>
  <si>
    <t xml:space="preserve">CS24682</t>
  </si>
  <si>
    <t xml:space="preserve">CS24611</t>
  </si>
  <si>
    <t xml:space="preserve">CS24658</t>
  </si>
  <si>
    <t xml:space="preserve">CS24192</t>
  </si>
  <si>
    <t xml:space="preserve">CS24226</t>
  </si>
  <si>
    <t xml:space="preserve">CS24634</t>
  </si>
  <si>
    <t xml:space="preserve">CS24268</t>
  </si>
  <si>
    <t xml:space="preserve">CS25176</t>
  </si>
  <si>
    <t xml:space="preserve">CS24680</t>
  </si>
  <si>
    <t xml:space="preserve">CS25575</t>
  </si>
  <si>
    <t xml:space="preserve">CS25138</t>
  </si>
  <si>
    <t xml:space="preserve">CS25638</t>
  </si>
  <si>
    <t xml:space="preserve">CS24861</t>
  </si>
  <si>
    <t xml:space="preserve">CS25739</t>
  </si>
  <si>
    <t xml:space="preserve">CS25487</t>
  </si>
  <si>
    <t xml:space="preserve">CS24462</t>
  </si>
  <si>
    <t xml:space="preserve">CS25743</t>
  </si>
  <si>
    <t xml:space="preserve">CS24417</t>
  </si>
  <si>
    <t xml:space="preserve">CS25388</t>
  </si>
  <si>
    <t xml:space="preserve">CS25526</t>
  </si>
  <si>
    <t xml:space="preserve">CS24865</t>
  </si>
  <si>
    <t xml:space="preserve">CS24851</t>
  </si>
  <si>
    <t xml:space="preserve">CS24332</t>
  </si>
  <si>
    <t xml:space="preserve">CS25779</t>
  </si>
  <si>
    <t xml:space="preserve">CS25218</t>
  </si>
  <si>
    <t xml:space="preserve">CS25040</t>
  </si>
  <si>
    <t xml:space="preserve">CS24898</t>
  </si>
  <si>
    <t xml:space="preserve">CS25232</t>
  </si>
  <si>
    <t xml:space="preserve">CS24511</t>
  </si>
  <si>
    <t xml:space="preserve">CS25468</t>
  </si>
  <si>
    <t xml:space="preserve">CS24508</t>
  </si>
  <si>
    <t xml:space="preserve">CS25364</t>
  </si>
  <si>
    <t xml:space="preserve">CS25084</t>
  </si>
  <si>
    <t xml:space="preserve">CS25607</t>
  </si>
  <si>
    <t xml:space="preserve">CS24965</t>
  </si>
  <si>
    <t xml:space="preserve">CS25720</t>
  </si>
  <si>
    <t xml:space="preserve">CS24848</t>
  </si>
  <si>
    <t xml:space="preserve">CS25616</t>
  </si>
  <si>
    <t xml:space="preserve">CS24826</t>
  </si>
  <si>
    <t xml:space="preserve">CS24815</t>
  </si>
  <si>
    <t xml:space="preserve">CS24318</t>
  </si>
  <si>
    <t xml:space="preserve">CS24272</t>
  </si>
  <si>
    <t xml:space="preserve">CS24728</t>
  </si>
  <si>
    <t xml:space="preserve">CS25324</t>
  </si>
  <si>
    <t xml:space="preserve">CS25582</t>
  </si>
  <si>
    <t xml:space="preserve">CS25215</t>
  </si>
  <si>
    <t xml:space="preserve">CS24247</t>
  </si>
  <si>
    <t xml:space="preserve">CS25132</t>
  </si>
  <si>
    <t xml:space="preserve">CS24810</t>
  </si>
  <si>
    <t xml:space="preserve">CS25042</t>
  </si>
  <si>
    <t xml:space="preserve">CS25522</t>
  </si>
  <si>
    <t xml:space="preserve">CS25462</t>
  </si>
  <si>
    <t xml:space="preserve">CS25404</t>
  </si>
  <si>
    <t xml:space="preserve">CS25385</t>
  </si>
  <si>
    <t xml:space="preserve">CS25403</t>
  </si>
  <si>
    <t xml:space="preserve">CS25336</t>
  </si>
  <si>
    <t xml:space="preserve">CS25383</t>
  </si>
  <si>
    <t xml:space="preserve">CS25406</t>
  </si>
  <si>
    <t xml:space="preserve">CS25499</t>
  </si>
  <si>
    <t xml:space="preserve">CS24835</t>
  </si>
  <si>
    <t xml:space="preserve">CS25425</t>
  </si>
  <si>
    <t xml:space="preserve">CS24482</t>
  </si>
  <si>
    <t xml:space="preserve">CS24628</t>
  </si>
  <si>
    <t xml:space="preserve">CS24632</t>
  </si>
  <si>
    <t xml:space="preserve">CS24275</t>
  </si>
  <si>
    <t xml:space="preserve">CS25822</t>
  </si>
  <si>
    <t xml:space="preserve">CS24746</t>
  </si>
  <si>
    <t xml:space="preserve">CS24187</t>
  </si>
  <si>
    <t xml:space="preserve">CS24296</t>
  </si>
  <si>
    <t xml:space="preserve">CS25195</t>
  </si>
  <si>
    <t xml:space="preserve">CS25600</t>
  </si>
  <si>
    <t xml:space="preserve">CS25568</t>
  </si>
  <si>
    <t xml:space="preserve">CS25812</t>
  </si>
  <si>
    <t xml:space="preserve">CS24891</t>
  </si>
  <si>
    <t xml:space="preserve">CS24647</t>
  </si>
  <si>
    <t xml:space="preserve">CS24470</t>
  </si>
  <si>
    <t xml:space="preserve">CS25174</t>
  </si>
  <si>
    <t xml:space="preserve">CS24744</t>
  </si>
  <si>
    <t xml:space="preserve">CS24659</t>
  </si>
  <si>
    <t xml:space="preserve">CS24719</t>
  </si>
  <si>
    <t xml:space="preserve">CS25626</t>
  </si>
  <si>
    <t xml:space="preserve">CS24985</t>
  </si>
  <si>
    <t xml:space="preserve">CS24331</t>
  </si>
  <si>
    <t xml:space="preserve">CS24504</t>
  </si>
  <si>
    <t xml:space="preserve">CS24976</t>
  </si>
  <si>
    <t xml:space="preserve">CS25260</t>
  </si>
  <si>
    <t xml:space="preserve">CS25160</t>
  </si>
  <si>
    <t xml:space="preserve">CS24484</t>
  </si>
  <si>
    <t xml:space="preserve">CS25092</t>
  </si>
  <si>
    <t xml:space="preserve">CS25811</t>
  </si>
  <si>
    <t xml:space="preserve">CS25682</t>
  </si>
  <si>
    <t xml:space="preserve">CS25612</t>
  </si>
  <si>
    <t xml:space="preserve">CS24163</t>
  </si>
  <si>
    <t xml:space="preserve">CS24336</t>
  </si>
  <si>
    <t xml:space="preserve">CS25054</t>
  </si>
  <si>
    <t xml:space="preserve">CS25554</t>
  </si>
  <si>
    <t xml:space="preserve">CS24335</t>
  </si>
  <si>
    <t xml:space="preserve">CS24526</t>
  </si>
  <si>
    <t xml:space="preserve">CS25235</t>
  </si>
  <si>
    <t xml:space="preserve">CS25245</t>
  </si>
  <si>
    <t xml:space="preserve">CS25756</t>
  </si>
  <si>
    <t xml:space="preserve">CS25398</t>
  </si>
  <si>
    <t xml:space="preserve">CS24233</t>
  </si>
  <si>
    <t xml:space="preserve">CS24317</t>
  </si>
  <si>
    <t xml:space="preserve">CS24765</t>
  </si>
  <si>
    <t xml:space="preserve">CS25360</t>
  </si>
  <si>
    <t xml:space="preserve">CS24322</t>
  </si>
  <si>
    <t xml:space="preserve">CS25270</t>
  </si>
  <si>
    <t xml:space="preserve">CS24049</t>
  </si>
  <si>
    <t xml:space="preserve">CS24260</t>
  </si>
  <si>
    <t xml:space="preserve">CS24407</t>
  </si>
  <si>
    <t xml:space="preserve">CS24025</t>
  </si>
  <si>
    <t xml:space="preserve">CS25157</t>
  </si>
  <si>
    <t xml:space="preserve">CS25713</t>
  </si>
  <si>
    <t xml:space="preserve">CS25379</t>
  </si>
  <si>
    <t xml:space="preserve">CS25741</t>
  </si>
  <si>
    <t xml:space="preserve">CS24934</t>
  </si>
  <si>
    <t xml:space="preserve">CS25533</t>
  </si>
  <si>
    <t xml:space="preserve">CS25279</t>
  </si>
  <si>
    <t xml:space="preserve">CS24495</t>
  </si>
  <si>
    <t xml:space="preserve">CS24427</t>
  </si>
  <si>
    <t xml:space="preserve">CS25313</t>
  </si>
  <si>
    <t xml:space="preserve">CS25285</t>
  </si>
  <si>
    <t xml:space="preserve">CS25111</t>
  </si>
  <si>
    <t xml:space="preserve">CS25670</t>
  </si>
  <si>
    <t xml:space="preserve">CS24958</t>
  </si>
  <si>
    <t xml:space="preserve">CS25760</t>
  </si>
  <si>
    <t xml:space="preserve">CS25126</t>
  </si>
  <si>
    <t xml:space="preserve">CS24327</t>
  </si>
  <si>
    <t xml:space="preserve">CS24109</t>
  </si>
  <si>
    <t xml:space="preserve">CS25110</t>
  </si>
  <si>
    <t xml:space="preserve">CS24167</t>
  </si>
  <si>
    <t xml:space="preserve">CS25333</t>
  </si>
  <si>
    <t xml:space="preserve">CS24396</t>
  </si>
  <si>
    <t xml:space="preserve">CS24284</t>
  </si>
  <si>
    <t xml:space="preserve">CS24465</t>
  </si>
  <si>
    <t xml:space="preserve">CS24143</t>
  </si>
  <si>
    <t xml:space="preserve">CS25131</t>
  </si>
  <si>
    <t xml:space="preserve">CS24051</t>
  </si>
  <si>
    <t xml:space="preserve">CS24312</t>
  </si>
  <si>
    <t xml:space="preserve">CS24288</t>
  </si>
  <si>
    <t xml:space="preserve">CS25009</t>
  </si>
  <si>
    <t xml:space="preserve">CS24343</t>
  </si>
  <si>
    <t xml:space="preserve">CS25474</t>
  </si>
  <si>
    <t xml:space="preserve">CS25481</t>
  </si>
  <si>
    <t xml:space="preserve">CS25026</t>
  </si>
  <si>
    <t xml:space="preserve">CS24517</t>
  </si>
  <si>
    <t xml:space="preserve">CS24150</t>
  </si>
  <si>
    <t xml:space="preserve">CS25647</t>
  </si>
  <si>
    <t xml:space="preserve">CS25407</t>
  </si>
  <si>
    <t xml:space="preserve">CS25122</t>
  </si>
  <si>
    <t xml:space="preserve">CS24419</t>
  </si>
  <si>
    <t xml:space="preserve">CS25610</t>
  </si>
  <si>
    <t xml:space="preserve">CS24610</t>
  </si>
  <si>
    <t xml:space="preserve">CS24886</t>
  </si>
  <si>
    <t xml:space="preserve">CS24579</t>
  </si>
  <si>
    <t xml:space="preserve">CS24032</t>
  </si>
  <si>
    <t xml:space="preserve">CS24747</t>
  </si>
  <si>
    <t xml:space="preserve">CS25071</t>
  </si>
  <si>
    <t xml:space="preserve">CS24282</t>
  </si>
  <si>
    <t xml:space="preserve">CS25275</t>
  </si>
  <si>
    <t xml:space="preserve">CS25291</t>
  </si>
  <si>
    <t xml:space="preserve">CS25201</t>
  </si>
  <si>
    <t xml:space="preserve">CS25382</t>
  </si>
  <si>
    <t xml:space="preserve">CS25006</t>
  </si>
  <si>
    <t xml:space="preserve">CS24889</t>
  </si>
  <si>
    <t xml:space="preserve">CS24894</t>
  </si>
  <si>
    <t xml:space="preserve">CS25063</t>
  </si>
  <si>
    <t xml:space="preserve">CS24866</t>
  </si>
  <si>
    <t xml:space="preserve">CS25476</t>
  </si>
  <si>
    <t xml:space="preserve">CS24754</t>
  </si>
  <si>
    <t xml:space="preserve">CS25639</t>
  </si>
  <si>
    <t xml:space="preserve">CS24474</t>
  </si>
  <si>
    <t xml:space="preserve">CS24642</t>
  </si>
  <si>
    <t xml:space="preserve">CS24583</t>
  </si>
  <si>
    <t xml:space="preserve">CS25801</t>
  </si>
  <si>
    <t xml:space="preserve">CS25418</t>
  </si>
  <si>
    <t xml:space="preserve">CS25758</t>
  </si>
  <si>
    <t xml:space="preserve">CS25765</t>
  </si>
  <si>
    <t xml:space="preserve">CS25183</t>
  </si>
  <si>
    <t xml:space="preserve">CS25030</t>
  </si>
  <si>
    <t xml:space="preserve">CS24219</t>
  </si>
  <si>
    <t xml:space="preserve">CS24852</t>
  </si>
  <si>
    <t xml:space="preserve">CS24617</t>
  </si>
  <si>
    <t xml:space="preserve">CS25572</t>
  </si>
  <si>
    <t xml:space="preserve">CS24487</t>
  </si>
  <si>
    <t xml:space="preserve">CS24844</t>
  </si>
  <si>
    <t xml:space="preserve">CS24879</t>
  </si>
  <si>
    <t xml:space="preserve">CS24917</t>
  </si>
  <si>
    <t xml:space="preserve">CS25428</t>
  </si>
  <si>
    <t xml:space="preserve">CS24311</t>
  </si>
  <si>
    <t xml:space="preserve">CS24116</t>
  </si>
  <si>
    <t xml:space="preserve">CS24185</t>
  </si>
  <si>
    <t xml:space="preserve">CS25199</t>
  </si>
  <si>
    <t xml:space="preserve">CS24088</t>
  </si>
  <si>
    <t xml:space="preserve">CS25721</t>
  </si>
  <si>
    <t xml:space="preserve">CS24360</t>
  </si>
  <si>
    <t xml:space="preserve">CS24420</t>
  </si>
  <si>
    <t xml:space="preserve">CS24483</t>
  </si>
  <si>
    <t xml:space="preserve">CS25327</t>
  </si>
  <si>
    <t xml:space="preserve">CS25566</t>
  </si>
  <si>
    <t xml:space="preserve">CS25216</t>
  </si>
  <si>
    <t xml:space="preserve">CS25772</t>
  </si>
  <si>
    <t xml:space="preserve">CS24424</t>
  </si>
  <si>
    <t xml:space="preserve">CS24250</t>
  </si>
  <si>
    <t xml:space="preserve">CS25531</t>
  </si>
  <si>
    <t xml:space="preserve">CS25783</t>
  </si>
  <si>
    <t xml:space="preserve">CS25234</t>
  </si>
  <si>
    <t xml:space="preserve">CS24377</t>
  </si>
  <si>
    <t xml:space="preserve">CS24577</t>
  </si>
  <si>
    <t xml:space="preserve">CS24104</t>
  </si>
  <si>
    <t xml:space="preserve">CS24908</t>
  </si>
  <si>
    <t xml:space="preserve">CS24426</t>
  </si>
  <si>
    <t xml:space="preserve">CS24217</t>
  </si>
  <si>
    <t xml:space="preserve">CS24370</t>
  </si>
  <si>
    <t xml:space="preserve">CS24477</t>
  </si>
  <si>
    <t xml:space="preserve">CS24310</t>
  </si>
  <si>
    <t xml:space="preserve">CS24717</t>
  </si>
  <si>
    <t xml:space="preserve">CS24341</t>
  </si>
  <si>
    <t xml:space="preserve">CS24080</t>
  </si>
  <si>
    <t xml:space="preserve">CS25194</t>
  </si>
  <si>
    <t xml:space="preserve">CS24100</t>
  </si>
  <si>
    <t xml:space="preserve">CS24165</t>
  </si>
  <si>
    <t xml:space="preserve">CS25598</t>
  </si>
  <si>
    <t xml:space="preserve">CS25075</t>
  </si>
  <si>
    <t xml:space="preserve">CS24668</t>
  </si>
  <si>
    <t xml:space="preserve">CS24361</t>
  </si>
  <si>
    <t xml:space="preserve">CS24822</t>
  </si>
  <si>
    <t xml:space="preserve">CS24302</t>
  </si>
  <si>
    <t xml:space="preserve">CS24864</t>
  </si>
  <si>
    <t xml:space="preserve">CS24654</t>
  </si>
  <si>
    <t xml:space="preserve">CS24125</t>
  </si>
  <si>
    <t xml:space="preserve">CS24725</t>
  </si>
  <si>
    <t xml:space="preserve">CS24622</t>
  </si>
  <si>
    <t xml:space="preserve">CS25611</t>
  </si>
  <si>
    <t xml:space="preserve">CS25072</t>
  </si>
  <si>
    <t xml:space="preserve">CS24880</t>
  </si>
  <si>
    <t xml:space="preserve">CS24859</t>
  </si>
  <si>
    <t xml:space="preserve">CS25258</t>
  </si>
  <si>
    <t xml:space="preserve">CS24858</t>
  </si>
  <si>
    <t xml:space="preserve">CS24491</t>
  </si>
  <si>
    <t xml:space="preserve">CS24429</t>
  </si>
  <si>
    <t xml:space="preserve">CS24258</t>
  </si>
  <si>
    <t xml:space="preserve">CS24092</t>
  </si>
  <si>
    <t xml:space="preserve">CS25304</t>
  </si>
  <si>
    <t xml:space="preserve">CS25242</t>
  </si>
  <si>
    <t xml:space="preserve">CS24959</t>
  </si>
  <si>
    <t xml:space="preserve">CS24440</t>
  </si>
  <si>
    <t xml:space="preserve">CS24107</t>
  </si>
  <si>
    <t xml:space="preserve">CS24096</t>
  </si>
  <si>
    <t xml:space="preserve">CS24040</t>
  </si>
  <si>
    <t xml:space="preserve">CS25590</t>
  </si>
  <si>
    <t xml:space="preserve">CS25064</t>
  </si>
  <si>
    <t xml:space="preserve">CS25008</t>
  </si>
  <si>
    <t xml:space="preserve">CS25794</t>
  </si>
  <si>
    <t xml:space="preserve">CS25810</t>
  </si>
  <si>
    <t xml:space="preserve">CS25656</t>
  </si>
  <si>
    <t xml:space="preserve">CS25182</t>
  </si>
  <si>
    <t xml:space="preserve">CS25165</t>
  </si>
  <si>
    <t xml:space="preserve">CS25108</t>
  </si>
  <si>
    <t xml:space="preserve">CS24764</t>
  </si>
  <si>
    <t xml:space="preserve">CS24636</t>
  </si>
  <si>
    <t xml:space="preserve">CS24094</t>
  </si>
  <si>
    <t xml:space="preserve">CS24024</t>
  </si>
  <si>
    <t xml:space="preserve">CS25823</t>
  </si>
  <si>
    <t xml:space="preserve">CS25641</t>
  </si>
  <si>
    <t xml:space="preserve">CS24688</t>
  </si>
  <si>
    <t xml:space="preserve">CS24643</t>
  </si>
  <si>
    <t xml:space="preserve">CS24416</t>
  </si>
  <si>
    <t xml:space="preserve">CS25613</t>
  </si>
  <si>
    <t xml:space="preserve">CS25221</t>
  </si>
  <si>
    <t xml:space="preserve">CS25152</t>
  </si>
  <si>
    <t xml:space="preserve">CS25099</t>
  </si>
  <si>
    <t xml:space="preserve">CS25039</t>
  </si>
  <si>
    <t xml:space="preserve">CS24493</t>
  </si>
  <si>
    <t xml:space="preserve">CS25190</t>
  </si>
  <si>
    <t xml:space="preserve">CS24771</t>
  </si>
  <si>
    <t xml:space="preserve">CS25643</t>
  </si>
  <si>
    <t xml:space="preserve">CS25204</t>
  </si>
  <si>
    <t xml:space="preserve">CS24992</t>
  </si>
  <si>
    <t xml:space="preserve">CS24537</t>
  </si>
  <si>
    <t xml:space="preserve">CS25615</t>
  </si>
  <si>
    <t xml:space="preserve">CS24371</t>
  </si>
  <si>
    <t xml:space="preserve">CS24326</t>
  </si>
  <si>
    <t xml:space="preserve">CS24831</t>
  </si>
  <si>
    <t xml:space="preserve">CS24699</t>
  </si>
  <si>
    <t xml:space="preserve">CS24624</t>
  </si>
  <si>
    <t xml:space="preserve">CS24559</t>
  </si>
  <si>
    <t xml:space="preserve">CS25287</t>
  </si>
  <si>
    <t xml:space="preserve">CS25308</t>
  </si>
  <si>
    <t xml:space="preserve">CS24671</t>
  </si>
  <si>
    <t xml:space="preserve">CS24536</t>
  </si>
  <si>
    <t xml:space="preserve">CS24395</t>
  </si>
  <si>
    <t xml:space="preserve">CS25158</t>
  </si>
  <si>
    <t xml:space="preserve">CS25118</t>
  </si>
  <si>
    <t xml:space="preserve">CS25116</t>
  </si>
  <si>
    <t xml:space="preserve">CS24733</t>
  </si>
  <si>
    <t xml:space="preserve">CS25680</t>
  </si>
  <si>
    <t xml:space="preserve">CS25107</t>
  </si>
  <si>
    <t xml:space="preserve">CS25828</t>
  </si>
  <si>
    <t xml:space="preserve">CS25136</t>
  </si>
  <si>
    <t xml:space="preserve">CS24935</t>
  </si>
  <si>
    <t xml:space="preserve">CS25650</t>
  </si>
  <si>
    <t xml:space="preserve">CS25594</t>
  </si>
  <si>
    <t xml:space="preserve">CS25609</t>
  </si>
  <si>
    <t xml:space="preserve">CS24819</t>
  </si>
  <si>
    <t xml:space="preserve">CS24846</t>
  </si>
  <si>
    <t xml:space="preserve">CS25691</t>
  </si>
  <si>
    <t xml:space="preserve">CS25301</t>
  </si>
  <si>
    <t xml:space="preserve">CS25164</t>
  </si>
  <si>
    <t xml:space="preserve">CS24698</t>
  </si>
  <si>
    <t xml:space="preserve">CS24553</t>
  </si>
  <si>
    <t xml:space="preserve">CS24466</t>
  </si>
  <si>
    <t xml:space="preserve">CS24448</t>
  </si>
  <si>
    <t xml:space="preserve">CS24315</t>
  </si>
  <si>
    <t xml:space="preserve">CS25655</t>
  </si>
  <si>
    <t xml:space="preserve">CS25220</t>
  </si>
  <si>
    <t xml:space="preserve">CS25171</t>
  </si>
  <si>
    <t xml:space="preserve">CS24854</t>
  </si>
  <si>
    <t xml:space="preserve">CS24655</t>
  </si>
  <si>
    <t xml:space="preserve">CS24300</t>
  </si>
  <si>
    <t xml:space="preserve">CS25015</t>
  </si>
  <si>
    <t xml:space="preserve">CS24587</t>
  </si>
  <si>
    <t xml:space="preserve">CS24963</t>
  </si>
  <si>
    <t xml:space="preserve">CS24988</t>
  </si>
  <si>
    <t xml:space="preserve">CS25013</t>
  </si>
  <si>
    <t xml:space="preserve">CS24607</t>
  </si>
  <si>
    <t xml:space="preserve">CS24461</t>
  </si>
  <si>
    <t xml:space="preserve">CS24065</t>
  </si>
  <si>
    <t xml:space="preserve">CS25780</t>
  </si>
  <si>
    <t xml:space="preserve">CS25115</t>
  </si>
  <si>
    <t xml:space="preserve">CS24964</t>
  </si>
  <si>
    <t xml:space="preserve">CS25250</t>
  </si>
  <si>
    <t xml:space="preserve">CS24711</t>
  </si>
  <si>
    <t xml:space="preserve">CS24696</t>
  </si>
  <si>
    <t xml:space="preserve">CS25830</t>
  </si>
  <si>
    <t xml:space="preserve">CS25282</t>
  </si>
  <si>
    <t xml:space="preserve">CS25735</t>
  </si>
  <si>
    <t xml:space="preserve">CS25705</t>
  </si>
  <si>
    <t xml:space="preserve">CS24704</t>
  </si>
  <si>
    <t xml:space="preserve">CS25062</t>
  </si>
  <si>
    <t xml:space="preserve">CS24856</t>
  </si>
  <si>
    <t xml:space="preserve">CS25619</t>
  </si>
  <si>
    <t xml:space="preserve">CS24817</t>
  </si>
  <si>
    <t xml:space="preserve">CS24394</t>
  </si>
  <si>
    <t xml:space="preserve">CS24459</t>
  </si>
  <si>
    <t xml:space="preserve">CS24115</t>
  </si>
  <si>
    <t xml:space="preserve">CS25625</t>
  </si>
  <si>
    <t xml:space="preserve">CS25222</t>
  </si>
  <si>
    <t xml:space="preserve">CS24381</t>
  </si>
  <si>
    <t xml:space="preserve">CS25154</t>
  </si>
  <si>
    <t xml:space="preserve">CS25029</t>
  </si>
  <si>
    <t xml:space="preserve">CS24924</t>
  </si>
  <si>
    <t xml:space="preserve">CS25628</t>
  </si>
  <si>
    <t xml:space="preserve">CS25624</t>
  </si>
  <si>
    <t xml:space="preserve">CS25105</t>
  </si>
  <si>
    <t xml:space="preserve">CS25066</t>
  </si>
  <si>
    <t xml:space="preserve">CS24673</t>
  </si>
  <si>
    <t xml:space="preserve">CS25209</t>
  </si>
  <si>
    <t xml:space="preserve">CS24991</t>
  </si>
  <si>
    <t xml:space="preserve">CS24897</t>
  </si>
  <si>
    <t xml:space="preserve">CS24749</t>
  </si>
  <si>
    <t xml:space="preserve">CS24428</t>
  </si>
  <si>
    <t xml:space="preserve">CS25651</t>
  </si>
  <si>
    <t xml:space="preserve">CS25021</t>
  </si>
  <si>
    <t xml:space="preserve">CS25815</t>
  </si>
  <si>
    <t xml:space="preserve">CS25247</t>
  </si>
  <si>
    <t xml:space="preserve">CS24812</t>
  </si>
  <si>
    <t xml:space="preserve">CS24041</t>
  </si>
  <si>
    <t xml:space="preserve">CS25579</t>
  </si>
  <si>
    <t xml:space="preserve">CS24540</t>
  </si>
  <si>
    <t xml:space="preserve">CS24707</t>
  </si>
  <si>
    <t xml:space="preserve">CS24122</t>
  </si>
  <si>
    <t xml:space="preserve">CS25170</t>
  </si>
  <si>
    <t xml:space="preserve">CS24021</t>
  </si>
  <si>
    <t xml:space="preserve">CS25037</t>
  </si>
  <si>
    <t xml:space="preserve">CS24397</t>
  </si>
  <si>
    <t xml:space="preserve">CS25753</t>
  </si>
  <si>
    <t xml:space="preserve">CS24862</t>
  </si>
  <si>
    <t xml:space="preserve">CS25266</t>
  </si>
  <si>
    <t xml:space="preserve">CS25177</t>
  </si>
  <si>
    <t xml:space="preserve">CS24079</t>
  </si>
  <si>
    <t xml:space="preserve">CS25580</t>
  </si>
  <si>
    <t xml:space="preserve">CS25023</t>
  </si>
  <si>
    <t xml:space="preserve">CS24481</t>
  </si>
  <si>
    <t xml:space="preserve">CS24089</t>
  </si>
  <si>
    <t xml:space="preserve">CS25704</t>
  </si>
  <si>
    <t xml:space="preserve">CS24569</t>
  </si>
  <si>
    <t xml:space="preserve">CS24674</t>
  </si>
  <si>
    <t xml:space="preserve">CS24618</t>
  </si>
  <si>
    <t xml:space="preserve">CS25191</t>
  </si>
  <si>
    <t xml:space="preserve">CS25629</t>
  </si>
  <si>
    <t xml:space="preserve">CS25627</t>
  </si>
  <si>
    <t xml:space="preserve">CS25096</t>
  </si>
  <si>
    <t xml:space="preserve">CS25631</t>
  </si>
  <si>
    <t xml:space="preserve">CS25012</t>
  </si>
  <si>
    <t xml:space="preserve">CS24700</t>
  </si>
  <si>
    <t xml:space="preserve">CS24565</t>
  </si>
  <si>
    <t xml:space="preserve">CS24586</t>
  </si>
  <si>
    <t xml:space="preserve">CS25750</t>
  </si>
  <si>
    <t xml:space="preserve">CS25297</t>
  </si>
  <si>
    <t xml:space="preserve">CS25277</t>
  </si>
  <si>
    <t xml:space="preserve">CS24712</t>
  </si>
  <si>
    <t xml:space="preserve">CS24697</t>
  </si>
  <si>
    <t xml:space="preserve">CS24604</t>
  </si>
  <si>
    <t xml:space="preserve">CS24594</t>
  </si>
  <si>
    <t xml:space="preserve">CS24086</t>
  </si>
  <si>
    <t xml:space="preserve">CS25162</t>
  </si>
  <si>
    <t xml:space="preserve">CS25133</t>
  </si>
  <si>
    <t xml:space="preserve">CS24813</t>
  </si>
  <si>
    <t xml:space="preserve">CS24596</t>
  </si>
  <si>
    <t xml:space="preserve">CS24304</t>
  </si>
  <si>
    <t xml:space="preserve">CS24629</t>
  </si>
  <si>
    <t xml:space="preserve">CS24073</t>
  </si>
  <si>
    <t xml:space="preserve">CS25813</t>
  </si>
  <si>
    <t xml:space="preserve">CS24525</t>
  </si>
  <si>
    <t xml:space="preserve">CS24401</t>
  </si>
  <si>
    <t xml:space="preserve">CS25771</t>
  </si>
  <si>
    <t xml:space="preserve">CS24593</t>
  </si>
  <si>
    <t xml:space="preserve">CS24263</t>
  </si>
  <si>
    <t xml:space="preserve">CS25745</t>
  </si>
  <si>
    <t xml:space="preserve">CS24287</t>
  </si>
  <si>
    <t xml:space="preserve">CS24873</t>
  </si>
  <si>
    <t xml:space="preserve">CS24623</t>
  </si>
  <si>
    <t xml:space="preserve">CS24406</t>
  </si>
  <si>
    <t xml:space="preserve">CS24376</t>
  </si>
  <si>
    <t xml:space="preserve">CS24093</t>
  </si>
  <si>
    <t xml:space="preserve">CS24271</t>
  </si>
  <si>
    <t xml:space="preserve">CS24059</t>
  </si>
  <si>
    <t xml:space="preserve">CS25773</t>
  </si>
  <si>
    <t xml:space="preserve">CS25678</t>
  </si>
  <si>
    <t xml:space="preserve">CS25267</t>
  </si>
  <si>
    <t xml:space="preserve">CS25147</t>
  </si>
  <si>
    <t xml:space="preserve">CS24714</t>
  </si>
  <si>
    <t xml:space="preserve">CS25660</t>
  </si>
  <si>
    <t xml:space="preserve">CS25143</t>
  </si>
  <si>
    <t xml:space="preserve">CS25020</t>
  </si>
  <si>
    <t xml:space="preserve">CS25817</t>
  </si>
  <si>
    <t xml:space="preserve">CS24790</t>
  </si>
  <si>
    <t xml:space="preserve">CS24633</t>
  </si>
  <si>
    <t xml:space="preserve">CS24253</t>
  </si>
  <si>
    <t xml:space="preserve">CS24087</t>
  </si>
  <si>
    <t xml:space="preserve">CS24403</t>
  </si>
  <si>
    <t xml:space="preserve">CS24340</t>
  </si>
  <si>
    <t xml:space="preserve">CS25820</t>
  </si>
  <si>
    <t xml:space="preserve">CS25024</t>
  </si>
  <si>
    <t xml:space="preserve">CS24942</t>
  </si>
  <si>
    <t xml:space="preserve">CS24896</t>
  </si>
  <si>
    <t xml:space="preserve">CS25659</t>
  </si>
  <si>
    <t xml:space="preserve">CS25268</t>
  </si>
  <si>
    <t xml:space="preserve">CS25202</t>
  </si>
  <si>
    <t xml:space="preserve">CS24832</t>
  </si>
  <si>
    <t xml:space="preserve">CS24066</t>
  </si>
  <si>
    <t xml:space="preserve">CS25167</t>
  </si>
  <si>
    <t xml:space="preserve">CS24512</t>
  </si>
  <si>
    <t xml:space="preserve">CS25759</t>
  </si>
  <si>
    <t xml:space="preserve">CS25602</t>
  </si>
  <si>
    <t xml:space="preserve">CS25577</t>
  </si>
  <si>
    <t xml:space="preserve">CS25025</t>
  </si>
  <si>
    <t xml:space="preserve">CS24292</t>
  </si>
  <si>
    <t xml:space="preserve">CS25077</t>
  </si>
  <si>
    <t xml:space="preserve">CS25636</t>
  </si>
  <si>
    <t xml:space="preserve">CS25596</t>
  </si>
  <si>
    <t xml:space="preserve">CS25002</t>
  </si>
  <si>
    <t xml:space="preserve">CS25746</t>
  </si>
  <si>
    <t xml:space="preserve">CS24877</t>
  </si>
  <si>
    <t xml:space="preserve">CS25186</t>
  </si>
  <si>
    <t xml:space="preserve">CS24745</t>
  </si>
  <si>
    <t xml:space="preserve">CS25166</t>
  </si>
  <si>
    <t xml:space="preserve">CS25089</t>
  </si>
  <si>
    <t xml:space="preserve">CS24324</t>
  </si>
  <si>
    <t xml:space="preserve">CS24045</t>
  </si>
  <si>
    <t xml:space="preserve">CS24063</t>
  </si>
  <si>
    <t xml:space="preserve">CS24362</t>
  </si>
  <si>
    <t xml:space="preserve">CS24223</t>
  </si>
  <si>
    <t xml:space="preserve">CS25807</t>
  </si>
  <si>
    <t xml:space="preserve">CS25185</t>
  </si>
  <si>
    <t xml:space="preserve">CS24962</t>
  </si>
  <si>
    <t xml:space="preserve">CS24921</t>
  </si>
  <si>
    <t xml:space="preserve">CS24220</t>
  </si>
  <si>
    <t xml:space="preserve">CS24197</t>
  </si>
  <si>
    <t xml:space="preserve">CS24183</t>
  </si>
  <si>
    <t xml:space="preserve">CS24128</t>
  </si>
  <si>
    <t xml:space="preserve">CS24102</t>
  </si>
  <si>
    <t xml:space="preserve">CS25181</t>
  </si>
  <si>
    <t xml:space="preserve">CS25159</t>
  </si>
  <si>
    <t xml:space="preserve">CS24616</t>
  </si>
  <si>
    <t xml:space="preserve">CS24057</t>
  </si>
  <si>
    <t xml:space="preserve">CS24354</t>
  </si>
  <si>
    <t xml:space="preserve">CS24030</t>
  </si>
  <si>
    <t xml:space="preserve">CS25809</t>
  </si>
  <si>
    <t xml:space="preserve">CS25703</t>
  </si>
  <si>
    <t xml:space="preserve">CS25255</t>
  </si>
  <si>
    <t xml:space="preserve">CS24936</t>
  </si>
  <si>
    <t xml:space="preserve">CS24413</t>
  </si>
  <si>
    <t xml:space="preserve">CS24933</t>
  </si>
  <si>
    <t xml:space="preserve">CS24937</t>
  </si>
  <si>
    <t xml:space="preserve">CS24876</t>
  </si>
  <si>
    <t xml:space="preserve">CS24054</t>
  </si>
  <si>
    <t xml:space="preserve">CS24294</t>
  </si>
  <si>
    <t xml:space="preserve">CS25701</t>
  </si>
  <si>
    <t xml:space="preserve">CS24181</t>
  </si>
  <si>
    <t xml:space="preserve">CS25046</t>
  </si>
  <si>
    <t xml:space="preserve">CS24228</t>
  </si>
  <si>
    <t xml:space="preserve">CS24147</t>
  </si>
  <si>
    <t xml:space="preserve">CS25719</t>
  </si>
  <si>
    <t xml:space="preserve">CS25274</t>
  </si>
  <si>
    <t xml:space="preserve">CS25056</t>
  </si>
  <si>
    <t xml:space="preserve">CS24383</t>
  </si>
  <si>
    <t xml:space="preserve">CS24943</t>
  </si>
  <si>
    <t xml:space="preserve">CS24916</t>
  </si>
  <si>
    <t xml:space="preserve">CS24209</t>
  </si>
  <si>
    <t xml:space="preserve">CS24293</t>
  </si>
  <si>
    <t xml:space="preserve">CS25808</t>
  </si>
  <si>
    <t xml:space="preserve">CS25621</t>
  </si>
  <si>
    <t xml:space="preserve">CS24180</t>
  </si>
  <si>
    <t xml:space="preserve">CS25827</t>
  </si>
  <si>
    <t xml:space="preserve">CS24870</t>
  </si>
  <si>
    <t xml:space="preserve">CS24131</t>
  </si>
  <si>
    <t xml:space="preserve">CS24799</t>
  </si>
  <si>
    <t xml:space="preserve">CS24841</t>
  </si>
  <si>
    <t xml:space="preserve">CS24619</t>
  </si>
  <si>
    <t xml:space="preserve">CS24356</t>
  </si>
  <si>
    <t xml:space="preserve">CS24103</t>
  </si>
  <si>
    <t xml:space="preserve">CS24947</t>
  </si>
  <si>
    <t xml:space="preserve">CS24316</t>
  </si>
  <si>
    <t xml:space="preserve">CS24273</t>
  </si>
  <si>
    <t xml:space="preserve">CS25112</t>
  </si>
  <si>
    <t xml:space="preserve">CS25095</t>
  </si>
  <si>
    <t xml:space="preserve">CS24800</t>
  </si>
  <si>
    <t xml:space="preserve">CS24178</t>
  </si>
  <si>
    <t xml:space="preserve">CS24198</t>
  </si>
  <si>
    <t xml:space="preserve">CS25312</t>
  </si>
  <si>
    <t xml:space="preserve">CS24141</t>
  </si>
  <si>
    <t xml:space="preserve">CS25740</t>
  </si>
  <si>
    <t xml:space="preserve">CS25104</t>
  </si>
  <si>
    <t xml:space="preserve">CS25034</t>
  </si>
  <si>
    <t xml:space="preserve">CS24235</t>
  </si>
  <si>
    <t xml:space="preserve">CS24384</t>
  </si>
  <si>
    <t xml:space="preserve">CS24123</t>
  </si>
  <si>
    <t xml:space="preserve">CS24885</t>
  </si>
  <si>
    <t xml:space="preserve">CS24782</t>
  </si>
  <si>
    <t xml:space="preserve">CS24609</t>
  </si>
  <si>
    <t xml:space="preserve">CS24431</t>
  </si>
  <si>
    <t xml:space="preserve">CS24237</t>
  </si>
  <si>
    <t xml:space="preserve">CS24156</t>
  </si>
  <si>
    <t xml:space="preserve">CS25206</t>
  </si>
  <si>
    <t xml:space="preserve">CS24912</t>
  </si>
  <si>
    <t xml:space="preserve">CS24350</t>
  </si>
  <si>
    <t xml:space="preserve">CS25632</t>
  </si>
  <si>
    <t xml:space="preserve">CS24422</t>
  </si>
  <si>
    <t xml:space="preserve">CS24297</t>
  </si>
  <si>
    <t xml:space="preserve">CS25816</t>
  </si>
  <si>
    <t xml:space="preserve">CS25738</t>
  </si>
  <si>
    <t xml:space="preserve">CS25633</t>
  </si>
  <si>
    <t xml:space="preserve">CS25729</t>
  </si>
  <si>
    <t xml:space="preserve">CS24818</t>
  </si>
  <si>
    <t xml:space="preserve">CS24847</t>
  </si>
  <si>
    <t xml:space="preserve">CS24346</t>
  </si>
  <si>
    <t xml:space="preserve">CS25669</t>
  </si>
  <si>
    <t xml:space="preserve">CS24922</t>
  </si>
  <si>
    <t xml:space="preserve">CS24267</t>
  </si>
  <si>
    <t xml:space="preserve">CS24254</t>
  </si>
  <si>
    <t xml:space="preserve">CS24155</t>
  </si>
  <si>
    <t xml:space="preserve">CS24839</t>
  </si>
  <si>
    <t xml:space="preserve">CS24460</t>
  </si>
  <si>
    <t xml:space="preserve">CS24348</t>
  </si>
  <si>
    <t xml:space="preserve">CS24234</t>
  </si>
  <si>
    <t xml:space="preserve">CS24056</t>
  </si>
  <si>
    <t xml:space="preserve">CS25663</t>
  </si>
  <si>
    <t xml:space="preserve">CS24677</t>
  </si>
  <si>
    <t xml:space="preserve">CS24716</t>
  </si>
  <si>
    <t xml:space="preserve">CS24205</t>
  </si>
  <si>
    <t xml:space="preserve">CS24266</t>
  </si>
  <si>
    <t xml:space="preserve">CS24175</t>
  </si>
  <si>
    <t xml:space="preserve">CS25214</t>
  </si>
  <si>
    <t xml:space="preserve">CS24265</t>
  </si>
  <si>
    <t xml:space="preserve">CS24280</t>
  </si>
  <si>
    <t xml:space="preserve">CS24236</t>
  </si>
  <si>
    <t xml:space="preserve">CS24239</t>
  </si>
  <si>
    <t xml:space="preserve">CS24034</t>
  </si>
  <si>
    <t xml:space="preserve">CS25793</t>
  </si>
  <si>
    <t xml:space="preserve">CS25262</t>
  </si>
  <si>
    <t xml:space="preserve">CS24952</t>
  </si>
  <si>
    <t xml:space="preserve">CS24739</t>
  </si>
  <si>
    <t xml:space="preserve">CS24177</t>
  </si>
  <si>
    <t xml:space="preserve">CS24872</t>
  </si>
  <si>
    <t xml:space="preserve">CS24737</t>
  </si>
  <si>
    <t xml:space="preserve">CS24650</t>
  </si>
  <si>
    <t xml:space="preserve">CS25711</t>
  </si>
  <si>
    <t xml:space="preserve">CS25668</t>
  </si>
  <si>
    <t xml:space="preserve">CS24914</t>
  </si>
  <si>
    <t xml:space="preserve">CS24509</t>
  </si>
  <si>
    <t xml:space="preserve">CS24161</t>
  </si>
  <si>
    <t xml:space="preserve">CS25768</t>
  </si>
  <si>
    <t xml:space="preserve">CS25661</t>
  </si>
  <si>
    <t xml:space="preserve">CS25584</t>
  </si>
  <si>
    <t xml:space="preserve">CS24884</t>
  </si>
  <si>
    <t xml:space="preserve">CS25576</t>
  </si>
  <si>
    <t xml:space="preserve">CS24242</t>
  </si>
  <si>
    <t xml:space="preserve">CS24435</t>
  </si>
  <si>
    <t xml:space="preserve">CS24442</t>
  </si>
  <si>
    <t xml:space="preserve">CS25599</t>
  </si>
  <si>
    <t xml:space="preserve">CS24515</t>
  </si>
  <si>
    <t xml:space="preserve">CS25605</t>
  </si>
  <si>
    <t xml:space="preserve">CS24308</t>
  </si>
  <si>
    <t xml:space="preserve">CS24101</t>
  </si>
  <si>
    <t xml:space="preserve">CS25618</t>
  </si>
  <si>
    <t xml:space="preserve">CS24535</t>
  </si>
  <si>
    <t xml:space="preserve">CS24184</t>
  </si>
  <si>
    <t xml:space="preserve">CS24133</t>
  </si>
  <si>
    <t xml:space="preserve">CS25800</t>
  </si>
  <si>
    <t xml:space="preserve">CS25761</t>
  </si>
  <si>
    <t xml:space="preserve">CS24408</t>
  </si>
  <si>
    <t xml:space="preserve">CS24129</t>
  </si>
  <si>
    <t xml:space="preserve">CS25829</t>
  </si>
  <si>
    <t xml:space="preserve">CS24881</t>
  </si>
  <si>
    <t xml:space="preserve">CS24337</t>
  </si>
  <si>
    <t xml:space="preserve">CS24132</t>
  </si>
  <si>
    <t xml:space="preserve">CS24075</t>
  </si>
  <si>
    <t xml:space="preserve">CS25261</t>
  </si>
  <si>
    <t xml:space="preserve">CS25125</t>
  </si>
  <si>
    <t xml:space="preserve">CS25709</t>
  </si>
  <si>
    <t xml:space="preserve">CS25219</t>
  </si>
  <si>
    <t xml:space="preserve">CS24901</t>
  </si>
  <si>
    <t xml:space="preserve">CS24890</t>
  </si>
  <si>
    <t xml:space="preserve">CS24457</t>
  </si>
  <si>
    <t xml:space="preserve">CS24555</t>
  </si>
  <si>
    <t xml:space="preserve">CS25225</t>
  </si>
  <si>
    <t xml:space="preserve">CS25236</t>
  </si>
  <si>
    <t xml:space="preserve">CS25459</t>
  </si>
  <si>
    <t xml:space="preserve">CS25150</t>
  </si>
  <si>
    <t xml:space="preserve">CS25367</t>
  </si>
  <si>
    <t xml:space="preserve">CS24994</t>
  </si>
  <si>
    <t xml:space="preserve">CS24907</t>
  </si>
  <si>
    <t xml:space="preserve">CS24987</t>
  </si>
  <si>
    <t xml:space="preserve">CS24875</t>
  </si>
  <si>
    <t xml:space="preserve">CS24547</t>
  </si>
  <si>
    <t xml:space="preserve">CS24949</t>
  </si>
  <si>
    <t xml:space="preserve">CS24212</t>
  </si>
  <si>
    <t xml:space="preserve">CS24498</t>
  </si>
  <si>
    <t xml:space="preserve">CS24070</t>
  </si>
  <si>
    <t xml:space="preserve">CS25777</t>
  </si>
  <si>
    <t xml:space="preserve">CS25123</t>
  </si>
  <si>
    <t xml:space="preserve">CS24718</t>
  </si>
  <si>
    <t xml:space="preserve">CS24443</t>
  </si>
  <si>
    <t xml:space="preserve">CS24071</t>
  </si>
  <si>
    <t xml:space="preserve">CS25090</t>
  </si>
  <si>
    <t xml:space="preserve">CS24033</t>
  </si>
  <si>
    <t xml:space="preserve">CS24600</t>
  </si>
  <si>
    <t xml:space="preserve">CS24464</t>
  </si>
  <si>
    <t xml:space="preserve">CS24468</t>
  </si>
  <si>
    <t xml:space="preserve">CS25048</t>
  </si>
  <si>
    <t xml:space="preserve">CS24689</t>
  </si>
  <si>
    <t xml:space="preserve">CS24091</t>
  </si>
  <si>
    <t xml:space="preserve">CS24735</t>
  </si>
  <si>
    <t xml:space="preserve">CS25139</t>
  </si>
  <si>
    <t xml:space="preserve">CS24855</t>
  </si>
  <si>
    <t xml:space="preserve">CS24758</t>
  </si>
  <si>
    <t xml:space="preserve">CS24325</t>
  </si>
  <si>
    <t xml:space="preserve">CS24111</t>
  </si>
  <si>
    <t xml:space="preserve">CS24770</t>
  </si>
  <si>
    <t xml:space="preserve">CS24626</t>
  </si>
  <si>
    <t xml:space="preserve">CS25249</t>
  </si>
  <si>
    <t xml:space="preserve">CS25087</t>
  </si>
  <si>
    <t xml:space="preserve">CS25067</t>
  </si>
  <si>
    <t xml:space="preserve">CS25005</t>
  </si>
  <si>
    <t xml:space="preserve">CS24571</t>
  </si>
  <si>
    <t xml:space="preserve">CS24368</t>
  </si>
  <si>
    <t xml:space="preserve">CS24827</t>
  </si>
  <si>
    <t xml:space="preserve">CS24809</t>
  </si>
  <si>
    <t xml:space="preserve">CS24614</t>
  </si>
  <si>
    <t xml:space="preserve">CS24568</t>
  </si>
  <si>
    <t xml:space="preserve">CS24339</t>
  </si>
  <si>
    <t xml:space="preserve">CS24069</t>
  </si>
  <si>
    <t xml:space="preserve">CS24052</t>
  </si>
  <si>
    <t xml:space="preserve">CS24281</t>
  </si>
  <si>
    <t xml:space="preserve">CS25690</t>
  </si>
  <si>
    <t xml:space="preserve">CS25161</t>
  </si>
  <si>
    <t xml:space="preserve">CS24621</t>
  </si>
  <si>
    <t xml:space="preserve">CS24702</t>
  </si>
  <si>
    <t xml:space="preserve">CS25658</t>
  </si>
  <si>
    <t xml:space="preserve">CS25031</t>
  </si>
  <si>
    <t xml:space="preserve">CS24763</t>
  </si>
  <si>
    <t xml:space="preserve">CS24076</t>
  </si>
  <si>
    <t xml:space="preserve">CS24592</t>
  </si>
  <si>
    <t xml:space="preserve">CS25665</t>
  </si>
  <si>
    <t xml:space="preserve">CS24112</t>
  </si>
  <si>
    <t xml:space="preserve">CS25179</t>
  </si>
  <si>
    <t xml:space="preserve">CS25289</t>
  </si>
  <si>
    <t xml:space="preserve">CS24342</t>
  </si>
  <si>
    <t xml:space="preserve">CS25736</t>
  </si>
  <si>
    <t xml:space="preserve">CS24792</t>
  </si>
  <si>
    <t xml:space="preserve">CS24489</t>
  </si>
  <si>
    <t xml:space="preserve">CS25826</t>
  </si>
  <si>
    <t xml:space="preserve">CS25314</t>
  </si>
  <si>
    <t xml:space="preserve">CS24330</t>
  </si>
  <si>
    <t xml:space="preserve">CS24545</t>
  </si>
  <si>
    <t xml:space="preserve">CS24393</t>
  </si>
  <si>
    <t xml:space="preserve">CS24108</t>
  </si>
  <si>
    <t xml:space="preserve">CS24379</t>
  </si>
  <si>
    <t xml:space="preserve">CS24693</t>
  </si>
  <si>
    <t xml:space="preserve">CS24575</t>
  </si>
  <si>
    <t xml:space="preserve">CS24078</t>
  </si>
  <si>
    <t xml:space="preserve">CS25731</t>
  </si>
  <si>
    <t xml:space="preserve">CS24486</t>
  </si>
  <si>
    <t xml:space="preserve">CS24126</t>
  </si>
  <si>
    <t xml:space="preserve">CS25135</t>
  </si>
  <si>
    <t xml:space="preserve">CS24549</t>
  </si>
  <si>
    <t xml:space="preserve">CS25310</t>
  </si>
  <si>
    <t xml:space="preserve">CS24243</t>
  </si>
  <si>
    <t xml:space="preserve">CS24530</t>
  </si>
  <si>
    <t xml:space="preserve">CS24313</t>
  </si>
  <si>
    <t xml:space="preserve">CS25295</t>
  </si>
  <si>
    <t xml:space="preserve">CS25057</t>
  </si>
  <si>
    <t xml:space="preserve">CS24793</t>
  </si>
  <si>
    <t xml:space="preserve">CS24755</t>
  </si>
  <si>
    <t xml:space="preserve">CS24715</t>
  </si>
  <si>
    <t xml:space="preserve">CS24679</t>
  </si>
  <si>
    <t xml:space="preserve">CS24603</t>
  </si>
  <si>
    <t xml:space="preserve">CS24527</t>
  </si>
  <si>
    <t xml:space="preserve">CS24601</t>
  </si>
  <si>
    <t xml:space="preserve">CS24345</t>
  </si>
  <si>
    <t xml:space="preserve">CS24768</t>
  </si>
  <si>
    <t xml:space="preserve">CS24098</t>
  </si>
  <si>
    <t xml:space="preserve">CS24286</t>
  </si>
  <si>
    <t xml:space="preserve">CS25151</t>
  </si>
  <si>
    <t xml:space="preserve">CS25038</t>
  </si>
  <si>
    <t xml:space="preserve">CS24644</t>
  </si>
  <si>
    <t xml:space="preserve">CS24664</t>
  </si>
  <si>
    <t xml:space="preserve">CS24590</t>
  </si>
  <si>
    <t xml:space="preserve">CS24469</t>
  </si>
  <si>
    <t xml:space="preserve">CS24533</t>
  </si>
  <si>
    <t xml:space="preserve">CS24670</t>
  </si>
  <si>
    <t xml:space="preserve">CS25762</t>
  </si>
  <si>
    <t xml:space="preserve">CS24081</t>
  </si>
  <si>
    <t xml:space="preserve">CS25097</t>
  </si>
  <si>
    <t xml:space="preserve">CS24591</t>
  </si>
  <si>
    <t xml:space="preserve">CS24691</t>
  </si>
  <si>
    <t xml:space="preserve">CS24439</t>
  </si>
  <si>
    <t xml:space="preserve">CS24211</t>
  </si>
  <si>
    <t xml:space="preserve">CS25141</t>
  </si>
  <si>
    <t xml:space="preserve">CS24874</t>
  </si>
  <si>
    <t xml:space="preserve">CS24667</t>
  </si>
  <si>
    <t xml:space="preserve">CS24157</t>
  </si>
  <si>
    <t xml:space="preserve">CS24171</t>
  </si>
  <si>
    <t xml:space="preserve">CS24194</t>
  </si>
  <si>
    <t xml:space="preserve">CS24137</t>
  </si>
  <si>
    <t xml:space="preserve">CS25044</t>
  </si>
  <si>
    <t xml:space="preserve">CS24173</t>
  </si>
  <si>
    <t xml:space="preserve">CS25256</t>
  </si>
  <si>
    <t xml:space="preserve">CS24703</t>
  </si>
  <si>
    <t xml:space="preserve">CS24710</t>
  </si>
  <si>
    <t xml:space="preserve">CS24979</t>
  </si>
  <si>
    <t xml:space="preserve">CS24830</t>
  </si>
  <si>
    <t xml:space="preserve">CS24538</t>
  </si>
  <si>
    <t xml:space="preserve">CS25821</t>
  </si>
  <si>
    <t xml:space="preserve">CS24227</t>
  </si>
  <si>
    <t xml:space="preserve">CS24208</t>
  </si>
  <si>
    <t xml:space="preserve">CS24222</t>
  </si>
  <si>
    <t xml:space="preserve">CS24595</t>
  </si>
  <si>
    <t xml:space="preserve">CS24353</t>
  </si>
  <si>
    <t xml:space="preserve">CS24140</t>
  </si>
  <si>
    <t xml:space="preserve">CS25101</t>
  </si>
  <si>
    <t xml:space="preserve">CS25041</t>
  </si>
  <si>
    <t xml:space="preserve">CS24507</t>
  </si>
  <si>
    <t xml:space="preserve">CS24389</t>
  </si>
  <si>
    <t xml:space="preserve">CS24170</t>
  </si>
  <si>
    <t xml:space="preserve">CS24602</t>
  </si>
  <si>
    <t xml:space="preserve">CS24037</t>
  </si>
  <si>
    <t xml:space="preserve">CS24539</t>
  </si>
  <si>
    <t xml:space="preserve">CS24139</t>
  </si>
  <si>
    <t xml:space="preserve">CS24989</t>
  </si>
  <si>
    <t xml:space="preserve">CS24077</t>
  </si>
  <si>
    <t xml:space="preserve">CS24174</t>
  </si>
  <si>
    <t xml:space="preserve">CS24136</t>
  </si>
  <si>
    <t xml:space="preserve">CS24186</t>
  </si>
  <si>
    <t xml:space="preserve">CS24766</t>
  </si>
  <si>
    <t xml:space="preserve">CS24620</t>
  </si>
  <si>
    <t xml:space="preserve">CS24218</t>
  </si>
  <si>
    <t xml:space="preserve">CS25240</t>
  </si>
  <si>
    <t xml:space="preserve">CS24778</t>
  </si>
  <si>
    <t xml:space="preserve">CS24436</t>
  </si>
  <si>
    <t xml:space="preserve">CS25153</t>
  </si>
  <si>
    <t xml:space="preserve">CS24932</t>
  </si>
  <si>
    <t xml:space="preserve">CS24203</t>
  </si>
  <si>
    <t xml:space="preserve">CS24652</t>
  </si>
  <si>
    <t xml:space="preserve">CS24657</t>
  </si>
  <si>
    <t xml:space="preserve">CS24047</t>
  </si>
  <si>
    <t xml:space="preserve">CS24202</t>
  </si>
  <si>
    <t xml:space="preserve">CS24585</t>
  </si>
  <si>
    <t xml:space="preserve">CS24558</t>
  </si>
  <si>
    <t xml:space="preserve">CS24576</t>
  </si>
  <si>
    <t xml:space="preserve">CS24144</t>
  </si>
  <si>
    <t xml:space="preserve">CS24200</t>
  </si>
  <si>
    <t xml:space="preserve">CS24162</t>
  </si>
  <si>
    <t xml:space="preserve">CS25081</t>
  </si>
  <si>
    <t xml:space="preserve">CS24516</t>
  </si>
  <si>
    <t xml:space="preserve">CS25386</t>
  </si>
  <si>
    <t xml:space="preserve">CS24295</t>
  </si>
  <si>
    <t xml:space="preserve">CS25767</t>
  </si>
  <si>
    <t xml:space="preserve">CS25424</t>
  </si>
  <si>
    <t xml:space="preserve">CS25351</t>
  </si>
  <si>
    <t xml:space="preserve">CS25359</t>
  </si>
  <si>
    <t xml:space="preserve">CS24984</t>
  </si>
  <si>
    <t xml:space="preserve">CS24966</t>
  </si>
  <si>
    <t xml:space="preserve">CS25803</t>
  </si>
  <si>
    <t xml:space="preserve">CS25032</t>
  </si>
  <si>
    <t xml:space="preserve">CS25589</t>
  </si>
  <si>
    <t xml:space="preserve">CS24709</t>
  </si>
  <si>
    <t xml:space="preserve">CS24676</t>
  </si>
  <si>
    <t xml:space="preserve">CS24188</t>
  </si>
  <si>
    <t xml:space="preserve">CS25228</t>
  </si>
  <si>
    <t xml:space="preserve">CS25818</t>
  </si>
  <si>
    <t xml:space="preserve">CS24694</t>
  </si>
  <si>
    <t xml:space="preserve">CS25766</t>
  </si>
  <si>
    <t xml:space="preserve">CS25458</t>
  </si>
  <si>
    <t xml:space="preserve">CS25549</t>
  </si>
  <si>
    <t xml:space="preserve">CS25536</t>
  </si>
  <si>
    <t xml:space="preserve">CS25332</t>
  </si>
  <si>
    <t xml:space="preserve">CS25555</t>
  </si>
  <si>
    <t xml:space="preserve">CS25401</t>
  </si>
  <si>
    <t xml:space="preserve">CS25679</t>
  </si>
  <si>
    <t xml:space="preserve">CS25570</t>
  </si>
  <si>
    <t xml:space="preserve">CS25491</t>
  </si>
  <si>
    <t xml:space="preserve">CS25560</t>
  </si>
  <si>
    <t xml:space="preserve">CS25558</t>
  </si>
  <si>
    <t xml:space="preserve">CS25496</t>
  </si>
  <si>
    <t xml:space="preserve">CS25330</t>
  </si>
  <si>
    <t xml:space="preserve">CS25723</t>
  </si>
  <si>
    <t xml:space="preserve">CS25492</t>
  </si>
  <si>
    <t xml:space="preserve">CS25485</t>
  </si>
  <si>
    <t xml:space="preserve">CS25442</t>
  </si>
  <si>
    <t xml:space="preserve">CS25553</t>
  </si>
  <si>
    <t xml:space="preserve">CS25370</t>
  </si>
  <si>
    <t xml:space="preserve">CS25477</t>
  </si>
  <si>
    <t xml:space="preserve">CS25416</t>
  </si>
  <si>
    <t xml:space="preserve">CS25567</t>
  </si>
  <si>
    <t xml:space="preserve">CS25524</t>
  </si>
  <si>
    <t xml:space="preserve">CS25528</t>
  </si>
  <si>
    <t xml:space="preserve">CS25529</t>
  </si>
  <si>
    <t xml:space="preserve">CS25411</t>
  </si>
  <si>
    <t xml:space="preserve">CS25358</t>
  </si>
  <si>
    <t xml:space="preserve">CS25715</t>
  </si>
  <si>
    <t xml:space="preserve">CS25548</t>
  </si>
  <si>
    <t xml:space="preserve">CS25539</t>
  </si>
  <si>
    <t xml:space="preserve">CS25443</t>
  </si>
  <si>
    <t xml:space="preserve">CS25356</t>
  </si>
  <si>
    <t xml:space="preserve">CS25377</t>
  </si>
  <si>
    <t xml:space="preserve">CS25421</t>
  </si>
  <si>
    <t xml:space="preserve">CS25540</t>
  </si>
  <si>
    <t xml:space="preserve">CS25515</t>
  </si>
  <si>
    <t xml:space="preserve">CS25384</t>
  </si>
  <si>
    <t xml:space="preserve">CS25390</t>
  </si>
  <si>
    <t xml:space="preserve">CS25507</t>
  </si>
  <si>
    <t xml:space="preserve">CS25455</t>
  </si>
  <si>
    <t xml:space="preserve">CS25328</t>
  </si>
  <si>
    <t xml:space="preserve">CS25419</t>
  </si>
  <si>
    <t xml:space="preserve">CS25317</t>
  </si>
  <si>
    <t xml:space="preserve">CS25452</t>
  </si>
  <si>
    <t xml:space="preserve">CS25456</t>
  </si>
  <si>
    <t xml:space="preserve">CS25504</t>
  </si>
  <si>
    <t xml:space="preserve">CS25320</t>
  </si>
  <si>
    <t xml:space="preserve">CS25544</t>
  </si>
  <si>
    <t xml:space="preserve">CS25467</t>
  </si>
  <si>
    <t xml:space="preserve">CS25508</t>
  </si>
  <si>
    <t xml:space="preserve">CS25480</t>
  </si>
  <si>
    <t xml:space="preserve">CS25431</t>
  </si>
  <si>
    <t xml:space="preserve">CS25363</t>
  </si>
  <si>
    <t xml:space="preserve">CS25352</t>
  </si>
  <si>
    <t xml:space="preserve">CS25673</t>
  </si>
  <si>
    <t xml:space="preserve">CS25439</t>
  </si>
  <si>
    <t xml:space="preserve">CS25683</t>
  </si>
  <si>
    <t xml:space="preserve">CS25449</t>
  </si>
  <si>
    <t xml:space="preserve">CS25354</t>
  </si>
  <si>
    <t xml:space="preserve">CS25326</t>
  </si>
  <si>
    <t xml:space="preserve">CS25489</t>
  </si>
  <si>
    <t xml:space="preserve">CS25689</t>
  </si>
  <si>
    <t xml:space="preserve">CS25365</t>
  </si>
  <si>
    <t xml:space="preserve">CS25547</t>
  </si>
  <si>
    <t xml:space="preserve">CS25348</t>
  </si>
  <si>
    <t xml:space="preserve">CS25391</t>
  </si>
  <si>
    <t xml:space="preserve">CS25460</t>
  </si>
  <si>
    <t xml:space="preserve">CS25415</t>
  </si>
  <si>
    <t xml:space="preserve">CS25420</t>
  </si>
  <si>
    <t xml:space="preserve">CS25338</t>
  </si>
  <si>
    <t xml:space="preserve">CS25569</t>
  </si>
  <si>
    <t xml:space="preserve">CS25441</t>
  </si>
  <si>
    <t xml:space="preserve">CS25447</t>
  </si>
  <si>
    <t xml:space="preserve">CS25409</t>
  </si>
  <si>
    <t xml:space="preserve">CS25399</t>
  </si>
  <si>
    <t xml:space="preserve">CS25506</t>
  </si>
  <si>
    <t xml:space="preserve">CS25453</t>
  </si>
  <si>
    <t xml:space="preserve">CS25444</t>
  </si>
  <si>
    <t xml:space="preserve">CS25402</t>
  </si>
  <si>
    <t xml:space="preserve">CS25521</t>
  </si>
  <si>
    <t xml:space="preserve">CS25438</t>
  </si>
  <si>
    <t xml:space="preserve">CS25543</t>
  </si>
  <si>
    <t xml:space="preserve">CS25357</t>
  </si>
  <si>
    <t xml:space="preserve">CS25432</t>
  </si>
  <si>
    <t xml:space="preserve">CS25534</t>
  </si>
  <si>
    <t xml:space="preserve">CS25513</t>
  </si>
  <si>
    <t xml:space="preserve">CS25500</t>
  </si>
  <si>
    <t xml:space="preserve">CS25410</t>
  </si>
  <si>
    <t xml:space="preserve">CS25366</t>
  </si>
  <si>
    <t xml:space="preserve">CS25393</t>
  </si>
  <si>
    <t xml:space="preserve">CS25368</t>
  </si>
  <si>
    <t xml:space="preserve">CS25457</t>
  </si>
  <si>
    <t xml:space="preserve">CS25440</t>
  </si>
  <si>
    <t xml:space="preserve">CS25394</t>
  </si>
  <si>
    <t xml:space="preserve">CS25498</t>
  </si>
  <si>
    <t xml:space="preserve">CS25681</t>
  </si>
  <si>
    <t xml:space="preserve">CS25454</t>
  </si>
  <si>
    <t xml:space="preserve">CS25523</t>
  </si>
  <si>
    <t xml:space="preserve">CS25475</t>
  </si>
  <si>
    <t xml:space="preserve">CS25389</t>
  </si>
  <si>
    <t xml:space="preserve">CS25557</t>
  </si>
  <si>
    <t xml:space="preserve">CS25517</t>
  </si>
  <si>
    <t xml:space="preserve">CS25510</t>
  </si>
  <si>
    <t xml:space="preserve">CS25446</t>
  </si>
  <si>
    <t xml:space="preserve">CS25344</t>
  </si>
  <si>
    <t xml:space="preserve">CS25422</t>
  </si>
  <si>
    <t xml:space="preserve">CS25340</t>
  </si>
  <si>
    <t xml:space="preserve">CS25331</t>
  </si>
  <si>
    <t xml:space="preserve">CS25329</t>
  </si>
  <si>
    <t xml:space="preserve">CS25373</t>
  </si>
  <si>
    <t xml:space="preserve">CS25527</t>
  </si>
  <si>
    <t xml:space="preserve">CS25509</t>
  </si>
  <si>
    <t xml:space="preserve">CS25482</t>
  </si>
  <si>
    <t xml:space="preserve">CS25546</t>
  </si>
  <si>
    <t xml:space="preserve">CS25434</t>
  </si>
  <si>
    <t xml:space="preserve">CS25346</t>
  </si>
  <si>
    <t xml:space="preserve">CS25483</t>
  </si>
  <si>
    <t xml:space="preserve">CS25423</t>
  </si>
  <si>
    <t xml:space="preserve">CS25381</t>
  </si>
  <si>
    <t xml:space="preserve">CS25435</t>
  </si>
  <si>
    <t xml:space="preserve">CS25347</t>
  </si>
  <si>
    <t xml:space="preserve">CS25414</t>
  </si>
  <si>
    <t xml:space="preserve">CS25335</t>
  </si>
  <si>
    <t xml:space="preserve">CS25550</t>
  </si>
  <si>
    <t xml:space="preserve">CS25561</t>
  </si>
  <si>
    <t xml:space="preserve">CS25345</t>
  </si>
  <si>
    <t xml:space="preserve">CS25397</t>
  </si>
  <si>
    <t xml:space="preserve">CS25571</t>
  </si>
  <si>
    <t xml:space="preserve">CS25518</t>
  </si>
  <si>
    <t xml:space="preserve">CS25350</t>
  </si>
  <si>
    <t xml:space="preserve">CS25362</t>
  </si>
  <si>
    <t xml:space="preserve">CS25530</t>
  </si>
  <si>
    <t xml:space="preserve">CS25464</t>
  </si>
  <si>
    <t xml:space="preserve">CS25322</t>
  </si>
  <si>
    <t xml:space="preserve">CS24215</t>
  </si>
  <si>
    <t xml:space="preserve">CS25168</t>
  </si>
  <si>
    <t xml:space="preserve">CS25781</t>
  </si>
  <si>
    <t xml:space="preserve">CS25644</t>
  </si>
  <si>
    <t xml:space="preserve">CS25120</t>
  </si>
  <si>
    <t xml:space="preserve">CS24840</t>
  </si>
  <si>
    <t xml:space="preserve">CS24692</t>
  </si>
  <si>
    <t xml:space="preserve">CS25239</t>
  </si>
  <si>
    <t xml:space="preserve">CS24398</t>
  </si>
  <si>
    <t xml:space="preserve">CS25307</t>
  </si>
  <si>
    <t xml:space="preserve">CS24648</t>
  </si>
  <si>
    <t xml:space="preserve">CS24513</t>
  </si>
  <si>
    <t xml:space="preserve">CS24883</t>
  </si>
  <si>
    <t xml:space="preserve">CS25538</t>
  </si>
  <si>
    <t xml:space="preserve">CS25380</t>
  </si>
  <si>
    <t xml:space="preserve">CS25712</t>
  </si>
  <si>
    <t xml:space="preserve">CS24925</t>
  </si>
  <si>
    <t xml:space="preserve">CS24349</t>
  </si>
  <si>
    <t xml:space="preserve">CS24823</t>
  </si>
  <si>
    <t xml:space="preserve">CS25606</t>
  </si>
  <si>
    <t xml:space="preserve">CS24556</t>
  </si>
  <si>
    <t xml:space="preserve">CS24053</t>
  </si>
  <si>
    <t xml:space="preserve">CS25802</t>
  </si>
  <si>
    <t xml:space="preserve">CS25634</t>
  </si>
  <si>
    <t xml:space="preserve">CS24451</t>
  </si>
  <si>
    <t xml:space="preserve">CS24261</t>
  </si>
  <si>
    <t xml:space="preserve">CS24518</t>
  </si>
  <si>
    <t xml:space="preserve">CS25211</t>
  </si>
  <si>
    <t xml:space="preserve">CS24369</t>
  </si>
  <si>
    <t xml:space="preserve">CS24608</t>
  </si>
  <si>
    <t xml:space="preserve">CS24411</t>
  </si>
  <si>
    <t xml:space="preserve">CS24909</t>
  </si>
  <si>
    <t xml:space="preserve">CS24453</t>
  </si>
  <si>
    <t xml:space="preserve">CS24661</t>
  </si>
  <si>
    <t xml:space="preserve">CS24309</t>
  </si>
  <si>
    <t xml:space="preserve">CS25717</t>
  </si>
  <si>
    <t xml:space="preserve">CS25784</t>
  </si>
  <si>
    <t xml:space="preserve">CS25272</t>
  </si>
  <si>
    <t xml:space="preserve">CS25069</t>
  </si>
  <si>
    <t xml:space="preserve">CS25281</t>
  </si>
  <si>
    <t xml:space="preserve">CS25207</t>
  </si>
  <si>
    <t xml:space="preserve">CS24736</t>
  </si>
  <si>
    <t xml:space="preserve">CS24191</t>
  </si>
  <si>
    <t xml:space="preserve">CS25537</t>
  </si>
  <si>
    <t xml:space="preserve">CS25542</t>
  </si>
  <si>
    <t xml:space="preserve">CS24672</t>
  </si>
  <si>
    <t xml:space="preserve">CS25514</t>
  </si>
  <si>
    <t xml:space="preserve">CS24625</t>
  </si>
  <si>
    <t xml:space="preserve">CS24134</t>
  </si>
  <si>
    <t xml:space="preserve">CS25718</t>
  </si>
  <si>
    <t xml:space="preserve">CS25173</t>
  </si>
  <si>
    <t xml:space="preserve">CS24777</t>
  </si>
  <si>
    <t xml:space="preserve">CS24256</t>
  </si>
  <si>
    <t xml:space="preserve">CS24364</t>
  </si>
  <si>
    <t xml:space="preserve">CS25551</t>
  </si>
  <si>
    <t xml:space="preserve">CS25445</t>
  </si>
  <si>
    <t xml:space="preserve">CS24519</t>
  </si>
  <si>
    <t xml:space="preserve">CS25400</t>
  </si>
  <si>
    <t xml:space="preserve">CS24289</t>
  </si>
  <si>
    <t xml:space="preserve">CS24860</t>
  </si>
  <si>
    <t xml:space="preserve">CS24409</t>
  </si>
  <si>
    <t xml:space="preserve">CS24640</t>
  </si>
  <si>
    <t xml:space="preserve">CS24201</t>
  </si>
  <si>
    <t xml:space="preserve">CS24973</t>
  </si>
  <si>
    <t xml:space="preserve">CS24878</t>
  </si>
  <si>
    <t xml:space="preserve">CS24974</t>
  </si>
  <si>
    <t xml:space="preserve">CS24467</t>
  </si>
  <si>
    <t xml:space="preserve">CS24321</t>
  </si>
  <si>
    <t xml:space="preserve">CS24534</t>
  </si>
  <si>
    <t xml:space="preserve">CS24968</t>
  </si>
  <si>
    <t xml:space="preserve">CS24930</t>
  </si>
  <si>
    <t xml:space="preserve">CS24705</t>
  </si>
  <si>
    <t xml:space="preserve">CS24476</t>
  </si>
  <si>
    <t xml:space="preserve">CS24290</t>
  </si>
  <si>
    <t xml:space="preserve">CS24721</t>
  </si>
  <si>
    <t xml:space="preserve">CS25685</t>
  </si>
  <si>
    <t xml:space="preserve">CS24262</t>
  </si>
  <si>
    <t xml:space="preserve">CS24660</t>
  </si>
  <si>
    <t xml:space="preserve">CS24082</t>
  </si>
  <si>
    <t xml:space="preserve">CS24551</t>
  </si>
  <si>
    <t xml:space="preserve">CS24238</t>
  </si>
  <si>
    <t xml:space="preserve">CS24757</t>
  </si>
  <si>
    <t xml:space="preserve">CS25805</t>
  </si>
  <si>
    <t xml:space="preserve">CS24838</t>
  </si>
  <si>
    <t xml:space="preserve">CS24566</t>
  </si>
  <si>
    <t xml:space="preserve">CS24478</t>
  </si>
  <si>
    <t xml:space="preserve">CS24567</t>
  </si>
  <si>
    <t xml:space="preserve">CS24857</t>
  </si>
  <si>
    <t xml:space="preserve">CS24780</t>
  </si>
  <si>
    <t xml:space="preserve">CS24255</t>
  </si>
  <si>
    <t xml:space="preserve">CS25693</t>
  </si>
  <si>
    <t xml:space="preserve">CS25556</t>
  </si>
  <si>
    <t xml:space="preserve">CS25426</t>
  </si>
  <si>
    <t xml:space="preserve">CS25790</t>
  </si>
  <si>
    <t xml:space="preserve">CS25193</t>
  </si>
  <si>
    <t xml:space="preserve">CS25102</t>
  </si>
  <si>
    <t xml:space="preserve">CS25140</t>
  </si>
  <si>
    <t xml:space="preserve">CS25378</t>
  </si>
  <si>
    <t xml:space="preserve">CS24726</t>
  </si>
  <si>
    <t xml:space="preserve">CS24833</t>
  </si>
  <si>
    <t xml:space="preserve">CS25292</t>
  </si>
  <si>
    <t xml:space="preserve">CS24097</t>
  </si>
  <si>
    <t xml:space="preserve">CS25060</t>
  </si>
  <si>
    <t xml:space="preserve">CS24761</t>
  </si>
  <si>
    <t xml:space="preserve">CS24135</t>
  </si>
  <si>
    <t xml:space="preserve">CS24562</t>
  </si>
  <si>
    <t xml:space="preserve">CS24437</t>
  </si>
  <si>
    <t xml:space="preserve">CS24805</t>
  </si>
  <si>
    <t xml:space="preserve">CS24906</t>
  </si>
  <si>
    <t xml:space="preserve">CS25725</t>
  </si>
  <si>
    <t xml:space="preserve">CS25200</t>
  </si>
  <si>
    <t xml:space="preserve">CS25073</t>
  </si>
  <si>
    <t xml:space="preserve">CS24521</t>
  </si>
  <si>
    <t xml:space="preserve">CS24996</t>
  </si>
  <si>
    <t xml:space="preserve">CS25137</t>
  </si>
  <si>
    <t xml:space="preserve">CS25172</t>
  </si>
  <si>
    <t xml:space="preserve">CS24145</t>
  </si>
  <si>
    <t xml:space="preserve">CS25778</t>
  </si>
  <si>
    <t xml:space="preserve">CS25702</t>
  </si>
  <si>
    <t xml:space="preserve">CS24806</t>
  </si>
  <si>
    <t xml:space="preserve">CS24599</t>
  </si>
  <si>
    <t xml:space="preserve">CS25296</t>
  </si>
  <si>
    <t xml:space="preserve">CS25392</t>
  </si>
  <si>
    <t xml:space="preserve">CS25231</t>
  </si>
  <si>
    <t xml:space="preserve">CS24028</t>
  </si>
  <si>
    <t xml:space="preserve">CS25061</t>
  </si>
  <si>
    <t xml:space="preserve">CS24769</t>
  </si>
  <si>
    <t xml:space="preserve">CS24695</t>
  </si>
  <si>
    <t xml:space="preserve">CS24148</t>
  </si>
  <si>
    <t xml:space="preserve">CS24151</t>
  </si>
  <si>
    <t xml:space="preserve">CS25657</t>
  </si>
  <si>
    <t xml:space="preserve">CS25184</t>
  </si>
  <si>
    <t xml:space="preserve">CS24455</t>
  </si>
  <si>
    <t xml:space="preserve">CS24241</t>
  </si>
  <si>
    <t xml:space="preserve">CS25175</t>
  </si>
  <si>
    <t xml:space="preserve">CS25473</t>
  </si>
  <si>
    <t xml:space="preserve">CS25819</t>
  </si>
  <si>
    <t xml:space="preserve">CS24496</t>
  </si>
  <si>
    <t xml:space="preserve">CS24955</t>
  </si>
  <si>
    <t xml:space="preserve">CS24042</t>
  </si>
  <si>
    <t xml:space="preserve">CS25134</t>
  </si>
  <si>
    <t xml:space="preserve">CS25722</t>
  </si>
  <si>
    <t xml:space="preserve">CS25342</t>
  </si>
  <si>
    <t xml:space="preserve">CS24278</t>
  </si>
  <si>
    <t xml:space="preserve">CS24986</t>
  </si>
  <si>
    <t xml:space="preserve">CS25080</t>
  </si>
  <si>
    <t xml:space="preserve">CS24727</t>
  </si>
  <si>
    <t xml:space="preserve">CS24248</t>
  </si>
  <si>
    <t xml:space="preserve">CS24779</t>
  </si>
  <si>
    <t xml:space="preserve">CS25208</t>
  </si>
  <si>
    <t xml:space="preserve">CS24573</t>
  </si>
  <si>
    <t xml:space="preserve">CS24646</t>
  </si>
  <si>
    <t xml:space="preserve">CS25142</t>
  </si>
  <si>
    <t xml:space="preserve">CS25325</t>
  </si>
  <si>
    <t xml:space="preserve">CS25744</t>
  </si>
  <si>
    <t xml:space="preserve">CS24850</t>
  </si>
  <si>
    <t xml:space="preserve">CS25707</t>
  </si>
  <si>
    <t xml:space="preserve">CS25045</t>
  </si>
  <si>
    <t xml:space="preserve">CS25754</t>
  </si>
  <si>
    <t xml:space="preserve">CS24570</t>
  </si>
  <si>
    <t xml:space="preserve">CS24490</t>
  </si>
  <si>
    <t xml:space="preserve">CS24948</t>
  </si>
  <si>
    <t xml:space="preserve">CS25511</t>
  </si>
  <si>
    <t xml:space="preserve">CS25121</t>
  </si>
  <si>
    <t xml:space="preserve">CS25667</t>
  </si>
  <si>
    <t xml:space="preserve">CS25203</t>
  </si>
  <si>
    <t xml:space="preserve">CS24043</t>
  </si>
  <si>
    <t xml:space="preserve">CS25789</t>
  </si>
  <si>
    <t xml:space="preserve">CS25642</t>
  </si>
  <si>
    <t xml:space="preserve">CS24931</t>
  </si>
  <si>
    <t xml:space="preserve">CS25552</t>
  </si>
  <si>
    <t xml:space="preserve">CS24651</t>
  </si>
  <si>
    <t xml:space="preserve">CS25640</t>
  </si>
  <si>
    <t xml:space="preserve">CS24572</t>
  </si>
  <si>
    <t xml:space="preserve">CS24020</t>
  </si>
  <si>
    <t xml:space="preserve">CS25692</t>
  </si>
  <si>
    <t xml:space="preserve">CS25396</t>
  </si>
  <si>
    <t xml:space="preserve">CS25339</t>
  </si>
  <si>
    <t xml:space="preserve">CS25169</t>
  </si>
  <si>
    <t xml:space="preserve">CS25671</t>
  </si>
  <si>
    <t xml:space="preserve">CS24291</t>
  </si>
  <si>
    <t xml:space="preserve">CS24351</t>
  </si>
  <si>
    <t xml:space="preserve">CS25574</t>
  </si>
  <si>
    <t xml:space="preserve">CS24154</t>
  </si>
  <si>
    <t xml:space="preserve">CS24279</t>
  </si>
  <si>
    <t xml:space="preserve">CS24631</t>
  </si>
  <si>
    <t xml:space="preserve">CS24050</t>
  </si>
  <si>
    <t xml:space="preserve">CS24479</t>
  </si>
  <si>
    <t xml:space="preserve">CS24358</t>
  </si>
  <si>
    <t xml:space="preserve">CS24541</t>
  </si>
  <si>
    <t xml:space="preserve">CS24980</t>
  </si>
  <si>
    <t xml:space="preserve">CS24773</t>
  </si>
  <si>
    <t xml:space="preserve">CS25622</t>
  </si>
  <si>
    <t xml:space="preserve">CS25361</t>
  </si>
  <si>
    <t xml:space="preserve">CS24454</t>
  </si>
  <si>
    <t xml:space="preserve">CS24939</t>
  </si>
  <si>
    <t xml:space="preserve">CS24105</t>
  </si>
  <si>
    <t xml:space="preserve">CS24904</t>
  </si>
  <si>
    <t xml:space="preserve">CS24160</t>
  </si>
  <si>
    <t xml:space="preserve">CS25068</t>
  </si>
  <si>
    <t xml:space="preserve">CS24798</t>
  </si>
  <si>
    <t xml:space="preserve">CS25495</t>
  </si>
  <si>
    <t xml:space="preserve">CS24120</t>
  </si>
  <si>
    <t xml:space="preserve">CS25019</t>
  </si>
  <si>
    <t xml:space="preserve">CS24990</t>
  </si>
  <si>
    <t xml:space="preserve">CS24264</t>
  </si>
  <si>
    <t xml:space="preserve">CS25355</t>
  </si>
  <si>
    <t xml:space="preserve">CS24928</t>
  </si>
  <si>
    <t xml:space="preserve">CS24589</t>
  </si>
  <si>
    <t xml:space="preserve">CS25309</t>
  </si>
  <si>
    <t xml:space="preserve">CS25246</t>
  </si>
  <si>
    <t xml:space="preserve">CS24786</t>
  </si>
  <si>
    <t xml:space="preserve">CS24982</t>
  </si>
  <si>
    <t xml:space="preserve">CS25799</t>
  </si>
  <si>
    <t xml:space="preserve">CS25343</t>
  </si>
  <si>
    <t xml:space="preserve">CS24836</t>
  </si>
  <si>
    <t xml:space="preserve">CS24359</t>
  </si>
  <si>
    <t xml:space="preserve">CS24216</t>
  </si>
  <si>
    <t xml:space="preserve">CS25525</t>
  </si>
  <si>
    <t xml:space="preserve">CS25315</t>
  </si>
  <si>
    <t xml:space="preserve">CS25376</t>
  </si>
  <si>
    <t xml:space="preserve">CS25003</t>
  </si>
  <si>
    <t xml:space="preserve">CS25243</t>
  </si>
  <si>
    <t xml:space="preserve">CS25000</t>
  </si>
  <si>
    <t xml:space="preserve">CS25775</t>
  </si>
  <si>
    <t xml:space="preserve">CS25785</t>
  </si>
  <si>
    <t xml:space="preserve">CS24708</t>
  </si>
  <si>
    <t xml:space="preserve">CS25757</t>
  </si>
  <si>
    <t xml:space="preserve">CS25196</t>
  </si>
  <si>
    <t xml:space="preserve">CS24598</t>
  </si>
  <si>
    <t xml:space="preserve">CS24820</t>
  </si>
  <si>
    <t xml:space="preserve">CS24213</t>
  </si>
  <si>
    <t xml:space="preserve">CS24485</t>
  </si>
  <si>
    <t xml:space="preserve">CS24221</t>
  </si>
  <si>
    <t xml:space="preserve">CS24751</t>
  </si>
  <si>
    <t xml:space="preserve">CS25093</t>
  </si>
  <si>
    <t xml:space="preserve">CS24441</t>
  </si>
  <si>
    <t xml:space="preserve">CS24374</t>
  </si>
  <si>
    <t xml:space="preserve">CS25010</t>
  </si>
  <si>
    <t xml:space="preserve">CS25786</t>
  </si>
  <si>
    <t xml:space="preserve">CS25412</t>
  </si>
  <si>
    <t xml:space="preserve">CS25036</t>
  </si>
  <si>
    <t xml:space="preserve">CS24542</t>
  </si>
  <si>
    <t xml:space="preserve">CS25645</t>
  </si>
  <si>
    <t xml:space="preserve">CS24074</t>
  </si>
  <si>
    <t xml:space="preserve">CS24149</t>
  </si>
  <si>
    <t xml:space="preserve">CS25488</t>
  </si>
  <si>
    <t xml:space="preserve">CS25699</t>
  </si>
  <si>
    <t xml:space="preserve">CS24099</t>
  </si>
  <si>
    <t xml:space="preserve">CS25302</t>
  </si>
  <si>
    <t xml:space="preserve">CS24867</t>
  </si>
  <si>
    <t xml:space="preserve">CS25587</t>
  </si>
  <si>
    <t xml:space="preserve">CS25371</t>
  </si>
  <si>
    <t xml:space="preserve">CS24106</t>
  </si>
  <si>
    <t xml:space="preserve">CS25696</t>
  </si>
  <si>
    <t xml:space="preserve">CS24189</t>
  </si>
  <si>
    <t xml:space="preserve">CS24967</t>
  </si>
  <si>
    <t xml:space="preserve">CS24320</t>
  </si>
  <si>
    <t xml:space="preserve">CS24195</t>
  </si>
  <si>
    <t xml:space="preserve">CS24613</t>
  </si>
  <si>
    <t xml:space="preserve">CS24776</t>
  </si>
  <si>
    <t xml:space="preserve">CS25094</t>
  </si>
  <si>
    <t xml:space="preserve">CS25114</t>
  </si>
  <si>
    <t xml:space="preserve">CS24522</t>
  </si>
  <si>
    <t xml:space="preserve">CS24022</t>
  </si>
  <si>
    <t xml:space="preserve">CS25237</t>
  </si>
  <si>
    <t xml:space="preserve">CS25427</t>
  </si>
  <si>
    <t xml:space="preserve">CS25436</t>
  </si>
  <si>
    <t xml:space="preserve">CS24666</t>
  </si>
  <si>
    <t xml:space="preserve">CS24274</t>
  </si>
  <si>
    <t xml:space="preserve">CS24036</t>
  </si>
  <si>
    <t xml:space="preserve">CS24999</t>
  </si>
  <si>
    <t xml:space="preserve">CS24531</t>
  </si>
  <si>
    <t xml:space="preserve">CS24605</t>
  </si>
  <si>
    <t xml:space="preserve">CS24387</t>
  </si>
  <si>
    <t xml:space="preserve">CS25437</t>
  </si>
  <si>
    <t xml:space="preserve">CS24023</t>
  </si>
  <si>
    <t xml:space="preserve">CS24853</t>
  </si>
  <si>
    <t xml:space="preserve">CS24373</t>
  </si>
  <si>
    <t xml:space="preserve">CS25290</t>
  </si>
  <si>
    <t xml:space="preserve">CS25018</t>
  </si>
  <si>
    <t xml:space="preserve">CS25688</t>
  </si>
  <si>
    <t xml:space="preserve">CM44661</t>
  </si>
  <si>
    <t xml:space="preserve">CM44678</t>
  </si>
  <si>
    <t xml:space="preserve">CM44655</t>
  </si>
  <si>
    <t xml:space="preserve">CM44662</t>
  </si>
  <si>
    <t xml:space="preserve">CM44653</t>
  </si>
  <si>
    <t xml:space="preserve">CM44652</t>
  </si>
  <si>
    <t xml:space="preserve">CF0157</t>
  </si>
  <si>
    <t xml:space="preserve">CM44656</t>
  </si>
  <si>
    <t xml:space="preserve">CM44664</t>
  </si>
  <si>
    <t xml:space="preserve">CM44657</t>
  </si>
  <si>
    <t xml:space="preserve">CM44649</t>
  </si>
  <si>
    <t xml:space="preserve">CM44667</t>
  </si>
  <si>
    <t xml:space="preserve">CM44658</t>
  </si>
  <si>
    <t xml:space="preserve">CM44668</t>
  </si>
  <si>
    <t xml:space="preserve">CM44670</t>
  </si>
  <si>
    <t xml:space="preserve">CM44651</t>
  </si>
  <si>
    <t xml:space="preserve">CM44669</t>
  </si>
  <si>
    <t xml:space="preserve">CM44650</t>
  </si>
  <si>
    <t xml:space="preserve">CM44659</t>
  </si>
  <si>
    <t xml:space="preserve">CM44665</t>
  </si>
  <si>
    <t xml:space="preserve">CM44654</t>
  </si>
  <si>
    <t xml:space="preserve">CM44660</t>
  </si>
  <si>
    <t xml:space="preserve">CM44648</t>
  </si>
  <si>
    <t xml:space="preserve">CM44666</t>
  </si>
  <si>
    <t xml:space="preserve">Total - 155138 לקוח אינטרנט</t>
  </si>
  <si>
    <t xml:space="preserve">Total - 114 - IL online</t>
  </si>
  <si>
    <t xml:space="preserve">155139 לקוח אינטרנט סופרפארם</t>
  </si>
  <si>
    <t xml:space="preserve">30537037</t>
  </si>
  <si>
    <t xml:space="preserve">CS25545</t>
  </si>
  <si>
    <t xml:space="preserve">030261832</t>
  </si>
  <si>
    <t xml:space="preserve">CS24741</t>
  </si>
  <si>
    <t xml:space="preserve">030243195</t>
  </si>
  <si>
    <t xml:space="preserve">CS24740</t>
  </si>
  <si>
    <t xml:space="preserve">30181414</t>
  </si>
  <si>
    <t xml:space="preserve">CS24463</t>
  </si>
  <si>
    <t xml:space="preserve">A-030396596</t>
  </si>
  <si>
    <t xml:space="preserve">CS25059</t>
  </si>
  <si>
    <t xml:space="preserve">030265189</t>
  </si>
  <si>
    <t xml:space="preserve">CS24742</t>
  </si>
  <si>
    <t xml:space="preserve">A-030358108</t>
  </si>
  <si>
    <t xml:space="preserve">CS24993</t>
  </si>
  <si>
    <t xml:space="preserve">030052542</t>
  </si>
  <si>
    <t xml:space="preserve">CS24064</t>
  </si>
  <si>
    <t xml:space="preserve">30546340</t>
  </si>
  <si>
    <t xml:space="preserve">CS25674</t>
  </si>
  <si>
    <t xml:space="preserve">030043975</t>
  </si>
  <si>
    <t xml:space="preserve">CS24026</t>
  </si>
  <si>
    <t xml:space="preserve">030628679</t>
  </si>
  <si>
    <t xml:space="preserve">CS25792</t>
  </si>
  <si>
    <t xml:space="preserve">30456763</t>
  </si>
  <si>
    <t xml:space="preserve">CS25284</t>
  </si>
  <si>
    <t xml:space="preserve">Total - 155139 לקוח אינטרנט סופרפארם</t>
  </si>
  <si>
    <t xml:space="preserve">Total - 115-SuperPharm Online</t>
  </si>
  <si>
    <t xml:space="preserve">160226 HEALTH CARE PROD. GMBH</t>
  </si>
  <si>
    <t xml:space="preserve">INV68979</t>
  </si>
  <si>
    <t xml:space="preserve">160920 SALUS</t>
  </si>
  <si>
    <t xml:space="preserve">INV68965</t>
  </si>
  <si>
    <t xml:space="preserve">INV68964</t>
  </si>
  <si>
    <t xml:space="preserve">INV68995</t>
  </si>
  <si>
    <t xml:space="preserve">Total - 160920 SALUS</t>
  </si>
  <si>
    <t xml:space="preserve">160955 ORTOPROFIL PROD. ROMANIA</t>
  </si>
  <si>
    <t xml:space="preserve">INV68978</t>
  </si>
  <si>
    <t xml:space="preserve">Customers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</si>
  <si>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</si>
  <si>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</si>
  <si>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</si>
  <si>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</si>
  <si>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מרקחת </t>
  </si>
  <si>
    <t xml:space="preserve">גוד פארם</t>
  </si>
  <si>
    <t xml:space="preserve">גוד פארם מרכז</t>
  </si>
  <si>
    <t xml:space="preserve">פארם </t>
  </si>
  <si>
    <t xml:space="preserve">הפרכל הפרפארם</t>
  </si>
  <si>
    <t xml:space="preserve">חולים 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</si>
  <si>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</si>
  <si>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</si>
  <si>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</si>
  <si>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</si>
  <si>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January 2024</t>
  </si>
  <si>
    <t xml:space="preserve">February 2024</t>
  </si>
  <si>
    <t xml:space="preserve">March 2024</t>
  </si>
  <si>
    <t xml:space="preserve">April 2024</t>
  </si>
  <si>
    <t xml:space="preserve">May 2024</t>
  </si>
  <si>
    <t xml:space="preserve">June 2024</t>
  </si>
  <si>
    <t xml:space="preserve">October 2024</t>
  </si>
  <si>
    <t xml:space="preserve">November 2024</t>
  </si>
  <si>
    <t xml:space="preserve">December 2024</t>
  </si>
  <si>
    <t xml:space="preserve">מצטבר ינואר</t>
  </si>
  <si>
    <t xml:space="preserve">- Unassigned -</t>
  </si>
  <si>
    <t xml:space="preserve">טבלת עזר שטוחה (מוסתר) - בסיס לגיליונות 'מצטבר - בחירה' ו'רבעונים'. אל תמחק/תשנה ידנית.</t>
  </si>
  <si>
    <t xml:space="preserve">חודש #</t>
  </si>
  <si>
    <t xml:space="preserve">שם חודש</t>
  </si>
  <si>
    <t xml:space="preserve">עמודת תקציב מצטבר</t>
  </si>
  <si>
    <t xml:space="preserve">עמודת יעד מצטבר</t>
  </si>
  <si>
    <t xml:space="preserve">עמודת תקציב חודשי</t>
  </si>
  <si>
    <t xml:space="preserve">עמודת יעד חודשי</t>
  </si>
  <si>
    <t xml:space="preserve">ינואר-2024</t>
  </si>
  <si>
    <t xml:space="preserve">פברואר-2024</t>
  </si>
  <si>
    <t xml:space="preserve">מרץ-2024</t>
  </si>
  <si>
    <t xml:space="preserve">אפריל-2024</t>
  </si>
  <si>
    <t xml:space="preserve">מאי-2024</t>
  </si>
  <si>
    <t xml:space="preserve">יוני-2024</t>
  </si>
  <si>
    <t xml:space="preserve">יולי-2024</t>
  </si>
  <si>
    <t xml:space="preserve">אוגוסט-2024</t>
  </si>
  <si>
    <t xml:space="preserve">ספטמבר-2024</t>
  </si>
  <si>
    <t xml:space="preserve">אוקטובר-2024</t>
  </si>
  <si>
    <t xml:space="preserve">נובמבר-2024</t>
  </si>
  <si>
    <t xml:space="preserve">דצמבר-2024</t>
  </si>
  <si>
    <t xml:space="preserve">ינואר-2025</t>
  </si>
  <si>
    <t xml:space="preserve">פברואר-2025</t>
  </si>
  <si>
    <t xml:space="preserve">מרץ-2025</t>
  </si>
  <si>
    <t xml:space="preserve">אפריל-2025</t>
  </si>
  <si>
    <t xml:space="preserve">מאי-2025</t>
  </si>
  <si>
    <t xml:space="preserve">יוני-2025</t>
  </si>
  <si>
    <t xml:space="preserve">יולי-2025</t>
  </si>
  <si>
    <t xml:space="preserve">אוגוסט-2025</t>
  </si>
  <si>
    <t xml:space="preserve">ספטמבר-2025</t>
  </si>
  <si>
    <t xml:space="preserve">אוקטובר-2025</t>
  </si>
  <si>
    <t xml:space="preserve">נובמבר-2025</t>
  </si>
  <si>
    <t xml:space="preserve">דצמבר-2025</t>
  </si>
  <si>
    <t xml:space="preserve">ינואר-2026</t>
  </si>
  <si>
    <t xml:space="preserve">פברואר-2026</t>
  </si>
  <si>
    <t xml:space="preserve">מרץ-2026</t>
  </si>
  <si>
    <t xml:space="preserve">אפריל-2026</t>
  </si>
  <si>
    <t xml:space="preserve">מאי-2026</t>
  </si>
  <si>
    <t xml:space="preserve">יוני-2026</t>
  </si>
  <si>
    <t xml:space="preserve">יולי-2026</t>
  </si>
  <si>
    <t xml:space="preserve">אוגוסט-2026</t>
  </si>
  <si>
    <t xml:space="preserve">ספטמבר-2026</t>
  </si>
  <si>
    <t xml:space="preserve">אוקטובר-2026</t>
  </si>
  <si>
    <t xml:space="preserve">נובמבר-2026</t>
  </si>
  <si>
    <t xml:space="preserve">דצמבר-2026</t>
  </si>
  <si>
    <t xml:space="preserve">אינדקס חודש (לשימוש SUMIFS מצטבר)</t>
  </si>
  <si>
    <t xml:space="preserve">אינדקס רבעון (לשימוש SUMIFS רבעוני)</t>
  </si>
  <si>
    <t xml:space="preserve">ישראל</t>
  </si>
  <si>
    <t xml:space="preserve">הערה: עמודות 'מצטבר' מבוססות על המבנה הקבוע של גיליון 'תקציב' (שורת כותרות 4): S=19,U-AE=21..31 (מצטבר ינואר..דצמבר); AR-AW=44..49 (יעד מצטבר יולי..דצמבר, קיים רק מיולי). עמודות 'חודשי' הן E..P=5..16 (תקציב חודשי) ו-AI..AN=35..40 (יעד חודשי, קיים רק יולי-דצמבר). מאומת ידנית מול מבנה הקובץ המקורי בתאריך 01/10/2026.</t>
  </si>
  <si>
    <t xml:space="preserve">יצוא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</si>
</sst>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_ * #,##0_ ;_ * \-#,##0_ ;_ * \-??_ ;_ @_ "/>
    <numFmt numFmtId="167" formatCode="0"/>
    <numFmt numFmtId="168" formatCode="0%"/>
    <numFmt numFmtId="169" formatCode="dd/mm/yy"/>
    <numFmt numFmtId="170" formatCode="0.0%"/>
    <numFmt numFmtId="171" formatCode="&quot;B1&quot;mmm\-yy"/>
    <numFmt numFmtId="172" formatCode="\₪#,##0_);&quot;(₪&quot;#,##0\)"/>
    <numFmt numFmtId="173" formatCode="0.0000"/>
    <numFmt numFmtId="174" formatCode="_ * #,##0.00_ ;_ * \-#,##0.00_ ;_ * \-??_ ;_ @_ "/>
    <numFmt numFmtId="175" formatCode="#,##0.00"/>
    <numFmt numFmtId="176" formatCode="[$₪]\ #,##0.0"/>
    <numFmt numFmtId="177" formatCode="[$₪-40D]\ #,##0.00"/>
  </numFmts>
  <fonts count="31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rgb="FFFF0000"/>
      <name val="Arial"/>
      <family val="2"/>
      <charset val="177"/>
    </font>
    <font>
      <b val="true"/>
      <sz val="8"/>
      <color rgb="FF000000"/>
      <name val="Arial"/>
      <family val="2"/>
      <charset val="1"/>
    </font>
    <font>
      <sz val="10"/>
      <name val="Arial"/>
      <family val="2"/>
    </font>
    <font>
      <sz val="10"/>
      <name val="FreeSans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7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1"/>
      <name val="Arial"/>
      <family val="2"/>
      <charset val="1"/>
    </font>
    <font>
      <sz val="8"/>
      <color rgb="FFFF0000"/>
      <name val="Arial"/>
      <family val="2"/>
      <charset val="177"/>
    </font>
    <font>
      <b val="true"/>
      <sz val="9"/>
      <color theme="1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theme="1"/>
      <name val="Arial"/>
      <family val="2"/>
      <charset val="177"/>
    </font>
    <font>
      <sz val="11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theme="2" tint="-0.1"/>
        <bgColor rgb="FFD0D0D0"/>
      </patternFill>
    </fill>
    <fill>
      <patternFill patternType="solid">
        <fgColor theme="5" tint="0.7999"/>
        <bgColor rgb="FFFCE4D6"/>
      </patternFill>
    </fill>
    <fill>
      <patternFill patternType="solid">
        <fgColor theme="0" tint="-0.05"/>
        <bgColor rgb="FFE2F0D9"/>
      </patternFill>
    </fill>
    <fill>
      <patternFill patternType="solid">
        <fgColor rgb="FFFFFF00"/>
        <bgColor rgb="FFFFD966"/>
      </patternFill>
    </fill>
    <fill>
      <patternFill patternType="solid">
        <fgColor theme="0"/>
        <bgColor rgb="FFF2F2F2"/>
      </patternFill>
    </fill>
    <fill>
      <patternFill patternType="solid">
        <fgColor rgb="FF92D050"/>
        <bgColor rgb="FFC5E0B4"/>
      </patternFill>
    </fill>
    <fill>
      <patternFill patternType="solid">
        <fgColor rgb="FFFFC000"/>
        <bgColor rgb="FFFFD966"/>
      </patternFill>
    </fill>
    <fill>
      <patternFill patternType="solid">
        <fgColor rgb="FF4472C4"/>
        <bgColor rgb="FF666699"/>
      </patternFill>
    </fill>
    <fill>
      <patternFill patternType="solid">
        <fgColor rgb="FFFCE4D6"/>
        <bgColor rgb="FFFBE5D6"/>
      </patternFill>
    </fill>
    <fill>
      <patternFill patternType="solid">
        <fgColor rgb="FFC6E0B4"/>
        <bgColor rgb="FFC5E0B4"/>
      </patternFill>
    </fill>
    <fill>
      <patternFill patternType="solid">
        <fgColor rgb="FFD0D0D0"/>
        <bgColor rgb="FFD0CECE"/>
      </patternFill>
    </fill>
    <fill>
      <patternFill patternType="solid">
        <fgColor theme="9" tint="0.7999"/>
        <bgColor rgb="FFF2F2F2"/>
      </patternFill>
    </fill>
    <fill>
      <patternFill patternType="solid">
        <fgColor theme="0" tint="-0.25"/>
        <bgColor rgb="FFCCCCCC"/>
      </patternFill>
    </fill>
    <fill>
      <patternFill patternType="solid">
        <fgColor theme="9" tint="0.5999"/>
        <bgColor rgb="FFC6E0B4"/>
      </patternFill>
    </fill>
    <fill>
      <patternFill patternType="solid">
        <fgColor theme="5" tint="0.5999"/>
        <bgColor rgb="FFFFE699"/>
      </patternFill>
    </fill>
    <fill>
      <patternFill patternType="solid">
        <fgColor theme="4" tint="0.5999"/>
        <bgColor rgb="FFBFBFBF"/>
      </patternFill>
    </fill>
    <fill>
      <patternFill patternType="solid">
        <fgColor theme="7" tint="0.3999"/>
        <bgColor rgb="FFFFE699"/>
      </patternFill>
    </fill>
    <fill>
      <patternFill patternType="solid">
        <fgColor theme="4" tint="0.7999"/>
        <bgColor rgb="FFD9E1F2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7999"/>
        <bgColor rgb="FFFBE5D6"/>
      </patternFill>
    </fill>
    <fill>
      <patternFill patternType="solid">
        <fgColor rgb="FFD9E1F2"/>
        <bgColor rgb="FFDAE3F3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dashed">
        <color rgb="FFCCCCCC"/>
      </top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/>
      <bottom style="medium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8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3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5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1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1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1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11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11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11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8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3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4" fontId="8" fillId="4" borderId="3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6" fontId="2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1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73" fontId="7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5" fillId="0" borderId="2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6" fontId="22" fillId="2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2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2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9" borderId="2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6" fontId="8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2" xfId="0" applyFont="true" applyBorder="true" applyAlignment="true" applyProtection="false">
      <alignment horizontal="left" vertical="bottom" textRotation="0" wrapText="false" indent="0" shrinkToFit="false" readingOrder="1"/>
      <protection locked="true" hidden="false"/>
    </xf>
    <xf numFmtId="167" fontId="22" fillId="20" borderId="2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22" fillId="20" borderId="2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8" fontId="8" fillId="2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2" fillId="2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2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17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7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2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2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17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7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1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1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1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8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11" fillId="0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72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Comma 2 2 2" xfId="22"/>
    <cellStyle name="Comma 2 3" xfId="23"/>
    <cellStyle name="Comma 3" xfId="24"/>
    <cellStyle name="Comma 3 2" xfId="25"/>
    <cellStyle name="Comma 4" xfId="26"/>
    <cellStyle name="Normal 2" xfId="27"/>
    <cellStyle name="Normal 3" xfId="28"/>
    <cellStyle name="Normal 4" xfId="2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C6E0B4"/>
      <rgbColor rgb="FF993366"/>
      <rgbColor rgb="FFFFF2CC"/>
      <rgbColor rgb="FFDAE3F3"/>
      <rgbColor rgb="FF660066"/>
      <rgbColor rgb="FFFCE4D6"/>
      <rgbColor rgb="FF0066CC"/>
      <rgbColor rgb="FFB4C7E7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E699"/>
      <rgbColor rgb="FFCCCCCC"/>
      <rgbColor rgb="FFD0D0D0"/>
      <rgbColor rgb="FFD0CECE"/>
      <rgbColor rgb="FFF8CBAD"/>
      <rgbColor rgb="FF4472C4"/>
      <rgbColor rgb="FFD9E1F2"/>
      <rgbColor rgb="FF92D050"/>
      <rgbColor rgb="FFFFC000"/>
      <rgbColor rgb="FFFBE5D6"/>
      <rgbColor rgb="FFFF6600"/>
      <rgbColor rgb="FF666699"/>
      <rgbColor rgb="FFC5E0B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של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8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9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0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1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2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3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4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5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6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7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18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19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0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1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2.v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3.v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4.v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5.v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2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78"/>
  <sheetViews>
    <sheetView showFormulas="false" showGridLines="true" showRowColHeaders="true" showZeros="true" rightToLeft="true" tabSelected="false" showOutlineSymbols="true" defaultGridColor="true" view="normal" topLeftCell="A1" colorId="64" zoomScale="70" zoomScaleNormal="70" zoomScalePageLayoutView="100" workbookViewId="0">
      <pane xSplit="4" ySplit="4" topLeftCell="AA5" activePane="bottomRight" state="frozen"/>
      <selection pane="topLeft" activeCell="A1" activeCellId="0" sqref="A1"/>
      <selection pane="topRight" activeCell="AA1" activeCellId="0" sqref="AA1"/>
      <selection pane="bottomLeft" activeCell="A5" activeCellId="0" sqref="A5"/>
      <selection pane="bottomRight" activeCell="I21" activeCellId="0" sqref="I2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3.62"/>
    <col collapsed="false" customWidth="true" hidden="false" outlineLevel="0" max="2" min="2" style="1" width="37.25"/>
    <col collapsed="false" customWidth="true" hidden="false" outlineLevel="0" max="3" min="3" style="1" width="27"/>
    <col collapsed="false" customWidth="true" hidden="false" outlineLevel="0" max="4" min="4" style="2" width="8.5"/>
    <col collapsed="false" customWidth="true" hidden="false" outlineLevel="0" max="13" min="5" style="3" width="9.75"/>
    <col collapsed="false" customWidth="true" hidden="false" outlineLevel="0" max="14" min="14" style="4" width="9.75"/>
    <col collapsed="false" customWidth="true" hidden="false" outlineLevel="0" max="16" min="15" style="3" width="9.75"/>
    <col collapsed="false" customWidth="true" hidden="false" outlineLevel="0" max="17" min="17" style="4" width="11.75"/>
    <col collapsed="false" customWidth="true" hidden="true" outlineLevel="0" max="18" min="18" style="5" width="9.75"/>
    <col collapsed="false" customWidth="true" hidden="false" outlineLevel="0" max="19" min="19" style="5" width="9.75"/>
    <col collapsed="false" customWidth="true" hidden="true" outlineLevel="0" max="20" min="20" style="1" width="10.5"/>
    <col collapsed="false" customWidth="true" hidden="false" outlineLevel="0" max="21" min="21" style="5" width="12.12"/>
    <col collapsed="false" customWidth="true" hidden="false" outlineLevel="0" max="22" min="22" style="5" width="9.87"/>
    <col collapsed="false" customWidth="true" hidden="false" outlineLevel="0" max="23" min="23" style="5" width="11.12"/>
    <col collapsed="false" customWidth="true" hidden="false" outlineLevel="0" max="26" min="24" style="5" width="10.88"/>
    <col collapsed="false" customWidth="true" hidden="false" outlineLevel="0" max="27" min="27" style="5" width="11.75"/>
    <col collapsed="false" customWidth="true" hidden="false" outlineLevel="0" max="28" min="28" style="5" width="13.12"/>
    <col collapsed="false" customWidth="true" hidden="false" outlineLevel="0" max="29" min="29" style="5" width="12.88"/>
    <col collapsed="false" customWidth="true" hidden="false" outlineLevel="0" max="30" min="30" style="5" width="12.12"/>
    <col collapsed="false" customWidth="true" hidden="false" outlineLevel="0" max="31" min="31" style="5" width="11.75"/>
    <col collapsed="false" customWidth="true" hidden="false" outlineLevel="0" max="33" min="33" style="5" width="11.75"/>
    <col collapsed="false" customWidth="true" hidden="false" outlineLevel="0" max="37" min="35" style="1" width="9.87"/>
    <col collapsed="false" customWidth="true" hidden="false" outlineLevel="0" max="42" min="38" style="1" width="10.88"/>
    <col collapsed="false" customWidth="true" hidden="false" outlineLevel="0" max="44" min="44" style="1" width="10.88"/>
    <col collapsed="false" customWidth="true" hidden="false" outlineLevel="0" max="45" min="45" style="1" width="11"/>
    <col collapsed="false" customWidth="true" hidden="false" outlineLevel="0" max="46" min="46" style="1" width="12.5"/>
    <col collapsed="false" customWidth="true" hidden="false" outlineLevel="0" max="47" min="47" style="1" width="11.75"/>
    <col collapsed="false" customWidth="true" hidden="false" outlineLevel="0" max="48" min="48" style="1" width="10.75"/>
    <col collapsed="false" customWidth="true" hidden="false" outlineLevel="0" max="49" min="49" style="1" width="12.12"/>
  </cols>
  <sheetData>
    <row r="1" customFormat="false" ht="14.25" hidden="true" customHeight="true" outlineLevel="0" collapsed="false">
      <c r="E1" s="3" t="n">
        <v>2</v>
      </c>
      <c r="F1" s="3" t="n">
        <f aca="false">+E1+1</f>
        <v>3</v>
      </c>
      <c r="G1" s="3" t="n">
        <f aca="false">+F1+1</f>
        <v>4</v>
      </c>
      <c r="H1" s="3" t="n">
        <f aca="false">+G1+1</f>
        <v>5</v>
      </c>
      <c r="I1" s="3" t="n">
        <f aca="false">+H1+1</f>
        <v>6</v>
      </c>
      <c r="J1" s="3" t="n">
        <f aca="false">+I1+1</f>
        <v>7</v>
      </c>
      <c r="K1" s="3" t="n">
        <f aca="false">+J1+1</f>
        <v>8</v>
      </c>
      <c r="L1" s="3" t="n">
        <f aca="false">+K1+1</f>
        <v>9</v>
      </c>
      <c r="M1" s="3" t="n">
        <f aca="false">+L1+1</f>
        <v>10</v>
      </c>
      <c r="N1" s="3" t="n">
        <f aca="false">+M1+1</f>
        <v>11</v>
      </c>
      <c r="O1" s="3" t="n">
        <f aca="false">+N1+1</f>
        <v>12</v>
      </c>
      <c r="P1" s="3" t="n">
        <f aca="false">+O1+1</f>
        <v>13</v>
      </c>
    </row>
    <row r="2" customFormat="false" ht="15.75" hidden="true" customHeight="true" outlineLevel="0" collapsed="false">
      <c r="B2" s="6"/>
      <c r="C2" s="7"/>
      <c r="D2" s="7"/>
      <c r="E2" s="4" t="n">
        <v>3</v>
      </c>
      <c r="F2" s="4" t="n">
        <f aca="false">E2+3</f>
        <v>6</v>
      </c>
      <c r="G2" s="4" t="n">
        <f aca="false">F2+3</f>
        <v>9</v>
      </c>
      <c r="H2" s="4" t="n">
        <f aca="false">G2+3</f>
        <v>12</v>
      </c>
      <c r="I2" s="4" t="n">
        <f aca="false">H2+3</f>
        <v>15</v>
      </c>
      <c r="J2" s="4" t="n">
        <f aca="false">I2+3</f>
        <v>18</v>
      </c>
      <c r="K2" s="4" t="n">
        <f aca="false">J2+3</f>
        <v>21</v>
      </c>
      <c r="L2" s="4" t="n">
        <f aca="false">K2+3</f>
        <v>24</v>
      </c>
      <c r="M2" s="4" t="n">
        <f aca="false">L2+3</f>
        <v>27</v>
      </c>
      <c r="N2" s="4" t="n">
        <f aca="false">M2+3</f>
        <v>30</v>
      </c>
      <c r="O2" s="4" t="n">
        <f aca="false">N2+3</f>
        <v>33</v>
      </c>
      <c r="P2" s="4" t="n">
        <f aca="false">O2+3</f>
        <v>36</v>
      </c>
    </row>
    <row r="3" customFormat="false" ht="16.5" hidden="false" customHeight="true" outlineLevel="0" collapsed="false">
      <c r="B3" s="6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G3" s="5" t="s">
        <v>0</v>
      </c>
      <c r="AI3" s="9" t="s">
        <v>1</v>
      </c>
    </row>
    <row r="4" customFormat="false" ht="14.25" hidden="false" customHeight="true" outlineLevel="0" collapsed="false">
      <c r="A4" s="10" t="s">
        <v>2</v>
      </c>
      <c r="B4" s="10"/>
      <c r="C4" s="10"/>
      <c r="D4" s="10" t="s">
        <v>3</v>
      </c>
      <c r="E4" s="10" t="s">
        <v>4</v>
      </c>
      <c r="F4" s="10" t="s">
        <v>5</v>
      </c>
      <c r="G4" s="10" t="s">
        <v>6</v>
      </c>
      <c r="H4" s="11" t="s">
        <v>7</v>
      </c>
      <c r="I4" s="11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1" t="s">
        <v>13</v>
      </c>
      <c r="O4" s="10" t="s">
        <v>14</v>
      </c>
      <c r="P4" s="12" t="s">
        <v>15</v>
      </c>
      <c r="Q4" s="13" t="s">
        <v>16</v>
      </c>
      <c r="S4" s="14" t="s">
        <v>17</v>
      </c>
      <c r="T4" s="15"/>
      <c r="U4" s="14" t="s">
        <v>18</v>
      </c>
      <c r="V4" s="14" t="s">
        <v>19</v>
      </c>
      <c r="W4" s="14" t="s">
        <v>20</v>
      </c>
      <c r="X4" s="14" t="s">
        <v>21</v>
      </c>
      <c r="Y4" s="14" t="s">
        <v>22</v>
      </c>
      <c r="Z4" s="14" t="s">
        <v>23</v>
      </c>
      <c r="AA4" s="14" t="s">
        <v>24</v>
      </c>
      <c r="AB4" s="14" t="s">
        <v>25</v>
      </c>
      <c r="AC4" s="14" t="s">
        <v>26</v>
      </c>
      <c r="AD4" s="14" t="s">
        <v>27</v>
      </c>
      <c r="AE4" s="14" t="s">
        <v>28</v>
      </c>
      <c r="AG4" s="16" t="s">
        <v>29</v>
      </c>
      <c r="AI4" s="9" t="s">
        <v>10</v>
      </c>
      <c r="AJ4" s="9" t="s">
        <v>11</v>
      </c>
      <c r="AK4" s="9" t="s">
        <v>12</v>
      </c>
      <c r="AL4" s="17" t="s">
        <v>13</v>
      </c>
      <c r="AM4" s="9" t="s">
        <v>14</v>
      </c>
      <c r="AN4" s="18" t="s">
        <v>15</v>
      </c>
      <c r="AO4" s="19" t="s">
        <v>30</v>
      </c>
      <c r="AP4" s="20" t="s">
        <v>16</v>
      </c>
      <c r="AR4" s="21" t="s">
        <v>23</v>
      </c>
      <c r="AS4" s="22" t="s">
        <v>24</v>
      </c>
      <c r="AT4" s="22" t="s">
        <v>25</v>
      </c>
      <c r="AU4" s="22" t="s">
        <v>26</v>
      </c>
      <c r="AV4" s="22" t="s">
        <v>27</v>
      </c>
      <c r="AW4" s="23" t="s">
        <v>28</v>
      </c>
    </row>
    <row r="5" customFormat="false" ht="15" hidden="false" customHeight="true" outlineLevel="0" collapsed="false">
      <c r="A5" s="24" t="n">
        <v>5</v>
      </c>
      <c r="B5" s="24" t="s">
        <v>31</v>
      </c>
      <c r="C5" s="25" t="s">
        <v>31</v>
      </c>
      <c r="D5" s="26" t="s">
        <v>32</v>
      </c>
      <c r="E5" s="27" t="n">
        <v>176666.666666667</v>
      </c>
      <c r="F5" s="27" t="n">
        <v>168253.968253968</v>
      </c>
      <c r="G5" s="27" t="n">
        <v>193492.063492064</v>
      </c>
      <c r="H5" s="27" t="n">
        <v>173015.873015873</v>
      </c>
      <c r="I5" s="27" t="n">
        <v>188253.968253968</v>
      </c>
      <c r="J5" s="27" t="n">
        <v>235079.365079365</v>
      </c>
      <c r="K5" s="27" t="n">
        <v>235079.365079365</v>
      </c>
      <c r="L5" s="27" t="n">
        <v>235079.365079365</v>
      </c>
      <c r="M5" s="27" t="n">
        <v>209841.26984127</v>
      </c>
      <c r="N5" s="27" t="n">
        <v>226666.666666667</v>
      </c>
      <c r="O5" s="27" t="n">
        <v>235079.365079365</v>
      </c>
      <c r="P5" s="27" t="n">
        <v>243492.063492064</v>
      </c>
      <c r="Q5" s="28" t="n">
        <f aca="false">SUM(E5:P5)</f>
        <v>2520000</v>
      </c>
      <c r="S5" s="29" t="n">
        <f aca="false">SUM(E5:E5)</f>
        <v>176666.666666667</v>
      </c>
      <c r="U5" s="29" t="n">
        <f aca="false">SUM($E5:F5)</f>
        <v>344920.634920635</v>
      </c>
      <c r="V5" s="29" t="n">
        <f aca="false">SUM($E5:G5)</f>
        <v>538412.698412699</v>
      </c>
      <c r="W5" s="29" t="n">
        <f aca="false">SUM($E5:H5)</f>
        <v>711428.571428572</v>
      </c>
      <c r="X5" s="29" t="n">
        <f aca="false">SUM($E5:I5)</f>
        <v>899682.53968254</v>
      </c>
      <c r="Y5" s="29" t="n">
        <f aca="false">SUM($E5:J5)</f>
        <v>1134761.90476191</v>
      </c>
      <c r="Z5" s="29" t="n">
        <f aca="false">SUM($E5:K5)</f>
        <v>1369841.26984127</v>
      </c>
      <c r="AA5" s="29" t="n">
        <f aca="false">SUM($E5:L5)</f>
        <v>1604920.63492064</v>
      </c>
      <c r="AB5" s="29" t="n">
        <f aca="false">SUM($E5:M5)</f>
        <v>1814761.90476191</v>
      </c>
      <c r="AC5" s="29" t="n">
        <f aca="false">SUM($E5:N5)</f>
        <v>2041428.57142857</v>
      </c>
      <c r="AD5" s="29" t="n">
        <f aca="false">SUM($E5:O5)</f>
        <v>2276507.93650794</v>
      </c>
      <c r="AE5" s="29" t="n">
        <f aca="false">SUM($E5:P5)</f>
        <v>2520000</v>
      </c>
      <c r="AG5" s="30" t="n">
        <v>740443.3</v>
      </c>
      <c r="AI5" s="31" t="n">
        <f aca="false">AJ5</f>
        <v>200000</v>
      </c>
      <c r="AJ5" s="31" t="n">
        <v>200000</v>
      </c>
      <c r="AK5" s="31" t="n">
        <v>200000</v>
      </c>
      <c r="AL5" s="31" t="n">
        <v>200000</v>
      </c>
      <c r="AM5" s="31" t="n">
        <v>200000</v>
      </c>
      <c r="AN5" s="32" t="n">
        <v>200000</v>
      </c>
      <c r="AO5" s="30" t="n">
        <f aca="false">SUM(AI5:AN5)</f>
        <v>1200000</v>
      </c>
      <c r="AP5" s="33" t="n">
        <f aca="false">SUM(AI5:AN5)+Y5</f>
        <v>2334761.90476191</v>
      </c>
      <c r="AR5" s="34" t="n">
        <f aca="false">AI5+AG5</f>
        <v>940443.3</v>
      </c>
      <c r="AS5" s="31" t="n">
        <f aca="false">AR5+AJ5</f>
        <v>1140443.3</v>
      </c>
      <c r="AT5" s="31" t="n">
        <f aca="false">AS5+AK5</f>
        <v>1340443.3</v>
      </c>
      <c r="AU5" s="31" t="n">
        <f aca="false">AT5+AL5</f>
        <v>1540443.3</v>
      </c>
      <c r="AV5" s="31" t="n">
        <f aca="false">AU5+AM5</f>
        <v>1740443.3</v>
      </c>
      <c r="AW5" s="35" t="n">
        <f aca="false">AV5+AN5</f>
        <v>1940443.3</v>
      </c>
    </row>
    <row r="6" customFormat="false" ht="15" hidden="false" customHeight="true" outlineLevel="0" collapsed="false">
      <c r="A6" s="24" t="n">
        <v>1</v>
      </c>
      <c r="B6" s="24" t="s">
        <v>33</v>
      </c>
      <c r="C6" s="25" t="s">
        <v>33</v>
      </c>
      <c r="D6" s="26" t="s">
        <v>32</v>
      </c>
      <c r="E6" s="27" t="n">
        <v>536666.666666667</v>
      </c>
      <c r="F6" s="27" t="n">
        <v>532634.920634921</v>
      </c>
      <c r="G6" s="27" t="n">
        <v>610730.158730159</v>
      </c>
      <c r="H6" s="27" t="n">
        <v>475539.682539683</v>
      </c>
      <c r="I6" s="27" t="n">
        <v>558634.920634921</v>
      </c>
      <c r="J6" s="27" t="n">
        <v>605698.412698413</v>
      </c>
      <c r="K6" s="27" t="n">
        <v>605698.412698413</v>
      </c>
      <c r="L6" s="27" t="n">
        <v>605698.412698413</v>
      </c>
      <c r="M6" s="27" t="n">
        <v>527603.174603175</v>
      </c>
      <c r="N6" s="27" t="n">
        <v>546666.666666667</v>
      </c>
      <c r="O6" s="27" t="n">
        <v>574698.412698413</v>
      </c>
      <c r="P6" s="27" t="n">
        <v>598730.158730159</v>
      </c>
      <c r="Q6" s="28" t="n">
        <f aca="false">SUM(E6:P6)</f>
        <v>6779000</v>
      </c>
      <c r="S6" s="29" t="n">
        <f aca="false">SUM(E6:E6)</f>
        <v>536666.666666667</v>
      </c>
      <c r="U6" s="29" t="n">
        <f aca="false">SUM($E6:F6)</f>
        <v>1069301.58730159</v>
      </c>
      <c r="V6" s="29" t="n">
        <f aca="false">SUM($E6:G6)</f>
        <v>1680031.74603175</v>
      </c>
      <c r="W6" s="29" t="n">
        <f aca="false">SUM($E6:H6)</f>
        <v>2155571.42857143</v>
      </c>
      <c r="X6" s="29" t="n">
        <f aca="false">SUM($E6:I6)</f>
        <v>2714206.34920635</v>
      </c>
      <c r="Y6" s="29" t="n">
        <f aca="false">SUM($E6:J6)</f>
        <v>3319904.76190476</v>
      </c>
      <c r="Z6" s="29" t="n">
        <f aca="false">SUM($E6:K6)</f>
        <v>3925603.17460318</v>
      </c>
      <c r="AA6" s="29" t="n">
        <f aca="false">SUM($E6:L6)</f>
        <v>4531301.58730159</v>
      </c>
      <c r="AB6" s="29" t="n">
        <f aca="false">SUM($E6:M6)</f>
        <v>5058904.76190477</v>
      </c>
      <c r="AC6" s="29" t="n">
        <f aca="false">SUM($E6:N6)</f>
        <v>5605571.42857143</v>
      </c>
      <c r="AD6" s="29" t="n">
        <f aca="false">SUM($E6:O6)</f>
        <v>6180269.84126985</v>
      </c>
      <c r="AE6" s="29" t="n">
        <f aca="false">SUM($E6:P6)</f>
        <v>6779000</v>
      </c>
      <c r="AG6" s="30" t="n">
        <v>2774937.893</v>
      </c>
      <c r="AI6" s="31" t="n">
        <f aca="false">AJ6</f>
        <v>550000</v>
      </c>
      <c r="AJ6" s="31" t="n">
        <v>550000</v>
      </c>
      <c r="AK6" s="31" t="n">
        <v>550000</v>
      </c>
      <c r="AL6" s="31" t="n">
        <v>550000</v>
      </c>
      <c r="AM6" s="31" t="n">
        <v>550000</v>
      </c>
      <c r="AN6" s="32" t="n">
        <v>550000</v>
      </c>
      <c r="AO6" s="30" t="n">
        <f aca="false">SUM(AI6:AN6)</f>
        <v>3300000</v>
      </c>
      <c r="AP6" s="33" t="n">
        <f aca="false">SUM(AI6:AN6)+Y6</f>
        <v>6619904.76190476</v>
      </c>
      <c r="AR6" s="34" t="n">
        <f aca="false">AI6+AG6</f>
        <v>3324937.893</v>
      </c>
      <c r="AS6" s="31" t="n">
        <f aca="false">AR6+AJ6</f>
        <v>3874937.893</v>
      </c>
      <c r="AT6" s="31" t="n">
        <f aca="false">AS6+AK6</f>
        <v>4424937.893</v>
      </c>
      <c r="AU6" s="31" t="n">
        <f aca="false">AT6+AL6</f>
        <v>4974937.893</v>
      </c>
      <c r="AV6" s="31" t="n">
        <f aca="false">AU6+AM6</f>
        <v>5524937.893</v>
      </c>
      <c r="AW6" s="35" t="n">
        <f aca="false">AV6+AN6</f>
        <v>6074937.893</v>
      </c>
    </row>
    <row r="7" customFormat="false" ht="15" hidden="false" customHeight="true" outlineLevel="0" collapsed="false">
      <c r="A7" s="24" t="n">
        <v>7</v>
      </c>
      <c r="B7" s="24" t="s">
        <v>34</v>
      </c>
      <c r="C7" s="25" t="s">
        <v>34</v>
      </c>
      <c r="D7" s="26" t="s">
        <v>32</v>
      </c>
      <c r="E7" s="27" t="n">
        <v>73000</v>
      </c>
      <c r="F7" s="27" t="n">
        <v>73428.5714285714</v>
      </c>
      <c r="G7" s="27" t="n">
        <v>82142.8571428571</v>
      </c>
      <c r="H7" s="27" t="n">
        <v>60714.2857142857</v>
      </c>
      <c r="I7" s="27" t="n">
        <v>71428.5714285714</v>
      </c>
      <c r="J7" s="27" t="n">
        <v>78571.4285714286</v>
      </c>
      <c r="K7" s="27" t="n">
        <v>78571.4285714286</v>
      </c>
      <c r="L7" s="27" t="n">
        <v>78571.4285714286</v>
      </c>
      <c r="M7" s="27" t="n">
        <v>67857.1428571428</v>
      </c>
      <c r="N7" s="27" t="n">
        <v>75000</v>
      </c>
      <c r="O7" s="27" t="n">
        <v>78571.4285714286</v>
      </c>
      <c r="P7" s="27" t="n">
        <v>82142.8571428571</v>
      </c>
      <c r="Q7" s="28" t="n">
        <f aca="false">SUM(E7:P7)</f>
        <v>900000</v>
      </c>
      <c r="S7" s="29" t="n">
        <f aca="false">SUM(E7:E7)</f>
        <v>73000</v>
      </c>
      <c r="U7" s="29" t="n">
        <f aca="false">SUM($E7:F7)</f>
        <v>146428.571428571</v>
      </c>
      <c r="V7" s="29" t="n">
        <f aca="false">SUM($E7:G7)</f>
        <v>228571.428571429</v>
      </c>
      <c r="W7" s="29" t="n">
        <f aca="false">SUM($E7:H7)</f>
        <v>289285.714285714</v>
      </c>
      <c r="X7" s="29" t="n">
        <f aca="false">SUM($E7:I7)</f>
        <v>360714.285714286</v>
      </c>
      <c r="Y7" s="29" t="n">
        <f aca="false">SUM($E7:J7)</f>
        <v>439285.714285714</v>
      </c>
      <c r="Z7" s="29" t="n">
        <f aca="false">SUM($E7:K7)</f>
        <v>517857.142857143</v>
      </c>
      <c r="AA7" s="29" t="n">
        <f aca="false">SUM($E7:L7)</f>
        <v>596428.571428571</v>
      </c>
      <c r="AB7" s="29" t="n">
        <f aca="false">SUM($E7:M7)</f>
        <v>664285.714285714</v>
      </c>
      <c r="AC7" s="29" t="n">
        <f aca="false">SUM($E7:N7)</f>
        <v>739285.714285714</v>
      </c>
      <c r="AD7" s="29" t="n">
        <f aca="false">SUM($E7:O7)</f>
        <v>817857.142857143</v>
      </c>
      <c r="AE7" s="29" t="n">
        <f aca="false">SUM($E7:P7)</f>
        <v>900000</v>
      </c>
      <c r="AG7" s="30" t="n">
        <v>437274.565</v>
      </c>
      <c r="AI7" s="31" t="n">
        <f aca="false">AJ7</f>
        <v>100000</v>
      </c>
      <c r="AJ7" s="31" t="n">
        <v>100000</v>
      </c>
      <c r="AK7" s="31" t="n">
        <v>100000</v>
      </c>
      <c r="AL7" s="31" t="n">
        <v>100000</v>
      </c>
      <c r="AM7" s="31" t="n">
        <v>100000</v>
      </c>
      <c r="AN7" s="32" t="n">
        <v>100000</v>
      </c>
      <c r="AO7" s="30" t="n">
        <f aca="false">SUM(AI7:AN7)</f>
        <v>600000</v>
      </c>
      <c r="AP7" s="33" t="n">
        <f aca="false">SUM(AI7:AN7)+Y7</f>
        <v>1039285.71428571</v>
      </c>
      <c r="AR7" s="34" t="n">
        <f aca="false">AI7+AG7</f>
        <v>537274.565</v>
      </c>
      <c r="AS7" s="31" t="n">
        <f aca="false">AR7+AJ7</f>
        <v>637274.565</v>
      </c>
      <c r="AT7" s="31" t="n">
        <f aca="false">AS7+AK7</f>
        <v>737274.565</v>
      </c>
      <c r="AU7" s="31" t="n">
        <f aca="false">AT7+AL7</f>
        <v>837274.565</v>
      </c>
      <c r="AV7" s="31" t="n">
        <f aca="false">AU7+AM7</f>
        <v>937274.565</v>
      </c>
      <c r="AW7" s="35" t="n">
        <f aca="false">AV7+AN7</f>
        <v>1037274.565</v>
      </c>
    </row>
    <row r="8" customFormat="false" ht="15" hidden="false" customHeight="true" outlineLevel="0" collapsed="false">
      <c r="A8" s="24" t="n">
        <v>4</v>
      </c>
      <c r="B8" s="24" t="s">
        <v>35</v>
      </c>
      <c r="C8" s="25" t="s">
        <v>35</v>
      </c>
      <c r="D8" s="26" t="s">
        <v>32</v>
      </c>
      <c r="E8" s="27" t="n">
        <v>152333.333333333</v>
      </c>
      <c r="F8" s="27" t="n">
        <v>156793.650793651</v>
      </c>
      <c r="G8" s="27" t="n">
        <v>173412.698412698</v>
      </c>
      <c r="H8" s="27" t="n">
        <v>134174.603174603</v>
      </c>
      <c r="I8" s="27" t="n">
        <v>160793.650793651</v>
      </c>
      <c r="J8" s="27" t="n">
        <v>170873.015873016</v>
      </c>
      <c r="K8" s="27" t="n">
        <v>170873.015873016</v>
      </c>
      <c r="L8" s="27" t="n">
        <v>170873.015873016</v>
      </c>
      <c r="M8" s="27" t="n">
        <v>150253.968253968</v>
      </c>
      <c r="N8" s="27" t="n">
        <v>162333.333333333</v>
      </c>
      <c r="O8" s="27" t="n">
        <v>170873.015873016</v>
      </c>
      <c r="P8" s="27" t="n">
        <v>173412.698412698</v>
      </c>
      <c r="Q8" s="28" t="n">
        <f aca="false">SUM(E8:P8)</f>
        <v>1947000</v>
      </c>
      <c r="S8" s="29" t="n">
        <f aca="false">SUM(E8:E8)</f>
        <v>152333.333333333</v>
      </c>
      <c r="U8" s="29" t="n">
        <f aca="false">SUM($E8:F8)</f>
        <v>309126.984126984</v>
      </c>
      <c r="V8" s="29" t="n">
        <f aca="false">SUM($E8:G8)</f>
        <v>482539.682539682</v>
      </c>
      <c r="W8" s="29" t="n">
        <f aca="false">SUM($E8:H8)</f>
        <v>616714.285714285</v>
      </c>
      <c r="X8" s="29" t="n">
        <f aca="false">SUM($E8:I8)</f>
        <v>777507.936507936</v>
      </c>
      <c r="Y8" s="29" t="n">
        <f aca="false">SUM($E8:J8)</f>
        <v>948380.952380952</v>
      </c>
      <c r="Z8" s="29" t="n">
        <f aca="false">SUM($E8:K8)</f>
        <v>1119253.96825397</v>
      </c>
      <c r="AA8" s="29" t="n">
        <f aca="false">SUM($E8:L8)</f>
        <v>1290126.98412698</v>
      </c>
      <c r="AB8" s="29" t="n">
        <f aca="false">SUM($E8:M8)</f>
        <v>1440380.95238095</v>
      </c>
      <c r="AC8" s="29" t="n">
        <f aca="false">SUM($E8:N8)</f>
        <v>1602714.28571429</v>
      </c>
      <c r="AD8" s="29" t="n">
        <f aca="false">SUM($E8:O8)</f>
        <v>1773587.3015873</v>
      </c>
      <c r="AE8" s="29" t="n">
        <f aca="false">SUM($E8:P8)</f>
        <v>1947000</v>
      </c>
      <c r="AG8" s="30" t="n">
        <v>918523.978</v>
      </c>
      <c r="AI8" s="31" t="n">
        <f aca="false">AJ8</f>
        <v>200000</v>
      </c>
      <c r="AJ8" s="31" t="n">
        <v>200000</v>
      </c>
      <c r="AK8" s="31" t="n">
        <v>200000</v>
      </c>
      <c r="AL8" s="31" t="n">
        <v>200000</v>
      </c>
      <c r="AM8" s="31" t="n">
        <v>200000</v>
      </c>
      <c r="AN8" s="32" t="n">
        <v>200000</v>
      </c>
      <c r="AO8" s="30" t="n">
        <f aca="false">SUM(AI8:AN8)</f>
        <v>1200000</v>
      </c>
      <c r="AP8" s="33" t="n">
        <f aca="false">SUM(AI8:AN8)+Y8</f>
        <v>2148380.95238095</v>
      </c>
      <c r="AR8" s="34" t="n">
        <f aca="false">AI8+AG8</f>
        <v>1118523.978</v>
      </c>
      <c r="AS8" s="31" t="n">
        <f aca="false">AR8+AJ8</f>
        <v>1318523.978</v>
      </c>
      <c r="AT8" s="31" t="n">
        <f aca="false">AS8+AK8</f>
        <v>1518523.978</v>
      </c>
      <c r="AU8" s="31" t="n">
        <f aca="false">AT8+AL8</f>
        <v>1718523.978</v>
      </c>
      <c r="AV8" s="31" t="n">
        <f aca="false">AU8+AM8</f>
        <v>1918523.978</v>
      </c>
      <c r="AW8" s="35" t="n">
        <f aca="false">AV8+AN8</f>
        <v>2118523.978</v>
      </c>
    </row>
    <row r="9" customFormat="false" ht="15" hidden="false" customHeight="true" outlineLevel="0" collapsed="false">
      <c r="A9" s="24" t="n">
        <v>3</v>
      </c>
      <c r="B9" s="24" t="s">
        <v>36</v>
      </c>
      <c r="C9" s="25" t="s">
        <v>36</v>
      </c>
      <c r="D9" s="26" t="s">
        <v>32</v>
      </c>
      <c r="E9" s="27" t="n">
        <v>365000</v>
      </c>
      <c r="F9" s="27" t="n">
        <v>365000</v>
      </c>
      <c r="G9" s="27" t="n">
        <v>365000</v>
      </c>
      <c r="H9" s="27" t="n">
        <v>365000</v>
      </c>
      <c r="I9" s="27" t="n">
        <v>365000</v>
      </c>
      <c r="J9" s="27" t="n">
        <v>365000</v>
      </c>
      <c r="K9" s="27" t="n">
        <v>365000</v>
      </c>
      <c r="L9" s="27" t="n">
        <v>365000</v>
      </c>
      <c r="M9" s="27" t="n">
        <v>365000</v>
      </c>
      <c r="N9" s="27" t="n">
        <v>365000</v>
      </c>
      <c r="O9" s="27" t="n">
        <v>365000</v>
      </c>
      <c r="P9" s="27" t="n">
        <v>366000</v>
      </c>
      <c r="Q9" s="28" t="n">
        <f aca="false">SUM(E9:P9)</f>
        <v>4381000</v>
      </c>
      <c r="S9" s="29" t="n">
        <f aca="false">SUM(E9:E9)</f>
        <v>365000</v>
      </c>
      <c r="U9" s="29" t="n">
        <f aca="false">SUM($E9:F9)</f>
        <v>730000</v>
      </c>
      <c r="V9" s="29" t="n">
        <f aca="false">SUM($E9:G9)</f>
        <v>1095000</v>
      </c>
      <c r="W9" s="29" t="n">
        <f aca="false">SUM($E9:H9)</f>
        <v>1460000</v>
      </c>
      <c r="X9" s="29" t="n">
        <f aca="false">SUM($E9:I9)</f>
        <v>1825000</v>
      </c>
      <c r="Y9" s="29" t="n">
        <f aca="false">SUM($E9:J9)</f>
        <v>2190000</v>
      </c>
      <c r="Z9" s="29" t="n">
        <f aca="false">SUM($E9:K9)</f>
        <v>2555000</v>
      </c>
      <c r="AA9" s="29" t="n">
        <f aca="false">SUM($E9:L9)</f>
        <v>2920000</v>
      </c>
      <c r="AB9" s="29" t="n">
        <f aca="false">SUM($E9:M9)</f>
        <v>3285000</v>
      </c>
      <c r="AC9" s="29" t="n">
        <f aca="false">SUM($E9:N9)</f>
        <v>3650000</v>
      </c>
      <c r="AD9" s="29" t="n">
        <f aca="false">SUM($E9:O9)</f>
        <v>4015000</v>
      </c>
      <c r="AE9" s="29" t="n">
        <f aca="false">SUM($E9:P9)</f>
        <v>4381000</v>
      </c>
      <c r="AG9" s="30" t="n">
        <v>1742410.85</v>
      </c>
      <c r="AI9" s="31" t="n">
        <f aca="false">AJ9</f>
        <v>330000</v>
      </c>
      <c r="AJ9" s="31" t="n">
        <v>330000</v>
      </c>
      <c r="AK9" s="31" t="n">
        <v>330000</v>
      </c>
      <c r="AL9" s="31" t="n">
        <v>330000</v>
      </c>
      <c r="AM9" s="31" t="n">
        <v>330000</v>
      </c>
      <c r="AN9" s="32" t="n">
        <v>330000</v>
      </c>
      <c r="AO9" s="30" t="n">
        <f aca="false">SUM(AI9:AN9)</f>
        <v>1980000</v>
      </c>
      <c r="AP9" s="33" t="n">
        <f aca="false">SUM(AI9:AN9)+Y9</f>
        <v>4170000</v>
      </c>
      <c r="AR9" s="34" t="n">
        <f aca="false">AI9+AG9</f>
        <v>2072410.85</v>
      </c>
      <c r="AS9" s="31" t="n">
        <f aca="false">AR9+AJ9</f>
        <v>2402410.85</v>
      </c>
      <c r="AT9" s="31" t="n">
        <f aca="false">AS9+AK9</f>
        <v>2732410.85</v>
      </c>
      <c r="AU9" s="31" t="n">
        <f aca="false">AT9+AL9</f>
        <v>3062410.85</v>
      </c>
      <c r="AV9" s="31" t="n">
        <f aca="false">AU9+AM9</f>
        <v>3392410.85</v>
      </c>
      <c r="AW9" s="35" t="n">
        <f aca="false">AV9+AN9</f>
        <v>3722410.85</v>
      </c>
    </row>
    <row r="10" customFormat="false" ht="15" hidden="false" customHeight="true" outlineLevel="0" collapsed="false">
      <c r="A10" s="24" t="n">
        <v>8</v>
      </c>
      <c r="B10" s="24" t="s">
        <v>37</v>
      </c>
      <c r="C10" s="25" t="s">
        <v>37</v>
      </c>
      <c r="D10" s="26" t="s">
        <v>32</v>
      </c>
      <c r="E10" s="27" t="n">
        <v>83333.3333333333</v>
      </c>
      <c r="F10" s="27" t="n">
        <v>109365.079365079</v>
      </c>
      <c r="G10" s="27" t="n">
        <v>111269.841269841</v>
      </c>
      <c r="H10" s="27" t="n">
        <v>97460.3174603175</v>
      </c>
      <c r="I10" s="27" t="n">
        <v>99365.0793650794</v>
      </c>
      <c r="J10" s="27" t="n">
        <v>107301.587301587</v>
      </c>
      <c r="K10" s="27" t="n">
        <v>107301.587301587</v>
      </c>
      <c r="L10" s="27" t="n">
        <v>107301.587301587</v>
      </c>
      <c r="M10" s="27" t="n">
        <v>95396.8253968254</v>
      </c>
      <c r="N10" s="27" t="n">
        <v>103333.333333333</v>
      </c>
      <c r="O10" s="27" t="n">
        <v>107301.587301587</v>
      </c>
      <c r="P10" s="27" t="n">
        <v>91269.8412698413</v>
      </c>
      <c r="Q10" s="28" t="n">
        <f aca="false">SUM(E10:P10)</f>
        <v>1220000</v>
      </c>
      <c r="S10" s="29" t="n">
        <f aca="false">SUM(E10:E10)</f>
        <v>83333.3333333333</v>
      </c>
      <c r="U10" s="29" t="n">
        <f aca="false">SUM($E10:F10)</f>
        <v>192698.412698412</v>
      </c>
      <c r="V10" s="29" t="n">
        <f aca="false">SUM($E10:G10)</f>
        <v>303968.253968253</v>
      </c>
      <c r="W10" s="29" t="n">
        <f aca="false">SUM($E10:H10)</f>
        <v>401428.571428571</v>
      </c>
      <c r="X10" s="29" t="n">
        <f aca="false">SUM($E10:I10)</f>
        <v>500793.65079365</v>
      </c>
      <c r="Y10" s="29" t="n">
        <f aca="false">SUM($E10:J10)</f>
        <v>608095.238095237</v>
      </c>
      <c r="Z10" s="29" t="n">
        <f aca="false">SUM($E10:K10)</f>
        <v>715396.825396824</v>
      </c>
      <c r="AA10" s="29" t="n">
        <f aca="false">SUM($E10:L10)</f>
        <v>822698.412698411</v>
      </c>
      <c r="AB10" s="29" t="n">
        <f aca="false">SUM($E10:M10)</f>
        <v>918095.238095237</v>
      </c>
      <c r="AC10" s="29" t="n">
        <f aca="false">SUM($E10:N10)</f>
        <v>1021428.57142857</v>
      </c>
      <c r="AD10" s="29" t="n">
        <f aca="false">SUM($E10:O10)</f>
        <v>1128730.15873016</v>
      </c>
      <c r="AE10" s="29" t="n">
        <f aca="false">SUM($E10:P10)</f>
        <v>1220000</v>
      </c>
      <c r="AG10" s="30" t="n">
        <v>343097.611</v>
      </c>
      <c r="AI10" s="31" t="n">
        <f aca="false">AJ10</f>
        <v>100000</v>
      </c>
      <c r="AJ10" s="31" t="n">
        <v>100000</v>
      </c>
      <c r="AK10" s="31" t="n">
        <v>100000</v>
      </c>
      <c r="AL10" s="31" t="n">
        <v>100000</v>
      </c>
      <c r="AM10" s="31" t="n">
        <v>100000</v>
      </c>
      <c r="AN10" s="32" t="n">
        <v>100000</v>
      </c>
      <c r="AO10" s="30" t="n">
        <f aca="false">SUM(AI10:AN10)</f>
        <v>600000</v>
      </c>
      <c r="AP10" s="33" t="n">
        <f aca="false">SUM(AI10:AN10)+Y10</f>
        <v>1208095.23809524</v>
      </c>
      <c r="AR10" s="34" t="n">
        <f aca="false">AI10+AG10</f>
        <v>443097.611</v>
      </c>
      <c r="AS10" s="31" t="n">
        <f aca="false">AR10+AJ10</f>
        <v>543097.611</v>
      </c>
      <c r="AT10" s="31" t="n">
        <f aca="false">AS10+AK10</f>
        <v>643097.611</v>
      </c>
      <c r="AU10" s="31" t="n">
        <f aca="false">AT10+AL10</f>
        <v>743097.611</v>
      </c>
      <c r="AV10" s="31" t="n">
        <f aca="false">AU10+AM10</f>
        <v>843097.611</v>
      </c>
      <c r="AW10" s="35" t="n">
        <f aca="false">AV10+AN10</f>
        <v>943097.611</v>
      </c>
    </row>
    <row r="11" customFormat="false" ht="15" hidden="false" customHeight="true" outlineLevel="0" collapsed="false">
      <c r="A11" s="24" t="n">
        <v>6</v>
      </c>
      <c r="B11" s="24" t="s">
        <v>38</v>
      </c>
      <c r="C11" s="25" t="s">
        <v>38</v>
      </c>
      <c r="D11" s="26" t="s">
        <v>32</v>
      </c>
      <c r="E11" s="27" t="n">
        <v>127583.333333333</v>
      </c>
      <c r="F11" s="27" t="n">
        <v>155079.365079365</v>
      </c>
      <c r="G11" s="27" t="n">
        <v>160591.26984127</v>
      </c>
      <c r="H11" s="27" t="n">
        <v>139567.46031746</v>
      </c>
      <c r="I11" s="27" t="n">
        <v>170079.365079365</v>
      </c>
      <c r="J11" s="27" t="n">
        <v>177087.301587302</v>
      </c>
      <c r="K11" s="27" t="n">
        <v>177087.301587302</v>
      </c>
      <c r="L11" s="27" t="n">
        <v>177087.301587302</v>
      </c>
      <c r="M11" s="27" t="n">
        <v>166575.396825397</v>
      </c>
      <c r="N11" s="27" t="n">
        <v>173583.333333333</v>
      </c>
      <c r="O11" s="27" t="n">
        <v>177087.301587302</v>
      </c>
      <c r="P11" s="27" t="n">
        <v>177591.26984127</v>
      </c>
      <c r="Q11" s="28" t="n">
        <f aca="false">SUM(E11:P11)</f>
        <v>1979000</v>
      </c>
      <c r="S11" s="29" t="n">
        <f aca="false">SUM(E11:E11)</f>
        <v>127583.333333333</v>
      </c>
      <c r="U11" s="29" t="n">
        <f aca="false">SUM($E11:F11)</f>
        <v>282662.698412698</v>
      </c>
      <c r="V11" s="29" t="n">
        <f aca="false">SUM($E11:G11)</f>
        <v>443253.968253968</v>
      </c>
      <c r="W11" s="29" t="n">
        <f aca="false">SUM($E11:H11)</f>
        <v>582821.428571428</v>
      </c>
      <c r="X11" s="29" t="n">
        <f aca="false">SUM($E11:I11)</f>
        <v>752900.793650793</v>
      </c>
      <c r="Y11" s="29" t="n">
        <f aca="false">SUM($E11:J11)</f>
        <v>929988.095238095</v>
      </c>
      <c r="Z11" s="29" t="n">
        <f aca="false">SUM($E11:K11)</f>
        <v>1107075.3968254</v>
      </c>
      <c r="AA11" s="29" t="n">
        <f aca="false">SUM($E11:L11)</f>
        <v>1284162.6984127</v>
      </c>
      <c r="AB11" s="29" t="n">
        <f aca="false">SUM($E11:M11)</f>
        <v>1450738.0952381</v>
      </c>
      <c r="AC11" s="29" t="n">
        <f aca="false">SUM($E11:N11)</f>
        <v>1624321.42857143</v>
      </c>
      <c r="AD11" s="29" t="n">
        <f aca="false">SUM($E11:O11)</f>
        <v>1801408.73015873</v>
      </c>
      <c r="AE11" s="29" t="n">
        <f aca="false">SUM($E11:P11)</f>
        <v>1979000</v>
      </c>
      <c r="AG11" s="30" t="n">
        <v>475277.57</v>
      </c>
      <c r="AI11" s="31" t="n">
        <f aca="false">AJ11</f>
        <v>100000</v>
      </c>
      <c r="AJ11" s="31" t="n">
        <v>100000</v>
      </c>
      <c r="AK11" s="31" t="n">
        <v>100000</v>
      </c>
      <c r="AL11" s="31" t="n">
        <v>100000</v>
      </c>
      <c r="AM11" s="31" t="n">
        <v>100000</v>
      </c>
      <c r="AN11" s="32" t="n">
        <v>100000</v>
      </c>
      <c r="AO11" s="30" t="n">
        <f aca="false">SUM(AI11:AN11)</f>
        <v>600000</v>
      </c>
      <c r="AP11" s="33" t="n">
        <f aca="false">SUM(AI11:AN11)+Y11</f>
        <v>1529988.0952381</v>
      </c>
      <c r="AR11" s="34" t="n">
        <f aca="false">AI11+AG11</f>
        <v>575277.57</v>
      </c>
      <c r="AS11" s="31" t="n">
        <f aca="false">AR11+AJ11</f>
        <v>675277.57</v>
      </c>
      <c r="AT11" s="31" t="n">
        <f aca="false">AS11+AK11</f>
        <v>775277.57</v>
      </c>
      <c r="AU11" s="31" t="n">
        <f aca="false">AT11+AL11</f>
        <v>875277.57</v>
      </c>
      <c r="AV11" s="31" t="n">
        <f aca="false">AU11+AM11</f>
        <v>975277.57</v>
      </c>
      <c r="AW11" s="35" t="n">
        <f aca="false">AV11+AN11</f>
        <v>1075277.57</v>
      </c>
    </row>
    <row r="12" customFormat="false" ht="15" hidden="false" customHeight="true" outlineLevel="0" collapsed="false">
      <c r="A12" s="36" t="n">
        <v>10</v>
      </c>
      <c r="B12" s="36" t="s">
        <v>39</v>
      </c>
      <c r="C12" s="37" t="s">
        <v>39</v>
      </c>
      <c r="D12" s="26" t="s">
        <v>32</v>
      </c>
      <c r="E12" s="27" t="n">
        <v>15833.3333333333</v>
      </c>
      <c r="F12" s="27" t="n">
        <v>15079.3650793651</v>
      </c>
      <c r="G12" s="27" t="n">
        <v>17341.2698412698</v>
      </c>
      <c r="H12" s="27" t="n">
        <v>12817.4603174603</v>
      </c>
      <c r="I12" s="27" t="n">
        <v>15079.3650793651</v>
      </c>
      <c r="J12" s="27" t="n">
        <v>16587.3015873016</v>
      </c>
      <c r="K12" s="27" t="n">
        <v>16587.3015873016</v>
      </c>
      <c r="L12" s="27" t="n">
        <v>16587.3015873016</v>
      </c>
      <c r="M12" s="27" t="n">
        <v>14325.3968253968</v>
      </c>
      <c r="N12" s="27" t="n">
        <v>15833.3333333333</v>
      </c>
      <c r="O12" s="27" t="n">
        <v>16587.3015873016</v>
      </c>
      <c r="P12" s="27" t="n">
        <v>17341.2698412698</v>
      </c>
      <c r="Q12" s="28" t="n">
        <f aca="false">SUM(E12:P12)</f>
        <v>190000</v>
      </c>
      <c r="S12" s="29" t="n">
        <f aca="false">SUM(E12:E12)</f>
        <v>15833.3333333333</v>
      </c>
      <c r="U12" s="29" t="n">
        <f aca="false">SUM($E12:F12)</f>
        <v>30912.6984126984</v>
      </c>
      <c r="V12" s="29" t="n">
        <f aca="false">SUM($E12:G12)</f>
        <v>48253.9682539682</v>
      </c>
      <c r="W12" s="29" t="n">
        <f aca="false">SUM($E12:H12)</f>
        <v>61071.4285714285</v>
      </c>
      <c r="X12" s="29" t="n">
        <f aca="false">SUM($E12:I12)</f>
        <v>76150.7936507936</v>
      </c>
      <c r="Y12" s="29" t="n">
        <f aca="false">SUM($E12:J12)</f>
        <v>92738.0952380952</v>
      </c>
      <c r="Z12" s="29" t="n">
        <f aca="false">SUM($E12:K12)</f>
        <v>109325.396825397</v>
      </c>
      <c r="AA12" s="29" t="n">
        <f aca="false">SUM($E12:L12)</f>
        <v>125912.698412698</v>
      </c>
      <c r="AB12" s="29" t="n">
        <f aca="false">SUM($E12:M12)</f>
        <v>140238.095238095</v>
      </c>
      <c r="AC12" s="29" t="n">
        <f aca="false">SUM($E12:N12)</f>
        <v>156071.428571429</v>
      </c>
      <c r="AD12" s="29" t="n">
        <f aca="false">SUM($E12:O12)</f>
        <v>172658.73015873</v>
      </c>
      <c r="AE12" s="29" t="n">
        <f aca="false">SUM($E12:P12)</f>
        <v>190000</v>
      </c>
      <c r="AG12" s="30" t="n">
        <v>61235.08</v>
      </c>
      <c r="AI12" s="31" t="n">
        <f aca="false">AJ12</f>
        <v>15000</v>
      </c>
      <c r="AJ12" s="31" t="n">
        <v>15000</v>
      </c>
      <c r="AK12" s="31" t="n">
        <v>15000</v>
      </c>
      <c r="AL12" s="31" t="n">
        <v>15000</v>
      </c>
      <c r="AM12" s="31" t="n">
        <v>15000</v>
      </c>
      <c r="AN12" s="32" t="n">
        <v>15000</v>
      </c>
      <c r="AO12" s="30" t="n">
        <f aca="false">SUM(AI12:AN12)</f>
        <v>90000</v>
      </c>
      <c r="AP12" s="33" t="n">
        <f aca="false">SUM(AI12:AN12)+Y12</f>
        <v>182738.095238095</v>
      </c>
      <c r="AR12" s="34" t="n">
        <f aca="false">AI12+AG12</f>
        <v>76235.08</v>
      </c>
      <c r="AS12" s="31" t="n">
        <f aca="false">AR12+AJ12</f>
        <v>91235.08</v>
      </c>
      <c r="AT12" s="31" t="n">
        <f aca="false">AS12+AK12</f>
        <v>106235.08</v>
      </c>
      <c r="AU12" s="31" t="n">
        <f aca="false">AT12+AL12</f>
        <v>121235.08</v>
      </c>
      <c r="AV12" s="31" t="n">
        <f aca="false">AU12+AM12</f>
        <v>136235.08</v>
      </c>
      <c r="AW12" s="35" t="n">
        <f aca="false">AV12+AN12</f>
        <v>151235.08</v>
      </c>
    </row>
    <row r="13" customFormat="false" ht="15" hidden="false" customHeight="true" outlineLevel="0" collapsed="false">
      <c r="A13" s="24" t="n">
        <v>11</v>
      </c>
      <c r="B13" s="24" t="s">
        <v>40</v>
      </c>
      <c r="C13" s="25" t="s">
        <v>40</v>
      </c>
      <c r="D13" s="26" t="s">
        <v>32</v>
      </c>
      <c r="E13" s="27" t="n">
        <v>6333.33333333333</v>
      </c>
      <c r="F13" s="27" t="n">
        <v>7936.50793650794</v>
      </c>
      <c r="G13" s="27" t="n">
        <v>9126.98412698413</v>
      </c>
      <c r="H13" s="27" t="n">
        <v>6746.03174603175</v>
      </c>
      <c r="I13" s="27" t="n">
        <v>7936.50793650794</v>
      </c>
      <c r="J13" s="27" t="n">
        <v>8730.15873015873</v>
      </c>
      <c r="K13" s="27" t="n">
        <v>8730.15873015873</v>
      </c>
      <c r="L13" s="27" t="n">
        <v>8730.15873015873</v>
      </c>
      <c r="M13" s="27" t="n">
        <v>8539.68253968254</v>
      </c>
      <c r="N13" s="27" t="n">
        <v>9333.33333333333</v>
      </c>
      <c r="O13" s="27" t="n">
        <v>8730.15873015873</v>
      </c>
      <c r="P13" s="27" t="n">
        <v>9126.98412698413</v>
      </c>
      <c r="Q13" s="28" t="n">
        <f aca="false">SUM(E13:P13)</f>
        <v>100000</v>
      </c>
      <c r="S13" s="29" t="n">
        <f aca="false">SUM(E13:E13)</f>
        <v>6333.33333333333</v>
      </c>
      <c r="U13" s="29" t="n">
        <f aca="false">SUM($E13:F13)</f>
        <v>14269.8412698413</v>
      </c>
      <c r="V13" s="29" t="n">
        <f aca="false">SUM($E13:G13)</f>
        <v>23396.8253968254</v>
      </c>
      <c r="W13" s="29" t="n">
        <f aca="false">SUM($E13:H13)</f>
        <v>30142.8571428572</v>
      </c>
      <c r="X13" s="29" t="n">
        <f aca="false">SUM($E13:I13)</f>
        <v>38079.3650793651</v>
      </c>
      <c r="Y13" s="29" t="n">
        <f aca="false">SUM($E13:J13)</f>
        <v>46809.5238095238</v>
      </c>
      <c r="Z13" s="29" t="n">
        <f aca="false">SUM($E13:K13)</f>
        <v>55539.6825396826</v>
      </c>
      <c r="AA13" s="29" t="n">
        <f aca="false">SUM($E13:L13)</f>
        <v>64269.8412698413</v>
      </c>
      <c r="AB13" s="29" t="n">
        <f aca="false">SUM($E13:M13)</f>
        <v>72809.5238095238</v>
      </c>
      <c r="AC13" s="29" t="n">
        <f aca="false">SUM($E13:N13)</f>
        <v>82142.8571428571</v>
      </c>
      <c r="AD13" s="29" t="n">
        <f aca="false">SUM($E13:O13)</f>
        <v>90873.0158730159</v>
      </c>
      <c r="AE13" s="29" t="n">
        <f aca="false">SUM($E13:P13)</f>
        <v>100000</v>
      </c>
      <c r="AG13" s="30" t="n">
        <v>34015.41</v>
      </c>
      <c r="AI13" s="31" t="n">
        <f aca="false">AJ13</f>
        <v>10000</v>
      </c>
      <c r="AJ13" s="31" t="n">
        <v>10000</v>
      </c>
      <c r="AK13" s="31" t="n">
        <v>10000</v>
      </c>
      <c r="AL13" s="31" t="n">
        <v>10000</v>
      </c>
      <c r="AM13" s="31" t="n">
        <v>10000</v>
      </c>
      <c r="AN13" s="32" t="n">
        <v>10000</v>
      </c>
      <c r="AO13" s="30" t="n">
        <f aca="false">SUM(AI13:AN13)</f>
        <v>60000</v>
      </c>
      <c r="AP13" s="33" t="n">
        <f aca="false">SUM(AI13:AN13)+Y13</f>
        <v>106809.523809524</v>
      </c>
      <c r="AR13" s="34" t="n">
        <f aca="false">AI13+AG13</f>
        <v>44015.41</v>
      </c>
      <c r="AS13" s="31" t="n">
        <f aca="false">AR13+AJ13</f>
        <v>54015.41</v>
      </c>
      <c r="AT13" s="31" t="n">
        <f aca="false">AS13+AK13</f>
        <v>64015.41</v>
      </c>
      <c r="AU13" s="31" t="n">
        <f aca="false">AT13+AL13</f>
        <v>74015.41</v>
      </c>
      <c r="AV13" s="31" t="n">
        <f aca="false">AU13+AM13</f>
        <v>84015.41</v>
      </c>
      <c r="AW13" s="35" t="n">
        <f aca="false">AV13+AN13</f>
        <v>94015.41</v>
      </c>
    </row>
    <row r="14" customFormat="false" ht="15" hidden="false" customHeight="true" outlineLevel="0" collapsed="false">
      <c r="A14" s="24" t="n">
        <v>14</v>
      </c>
      <c r="B14" s="24" t="s">
        <v>41</v>
      </c>
      <c r="C14" s="25" t="s">
        <v>41</v>
      </c>
      <c r="D14" s="26" t="s">
        <v>32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  <c r="L14" s="27" t="n">
        <v>0</v>
      </c>
      <c r="M14" s="27" t="n">
        <v>0</v>
      </c>
      <c r="N14" s="27" t="n">
        <v>0</v>
      </c>
      <c r="O14" s="27" t="n">
        <v>0</v>
      </c>
      <c r="P14" s="27" t="n">
        <v>0</v>
      </c>
      <c r="Q14" s="28" t="n">
        <f aca="false">SUM(E14:P14)</f>
        <v>0</v>
      </c>
      <c r="S14" s="29" t="n">
        <f aca="false">SUM(E14:E14)</f>
        <v>0</v>
      </c>
      <c r="U14" s="29" t="n">
        <f aca="false">SUM($E14:F14)</f>
        <v>0</v>
      </c>
      <c r="V14" s="29" t="n">
        <f aca="false">SUM($E14:G14)</f>
        <v>0</v>
      </c>
      <c r="W14" s="29" t="n">
        <f aca="false">SUM($E14:H14)</f>
        <v>0</v>
      </c>
      <c r="X14" s="29" t="n">
        <f aca="false">SUM($E14:I14)</f>
        <v>0</v>
      </c>
      <c r="Y14" s="29" t="n">
        <f aca="false">SUM($E14:J14)</f>
        <v>0</v>
      </c>
      <c r="Z14" s="29" t="n">
        <f aca="false">SUM($E14:K14)</f>
        <v>0</v>
      </c>
      <c r="AA14" s="29" t="n">
        <f aca="false">SUM($E14:L14)</f>
        <v>0</v>
      </c>
      <c r="AB14" s="29" t="n">
        <f aca="false">SUM($E14:M14)</f>
        <v>0</v>
      </c>
      <c r="AC14" s="29" t="n">
        <f aca="false">SUM($E14:N14)</f>
        <v>0</v>
      </c>
      <c r="AD14" s="29" t="n">
        <f aca="false">SUM($E14:O14)</f>
        <v>0</v>
      </c>
      <c r="AE14" s="29" t="n">
        <f aca="false">SUM($E14:P14)</f>
        <v>0</v>
      </c>
      <c r="AG14" s="30" t="n">
        <v>3576.15</v>
      </c>
      <c r="AI14" s="31" t="n">
        <f aca="false">AJ14</f>
        <v>5000</v>
      </c>
      <c r="AJ14" s="31" t="n">
        <v>5000</v>
      </c>
      <c r="AK14" s="31" t="n">
        <v>5000</v>
      </c>
      <c r="AL14" s="31" t="n">
        <v>5000</v>
      </c>
      <c r="AM14" s="31" t="n">
        <v>5000</v>
      </c>
      <c r="AN14" s="32" t="n">
        <v>5000</v>
      </c>
      <c r="AO14" s="30" t="n">
        <f aca="false">SUM(AI14:AN14)</f>
        <v>30000</v>
      </c>
      <c r="AP14" s="33" t="n">
        <f aca="false">SUM(AI14:AN14)+Y14</f>
        <v>30000</v>
      </c>
      <c r="AR14" s="34" t="n">
        <f aca="false">AI14+AG14</f>
        <v>8576.15</v>
      </c>
      <c r="AS14" s="31" t="n">
        <f aca="false">AR14+AJ14</f>
        <v>13576.15</v>
      </c>
      <c r="AT14" s="31" t="n">
        <f aca="false">AS14+AK14</f>
        <v>18576.15</v>
      </c>
      <c r="AU14" s="31" t="n">
        <f aca="false">AT14+AL14</f>
        <v>23576.15</v>
      </c>
      <c r="AV14" s="31" t="n">
        <f aca="false">AU14+AM14</f>
        <v>28576.15</v>
      </c>
      <c r="AW14" s="35" t="n">
        <f aca="false">AV14+AN14</f>
        <v>33576.15</v>
      </c>
    </row>
    <row r="15" customFormat="false" ht="15" hidden="false" customHeight="true" outlineLevel="0" collapsed="false">
      <c r="A15" s="24" t="n">
        <v>16</v>
      </c>
      <c r="B15" s="24" t="s">
        <v>42</v>
      </c>
      <c r="C15" s="25" t="s">
        <v>42</v>
      </c>
      <c r="D15" s="26" t="s">
        <v>32</v>
      </c>
      <c r="E15" s="27" t="n">
        <v>0</v>
      </c>
      <c r="F15" s="27" t="n">
        <v>0</v>
      </c>
      <c r="G15" s="27" t="n">
        <v>0</v>
      </c>
      <c r="H15" s="27" t="n">
        <v>0</v>
      </c>
      <c r="I15" s="27" t="n">
        <v>0</v>
      </c>
      <c r="J15" s="27" t="n">
        <v>0</v>
      </c>
      <c r="K15" s="27" t="n">
        <v>0</v>
      </c>
      <c r="L15" s="27" t="n">
        <v>0</v>
      </c>
      <c r="M15" s="27" t="n">
        <v>0</v>
      </c>
      <c r="N15" s="27" t="n">
        <v>0</v>
      </c>
      <c r="O15" s="27" t="n">
        <v>0</v>
      </c>
      <c r="P15" s="27" t="n">
        <v>0</v>
      </c>
      <c r="Q15" s="28" t="n">
        <f aca="false">SUM(E15:P15)</f>
        <v>0</v>
      </c>
      <c r="S15" s="29" t="n">
        <f aca="false">SUM(E15:E15)</f>
        <v>0</v>
      </c>
      <c r="U15" s="29" t="n">
        <f aca="false">SUM($E15:F15)</f>
        <v>0</v>
      </c>
      <c r="V15" s="29" t="n">
        <f aca="false">SUM($E15:G15)</f>
        <v>0</v>
      </c>
      <c r="W15" s="29" t="n">
        <f aca="false">SUM($E15:H15)</f>
        <v>0</v>
      </c>
      <c r="X15" s="29" t="n">
        <f aca="false">SUM($E15:I15)</f>
        <v>0</v>
      </c>
      <c r="Y15" s="29" t="n">
        <f aca="false">SUM($E15:J15)</f>
        <v>0</v>
      </c>
      <c r="Z15" s="29" t="n">
        <f aca="false">SUM($E15:K15)</f>
        <v>0</v>
      </c>
      <c r="AA15" s="29" t="n">
        <f aca="false">SUM($E15:L15)</f>
        <v>0</v>
      </c>
      <c r="AB15" s="29" t="n">
        <f aca="false">SUM($E15:M15)</f>
        <v>0</v>
      </c>
      <c r="AC15" s="29" t="n">
        <f aca="false">SUM($E15:N15)</f>
        <v>0</v>
      </c>
      <c r="AD15" s="29" t="n">
        <f aca="false">SUM($E15:O15)</f>
        <v>0</v>
      </c>
      <c r="AE15" s="29" t="n">
        <f aca="false">SUM($E15:P15)</f>
        <v>0</v>
      </c>
      <c r="AG15" s="30"/>
      <c r="AI15" s="31" t="n">
        <f aca="false">AJ15</f>
        <v>0</v>
      </c>
      <c r="AJ15" s="31"/>
      <c r="AK15" s="31"/>
      <c r="AL15" s="31"/>
      <c r="AM15" s="31"/>
      <c r="AN15" s="32"/>
      <c r="AO15" s="30" t="n">
        <f aca="false">SUM(AI15:AN15)</f>
        <v>0</v>
      </c>
      <c r="AP15" s="33" t="n">
        <f aca="false">SUM(AI15:AN15)+Y15</f>
        <v>0</v>
      </c>
      <c r="AR15" s="34" t="n">
        <f aca="false">AI15+AG15</f>
        <v>0</v>
      </c>
      <c r="AS15" s="31" t="n">
        <f aca="false">AR15+AJ15</f>
        <v>0</v>
      </c>
      <c r="AT15" s="31" t="n">
        <f aca="false">AS15+AK15</f>
        <v>0</v>
      </c>
      <c r="AU15" s="31" t="n">
        <f aca="false">AT15+AL15</f>
        <v>0</v>
      </c>
      <c r="AV15" s="31" t="n">
        <f aca="false">AU15+AM15</f>
        <v>0</v>
      </c>
      <c r="AW15" s="35" t="n">
        <f aca="false">AV15+AN15</f>
        <v>0</v>
      </c>
    </row>
    <row r="16" customFormat="false" ht="15" hidden="false" customHeight="true" outlineLevel="0" collapsed="false">
      <c r="A16" s="24" t="n">
        <v>13</v>
      </c>
      <c r="B16" s="24" t="s">
        <v>43</v>
      </c>
      <c r="C16" s="25" t="s">
        <v>43</v>
      </c>
      <c r="D16" s="26" t="s">
        <v>32</v>
      </c>
      <c r="E16" s="27" t="n">
        <v>0</v>
      </c>
      <c r="F16" s="27" t="n">
        <v>0</v>
      </c>
      <c r="G16" s="27" t="n">
        <v>0</v>
      </c>
      <c r="H16" s="27" t="n">
        <v>50000</v>
      </c>
      <c r="I16" s="27" t="n">
        <v>50000</v>
      </c>
      <c r="J16" s="27" t="n">
        <v>50000</v>
      </c>
      <c r="K16" s="27" t="n">
        <v>50000</v>
      </c>
      <c r="L16" s="27" t="n">
        <v>50000</v>
      </c>
      <c r="M16" s="27" t="n">
        <v>50000</v>
      </c>
      <c r="N16" s="27" t="n">
        <v>50000</v>
      </c>
      <c r="O16" s="27" t="n">
        <v>50000</v>
      </c>
      <c r="P16" s="27" t="n">
        <v>0</v>
      </c>
      <c r="Q16" s="28" t="n">
        <f aca="false">SUM(E16:P16)</f>
        <v>400000</v>
      </c>
      <c r="S16" s="29" t="n">
        <f aca="false">SUM(E16:E16)</f>
        <v>0</v>
      </c>
      <c r="U16" s="29" t="n">
        <f aca="false">SUM($E16:F16)</f>
        <v>0</v>
      </c>
      <c r="V16" s="29" t="n">
        <f aca="false">SUM($E16:G16)</f>
        <v>0</v>
      </c>
      <c r="W16" s="29" t="n">
        <f aca="false">SUM($E16:H16)</f>
        <v>50000</v>
      </c>
      <c r="X16" s="29" t="n">
        <f aca="false">SUM($E16:I16)</f>
        <v>100000</v>
      </c>
      <c r="Y16" s="29" t="n">
        <f aca="false">SUM($E16:J16)</f>
        <v>150000</v>
      </c>
      <c r="Z16" s="29" t="n">
        <f aca="false">SUM($E16:K16)</f>
        <v>200000</v>
      </c>
      <c r="AA16" s="29" t="n">
        <f aca="false">SUM($E16:L16)</f>
        <v>250000</v>
      </c>
      <c r="AB16" s="29" t="n">
        <f aca="false">SUM($E16:M16)</f>
        <v>300000</v>
      </c>
      <c r="AC16" s="29" t="n">
        <f aca="false">SUM($E16:N16)</f>
        <v>350000</v>
      </c>
      <c r="AD16" s="29" t="n">
        <f aca="false">SUM($E16:O16)</f>
        <v>400000</v>
      </c>
      <c r="AE16" s="29" t="n">
        <f aca="false">SUM($E16:P16)</f>
        <v>400000</v>
      </c>
      <c r="AG16" s="30" t="n">
        <v>7748.72</v>
      </c>
      <c r="AI16" s="31" t="n">
        <f aca="false">AJ16</f>
        <v>5000</v>
      </c>
      <c r="AJ16" s="31" t="n">
        <v>5000</v>
      </c>
      <c r="AK16" s="31" t="n">
        <v>5000</v>
      </c>
      <c r="AL16" s="31" t="n">
        <v>5000</v>
      </c>
      <c r="AM16" s="31" t="n">
        <v>5000</v>
      </c>
      <c r="AN16" s="32" t="n">
        <v>5000</v>
      </c>
      <c r="AO16" s="30" t="n">
        <f aca="false">SUM(AI16:AN16)</f>
        <v>30000</v>
      </c>
      <c r="AP16" s="33" t="n">
        <f aca="false">SUM(AI16:AN16)+Y16</f>
        <v>180000</v>
      </c>
      <c r="AR16" s="34" t="n">
        <f aca="false">AI16+AG16</f>
        <v>12748.72</v>
      </c>
      <c r="AS16" s="31" t="n">
        <f aca="false">AR16+AJ16</f>
        <v>17748.72</v>
      </c>
      <c r="AT16" s="31" t="n">
        <f aca="false">AS16+AK16</f>
        <v>22748.72</v>
      </c>
      <c r="AU16" s="31" t="n">
        <f aca="false">AT16+AL16</f>
        <v>27748.72</v>
      </c>
      <c r="AV16" s="31" t="n">
        <f aca="false">AU16+AM16</f>
        <v>32748.72</v>
      </c>
      <c r="AW16" s="35" t="n">
        <f aca="false">AV16+AN16</f>
        <v>37748.72</v>
      </c>
    </row>
    <row r="17" customFormat="false" ht="15" hidden="false" customHeight="true" outlineLevel="0" collapsed="false">
      <c r="A17" s="24" t="n">
        <v>9</v>
      </c>
      <c r="B17" s="24" t="s">
        <v>44</v>
      </c>
      <c r="C17" s="25" t="s">
        <v>44</v>
      </c>
      <c r="D17" s="26" t="s">
        <v>32</v>
      </c>
      <c r="E17" s="27" t="n">
        <v>16666.6666666667</v>
      </c>
      <c r="F17" s="27" t="n">
        <v>15873.0158730159</v>
      </c>
      <c r="G17" s="27" t="n">
        <v>18253.9682539683</v>
      </c>
      <c r="H17" s="27" t="n">
        <v>13492.0634920635</v>
      </c>
      <c r="I17" s="27" t="n">
        <v>15873.0158730159</v>
      </c>
      <c r="J17" s="27" t="n">
        <v>17460.3174603175</v>
      </c>
      <c r="K17" s="27" t="n">
        <v>17460.3174603175</v>
      </c>
      <c r="L17" s="27" t="n">
        <v>17460.3174603175</v>
      </c>
      <c r="M17" s="27" t="n">
        <v>15079.3650793651</v>
      </c>
      <c r="N17" s="27" t="n">
        <v>16666.6666666667</v>
      </c>
      <c r="O17" s="27" t="n">
        <v>17460.3174603175</v>
      </c>
      <c r="P17" s="27" t="n">
        <v>18253.9682539683</v>
      </c>
      <c r="Q17" s="28" t="n">
        <f aca="false">SUM(E17:P17)</f>
        <v>200000</v>
      </c>
      <c r="S17" s="29" t="n">
        <f aca="false">SUM(E17:E17)</f>
        <v>16666.6666666667</v>
      </c>
      <c r="U17" s="29" t="n">
        <f aca="false">SUM($E17:F17)</f>
        <v>32539.6825396826</v>
      </c>
      <c r="V17" s="29" t="n">
        <f aca="false">SUM($E17:G17)</f>
        <v>50793.6507936509</v>
      </c>
      <c r="W17" s="29" t="n">
        <f aca="false">SUM($E17:H17)</f>
        <v>64285.7142857144</v>
      </c>
      <c r="X17" s="29" t="n">
        <f aca="false">SUM($E17:I17)</f>
        <v>80158.7301587303</v>
      </c>
      <c r="Y17" s="29" t="n">
        <f aca="false">SUM($E17:J17)</f>
        <v>97619.0476190478</v>
      </c>
      <c r="Z17" s="29" t="n">
        <f aca="false">SUM($E17:K17)</f>
        <v>115079.365079365</v>
      </c>
      <c r="AA17" s="29" t="n">
        <f aca="false">SUM($E17:L17)</f>
        <v>132539.682539683</v>
      </c>
      <c r="AB17" s="29" t="n">
        <f aca="false">SUM($E17:M17)</f>
        <v>147619.047619048</v>
      </c>
      <c r="AC17" s="29" t="n">
        <f aca="false">SUM($E17:N17)</f>
        <v>164285.714285715</v>
      </c>
      <c r="AD17" s="29" t="n">
        <f aca="false">SUM($E17:O17)</f>
        <v>181746.031746032</v>
      </c>
      <c r="AE17" s="29" t="n">
        <f aca="false">SUM($E17:P17)</f>
        <v>200000</v>
      </c>
      <c r="AG17" s="30" t="n">
        <v>89111.1</v>
      </c>
      <c r="AI17" s="31" t="n">
        <f aca="false">AJ17</f>
        <v>25000</v>
      </c>
      <c r="AJ17" s="31" t="n">
        <v>25000</v>
      </c>
      <c r="AK17" s="31" t="n">
        <v>25000</v>
      </c>
      <c r="AL17" s="31" t="n">
        <v>25000</v>
      </c>
      <c r="AM17" s="31" t="n">
        <v>25000</v>
      </c>
      <c r="AN17" s="32" t="n">
        <v>25000</v>
      </c>
      <c r="AO17" s="30" t="n">
        <f aca="false">SUM(AI17:AN17)</f>
        <v>150000</v>
      </c>
      <c r="AP17" s="33" t="n">
        <f aca="false">SUM(AI17:AN17)+Y17</f>
        <v>247619.047619048</v>
      </c>
      <c r="AR17" s="34" t="n">
        <f aca="false">AI17+AG17</f>
        <v>114111.1</v>
      </c>
      <c r="AS17" s="31" t="n">
        <f aca="false">AR17+AJ17</f>
        <v>139111.1</v>
      </c>
      <c r="AT17" s="31" t="n">
        <f aca="false">AS17+AK17</f>
        <v>164111.1</v>
      </c>
      <c r="AU17" s="31" t="n">
        <f aca="false">AT17+AL17</f>
        <v>189111.1</v>
      </c>
      <c r="AV17" s="31" t="n">
        <f aca="false">AU17+AM17</f>
        <v>214111.1</v>
      </c>
      <c r="AW17" s="35" t="n">
        <f aca="false">AV17+AN17</f>
        <v>239111.1</v>
      </c>
    </row>
    <row r="18" customFormat="false" ht="15" hidden="false" customHeight="true" outlineLevel="0" collapsed="false">
      <c r="A18" s="24" t="n">
        <v>2</v>
      </c>
      <c r="B18" s="24" t="s">
        <v>45</v>
      </c>
      <c r="C18" s="25" t="s">
        <v>45</v>
      </c>
      <c r="D18" s="26" t="s">
        <v>32</v>
      </c>
      <c r="E18" s="27" t="n">
        <v>296610.169491525</v>
      </c>
      <c r="F18" s="27" t="n">
        <v>444915.254237288</v>
      </c>
      <c r="G18" s="27" t="n">
        <v>489406.779661017</v>
      </c>
      <c r="H18" s="27" t="n">
        <v>453601.694915254</v>
      </c>
      <c r="I18" s="27" t="n">
        <v>592182.203389831</v>
      </c>
      <c r="J18" s="27" t="n">
        <v>888273.728813559</v>
      </c>
      <c r="K18" s="27" t="n">
        <v>977100.847457627</v>
      </c>
      <c r="L18" s="27" t="n">
        <v>1159556.77966102</v>
      </c>
      <c r="M18" s="27" t="n">
        <v>1012800</v>
      </c>
      <c r="N18" s="27" t="n">
        <v>1300521.18644068</v>
      </c>
      <c r="O18" s="27" t="n">
        <v>1684810.16949153</v>
      </c>
      <c r="P18" s="27" t="n">
        <v>1488884.74576271</v>
      </c>
      <c r="Q18" s="28" t="n">
        <v>10788663.559322</v>
      </c>
      <c r="S18" s="29" t="n">
        <f aca="false">SUM(E18:E18)</f>
        <v>296610.169491525</v>
      </c>
      <c r="U18" s="29" t="n">
        <f aca="false">SUM($E18:F18)</f>
        <v>741525.423728813</v>
      </c>
      <c r="V18" s="29" t="n">
        <f aca="false">SUM($E18:G18)</f>
        <v>1230932.20338983</v>
      </c>
      <c r="W18" s="29" t="n">
        <f aca="false">SUM($E18:H18)</f>
        <v>1684533.89830508</v>
      </c>
      <c r="X18" s="29" t="n">
        <f aca="false">SUM($E18:I18)</f>
        <v>2276716.10169492</v>
      </c>
      <c r="Y18" s="29" t="n">
        <f aca="false">SUM($E18:J18)</f>
        <v>3164989.83050847</v>
      </c>
      <c r="Z18" s="29" t="n">
        <f aca="false">SUM($E18:K18)</f>
        <v>4142090.6779661</v>
      </c>
      <c r="AA18" s="29" t="n">
        <f aca="false">SUM($E18:L18)</f>
        <v>5301647.45762712</v>
      </c>
      <c r="AB18" s="29" t="n">
        <f aca="false">SUM($E18:M18)</f>
        <v>6314447.45762712</v>
      </c>
      <c r="AC18" s="29" t="n">
        <f aca="false">SUM($E18:N18)</f>
        <v>7614968.6440678</v>
      </c>
      <c r="AD18" s="29" t="n">
        <f aca="false">SUM($E18:O18)</f>
        <v>9299778.81355933</v>
      </c>
      <c r="AE18" s="29" t="n">
        <f aca="false">SUM($E18:P18)</f>
        <v>10788663.559322</v>
      </c>
      <c r="AG18" s="30" t="n">
        <v>2231238.20000003</v>
      </c>
      <c r="AI18" s="31" t="n">
        <v>450000</v>
      </c>
      <c r="AJ18" s="31" t="n">
        <v>481500</v>
      </c>
      <c r="AK18" s="31" t="n">
        <v>977100.847457627</v>
      </c>
      <c r="AL18" s="31" t="n">
        <v>1159556.77966102</v>
      </c>
      <c r="AM18" s="31" t="n">
        <v>1012800</v>
      </c>
      <c r="AN18" s="32" t="n">
        <v>1300521.18644068</v>
      </c>
      <c r="AO18" s="30" t="n">
        <f aca="false">SUM(AI18:AN18)</f>
        <v>5381478.81355933</v>
      </c>
      <c r="AP18" s="33" t="n">
        <f aca="false">SUM(AI18:AN18)+Y18</f>
        <v>8546468.6440678</v>
      </c>
      <c r="AR18" s="34" t="n">
        <f aca="false">AI18+AG18</f>
        <v>2681238.20000003</v>
      </c>
      <c r="AS18" s="31" t="n">
        <f aca="false">AR18+AJ18</f>
        <v>3162738.20000003</v>
      </c>
      <c r="AT18" s="31" t="n">
        <f aca="false">AS18+AK18</f>
        <v>4139839.04745766</v>
      </c>
      <c r="AU18" s="31" t="n">
        <f aca="false">AT18+AL18</f>
        <v>5299395.82711868</v>
      </c>
      <c r="AV18" s="31" t="n">
        <f aca="false">AU18+AM18</f>
        <v>6312195.82711868</v>
      </c>
      <c r="AW18" s="35" t="n">
        <f aca="false">AV18+AN18</f>
        <v>7612717.01355936</v>
      </c>
    </row>
    <row r="19" customFormat="false" ht="15" hidden="false" customHeight="true" outlineLevel="0" collapsed="false">
      <c r="A19" s="38" t="n">
        <v>12</v>
      </c>
      <c r="B19" s="38" t="s">
        <v>46</v>
      </c>
      <c r="C19" s="39" t="s">
        <v>46</v>
      </c>
      <c r="D19" s="26" t="s">
        <v>32</v>
      </c>
      <c r="E19" s="27" t="n">
        <v>2536.92833333333</v>
      </c>
      <c r="F19" s="27" t="n">
        <v>2536.92833333333</v>
      </c>
      <c r="G19" s="27" t="n">
        <v>2536.92833333333</v>
      </c>
      <c r="H19" s="27" t="n">
        <v>2536.92833333333</v>
      </c>
      <c r="I19" s="27" t="n">
        <v>2536.92833333333</v>
      </c>
      <c r="J19" s="27" t="n">
        <v>2536.92833333333</v>
      </c>
      <c r="K19" s="27" t="n">
        <v>2536.92833333333</v>
      </c>
      <c r="L19" s="27" t="n">
        <v>2536.92833333333</v>
      </c>
      <c r="M19" s="27" t="n">
        <v>2536.92833333333</v>
      </c>
      <c r="N19" s="27" t="n">
        <v>2536.92833333333</v>
      </c>
      <c r="O19" s="27" t="n">
        <v>2536.92833333333</v>
      </c>
      <c r="P19" s="27" t="n">
        <v>2536.92833333333</v>
      </c>
      <c r="Q19" s="28" t="n">
        <v>30443.14</v>
      </c>
      <c r="S19" s="29" t="n">
        <f aca="false">SUM(E19:E19)</f>
        <v>2536.92833333333</v>
      </c>
      <c r="U19" s="29" t="n">
        <f aca="false">SUM($E19:F19)</f>
        <v>5073.85666666666</v>
      </c>
      <c r="V19" s="29" t="n">
        <f aca="false">SUM($E19:G19)</f>
        <v>7610.78499999999</v>
      </c>
      <c r="W19" s="29" t="n">
        <f aca="false">SUM($E19:H19)</f>
        <v>10147.7133333333</v>
      </c>
      <c r="X19" s="29" t="n">
        <f aca="false">SUM($E19:I19)</f>
        <v>12684.6416666667</v>
      </c>
      <c r="Y19" s="29" t="n">
        <f aca="false">SUM($E19:J19)</f>
        <v>15221.57</v>
      </c>
      <c r="Z19" s="29" t="n">
        <f aca="false">SUM($E19:K19)</f>
        <v>17758.4983333333</v>
      </c>
      <c r="AA19" s="29" t="n">
        <f aca="false">SUM($E19:L19)</f>
        <v>20295.4266666666</v>
      </c>
      <c r="AB19" s="29" t="n">
        <f aca="false">SUM($E19:M19)</f>
        <v>22832.355</v>
      </c>
      <c r="AC19" s="29" t="n">
        <f aca="false">SUM($E19:N19)</f>
        <v>25369.2833333333</v>
      </c>
      <c r="AD19" s="29" t="n">
        <f aca="false">SUM($E19:O19)</f>
        <v>27906.2116666666</v>
      </c>
      <c r="AE19" s="29" t="n">
        <f aca="false">SUM($E19:P19)</f>
        <v>30443.14</v>
      </c>
      <c r="AG19" s="30" t="n">
        <v>9807.02</v>
      </c>
      <c r="AI19" s="31" t="n">
        <f aca="false">AJ19</f>
        <v>5000</v>
      </c>
      <c r="AJ19" s="31" t="n">
        <v>5000</v>
      </c>
      <c r="AK19" s="31" t="n">
        <v>5000</v>
      </c>
      <c r="AL19" s="31" t="n">
        <v>5000</v>
      </c>
      <c r="AM19" s="31" t="n">
        <v>5000</v>
      </c>
      <c r="AN19" s="32" t="n">
        <v>5000</v>
      </c>
      <c r="AO19" s="30" t="n">
        <f aca="false">SUM(AI19:AN19)</f>
        <v>30000</v>
      </c>
      <c r="AP19" s="33" t="n">
        <f aca="false">SUM(AI19:AN19)+Y19</f>
        <v>45221.57</v>
      </c>
      <c r="AR19" s="34" t="n">
        <f aca="false">AI19+AG19</f>
        <v>14807.02</v>
      </c>
      <c r="AS19" s="31" t="n">
        <f aca="false">AR19+AJ19</f>
        <v>19807.02</v>
      </c>
      <c r="AT19" s="31" t="n">
        <f aca="false">AS19+AK19</f>
        <v>24807.02</v>
      </c>
      <c r="AU19" s="31" t="n">
        <f aca="false">AT19+AL19</f>
        <v>29807.02</v>
      </c>
      <c r="AV19" s="31" t="n">
        <f aca="false">AU19+AM19</f>
        <v>34807.02</v>
      </c>
      <c r="AW19" s="35" t="n">
        <f aca="false">AV19+AN19</f>
        <v>39807.02</v>
      </c>
    </row>
    <row r="20" customFormat="false" ht="15.75" hidden="false" customHeight="true" outlineLevel="0" collapsed="false">
      <c r="A20" s="40" t="n">
        <v>15</v>
      </c>
      <c r="B20" s="24" t="s">
        <v>47</v>
      </c>
      <c r="C20" s="25" t="s">
        <v>47</v>
      </c>
      <c r="D20" s="26" t="s">
        <v>32</v>
      </c>
      <c r="E20" s="27" t="n">
        <v>0</v>
      </c>
      <c r="F20" s="27" t="n">
        <v>0</v>
      </c>
      <c r="G20" s="27" t="n">
        <v>0</v>
      </c>
      <c r="H20" s="27" t="n">
        <v>12500</v>
      </c>
      <c r="I20" s="27" t="n">
        <v>0</v>
      </c>
      <c r="J20" s="27" t="n">
        <v>0</v>
      </c>
      <c r="K20" s="27" t="n">
        <v>0</v>
      </c>
      <c r="L20" s="27" t="n">
        <v>0</v>
      </c>
      <c r="M20" s="27" t="n">
        <v>0</v>
      </c>
      <c r="N20" s="27" t="n">
        <v>0</v>
      </c>
      <c r="O20" s="27" t="n">
        <v>12500</v>
      </c>
      <c r="P20" s="27" t="n">
        <v>0</v>
      </c>
      <c r="Q20" s="28" t="n">
        <f aca="false">SUM(E20:P20)</f>
        <v>25000</v>
      </c>
      <c r="S20" s="29" t="n">
        <f aca="false">SUM(E20:E20)</f>
        <v>0</v>
      </c>
      <c r="U20" s="29" t="n">
        <f aca="false">SUM($E20:F20)</f>
        <v>0</v>
      </c>
      <c r="V20" s="29" t="n">
        <f aca="false">SUM($E20:G20)</f>
        <v>0</v>
      </c>
      <c r="W20" s="29" t="n">
        <f aca="false">SUM($E20:H20)</f>
        <v>12500</v>
      </c>
      <c r="X20" s="29" t="n">
        <f aca="false">SUM($E20:I20)</f>
        <v>12500</v>
      </c>
      <c r="Y20" s="29" t="n">
        <f aca="false">SUM($E20:J20)</f>
        <v>12500</v>
      </c>
      <c r="Z20" s="29" t="n">
        <f aca="false">SUM($E20:K20)</f>
        <v>12500</v>
      </c>
      <c r="AA20" s="29" t="n">
        <f aca="false">SUM($E20:L20)</f>
        <v>12500</v>
      </c>
      <c r="AB20" s="29" t="n">
        <f aca="false">SUM($E20:M20)</f>
        <v>12500</v>
      </c>
      <c r="AC20" s="29" t="n">
        <f aca="false">SUM($E20:N20)</f>
        <v>12500</v>
      </c>
      <c r="AD20" s="29" t="n">
        <f aca="false">SUM($E20:O20)</f>
        <v>25000</v>
      </c>
      <c r="AE20" s="29" t="n">
        <f aca="false">SUM($E20:P20)</f>
        <v>25000</v>
      </c>
      <c r="AG20" s="30" t="n">
        <v>1896.82</v>
      </c>
      <c r="AI20" s="41" t="n">
        <f aca="false">AJ20</f>
        <v>5000</v>
      </c>
      <c r="AJ20" s="41" t="n">
        <v>5000</v>
      </c>
      <c r="AK20" s="41" t="n">
        <v>5000</v>
      </c>
      <c r="AL20" s="41" t="n">
        <v>5000</v>
      </c>
      <c r="AM20" s="41" t="n">
        <v>5000</v>
      </c>
      <c r="AN20" s="42" t="n">
        <v>5000</v>
      </c>
      <c r="AO20" s="43" t="n">
        <f aca="false">SUM(AI20:AN20)</f>
        <v>30000</v>
      </c>
      <c r="AP20" s="44" t="n">
        <f aca="false">SUM(AI20:AN20)+Y20</f>
        <v>42500</v>
      </c>
      <c r="AR20" s="45" t="n">
        <f aca="false">AI20+AG20</f>
        <v>6896.82</v>
      </c>
      <c r="AS20" s="31" t="n">
        <f aca="false">AR20+AJ20</f>
        <v>11896.82</v>
      </c>
      <c r="AT20" s="31" t="n">
        <f aca="false">AS20+AK20</f>
        <v>16896.82</v>
      </c>
      <c r="AU20" s="31" t="n">
        <f aca="false">AT20+AL20</f>
        <v>21896.82</v>
      </c>
      <c r="AV20" s="31" t="n">
        <f aca="false">AU20+AM20</f>
        <v>26896.82</v>
      </c>
      <c r="AW20" s="35" t="n">
        <f aca="false">AV20+AN20</f>
        <v>31896.82</v>
      </c>
    </row>
    <row r="21" customFormat="false" ht="15" hidden="false" customHeight="true" outlineLevel="0" collapsed="false">
      <c r="A21" s="46"/>
      <c r="B21" s="46" t="s">
        <v>48</v>
      </c>
      <c r="C21" s="46"/>
      <c r="D21" s="46"/>
      <c r="E21" s="47" t="n">
        <f aca="false">SUM(E5:E20)</f>
        <v>1852563.76449153</v>
      </c>
      <c r="F21" s="47" t="n">
        <f aca="false">SUM(F5:F20)</f>
        <v>2046896.62701507</v>
      </c>
      <c r="G21" s="47" t="n">
        <f aca="false">SUM(G5:G20)</f>
        <v>2233304.81910546</v>
      </c>
      <c r="H21" s="47" t="n">
        <f aca="false">SUM(H5:H20)</f>
        <v>1997166.40102637</v>
      </c>
      <c r="I21" s="47" t="n">
        <f aca="false">SUM(I5:I20)</f>
        <v>2297163.57616761</v>
      </c>
      <c r="J21" s="47" t="n">
        <f aca="false">SUM(J5:J20)</f>
        <v>2723199.54603578</v>
      </c>
      <c r="K21" s="47" t="n">
        <f aca="false">SUM(K5:K20)</f>
        <v>2812026.66467985</v>
      </c>
      <c r="L21" s="47" t="n">
        <f aca="false">SUM(L5:L20)</f>
        <v>2994482.59688324</v>
      </c>
      <c r="M21" s="47" t="n">
        <f aca="false">SUM(M5:M20)</f>
        <v>2685809.15055556</v>
      </c>
      <c r="N21" s="47" t="n">
        <f aca="false">SUM(N5:N20)</f>
        <v>3047474.78144068</v>
      </c>
      <c r="O21" s="47" t="n">
        <f aca="false">SUM(O5:O20)</f>
        <v>3501235.98671375</v>
      </c>
      <c r="P21" s="47" t="n">
        <f aca="false">SUM(P5:P20)</f>
        <v>3268782.78520716</v>
      </c>
      <c r="Q21" s="48" t="n">
        <f aca="false">SUM(Q5:Q20)</f>
        <v>31460106.699322</v>
      </c>
      <c r="S21" s="48" t="n">
        <f aca="false">SUM(S5:S20)</f>
        <v>1852563.76449152</v>
      </c>
      <c r="U21" s="48" t="n">
        <f aca="false">SUM(U5:U20)</f>
        <v>3899460.39150659</v>
      </c>
      <c r="V21" s="48" t="n">
        <f aca="false">SUM(V5:V20)</f>
        <v>6132765.21061205</v>
      </c>
      <c r="W21" s="48" t="n">
        <f aca="false">SUM(W5:W20)</f>
        <v>8129931.61163842</v>
      </c>
      <c r="X21" s="48" t="n">
        <f aca="false">SUM(X5:X20)</f>
        <v>10427095.187806</v>
      </c>
      <c r="Y21" s="48" t="n">
        <f aca="false">SUM(Y5:Y20)</f>
        <v>13150294.7338418</v>
      </c>
      <c r="Z21" s="48" t="n">
        <f aca="false">SUM(Z5:Z20)</f>
        <v>15962321.3985217</v>
      </c>
      <c r="AA21" s="48" t="n">
        <f aca="false">SUM(AA5:AA20)</f>
        <v>18956803.9954049</v>
      </c>
      <c r="AB21" s="48" t="n">
        <f aca="false">SUM(AB5:AB20)</f>
        <v>21642613.1459605</v>
      </c>
      <c r="AC21" s="48" t="n">
        <f aca="false">SUM(AC5:AC20)</f>
        <v>24690087.9274011</v>
      </c>
      <c r="AD21" s="48" t="n">
        <f aca="false">SUM(AD5:AD20)</f>
        <v>28191323.9141149</v>
      </c>
      <c r="AE21" s="48" t="n">
        <f aca="false">SUM(AE5:AE20)</f>
        <v>31460106.699322</v>
      </c>
      <c r="AG21" s="49" t="n">
        <f aca="false">SUM(AG5:AG20)</f>
        <v>9870594.26700003</v>
      </c>
      <c r="AI21" s="50" t="n">
        <f aca="false">SUM(AI5:AI20)</f>
        <v>2100000</v>
      </c>
      <c r="AJ21" s="51" t="n">
        <f aca="false">SUM(AJ5:AJ20)</f>
        <v>2131500</v>
      </c>
      <c r="AK21" s="51" t="n">
        <f aca="false">SUM(AK5:AK20)</f>
        <v>2627100.84745763</v>
      </c>
      <c r="AL21" s="51" t="n">
        <f aca="false">SUM(AL5:AL20)</f>
        <v>2809556.77966102</v>
      </c>
      <c r="AM21" s="51" t="n">
        <f aca="false">SUM(AM5:AM20)</f>
        <v>2662800</v>
      </c>
      <c r="AN21" s="52" t="n">
        <f aca="false">SUM(AN5:AN20)</f>
        <v>2950521.18644068</v>
      </c>
      <c r="AO21" s="53" t="n">
        <f aca="false">SUM(AO5:AO20)</f>
        <v>15281478.8135593</v>
      </c>
      <c r="AP21" s="54" t="n">
        <f aca="false">SUM(AP5:AP20)</f>
        <v>28431773.5474011</v>
      </c>
      <c r="AR21" s="53" t="n">
        <f aca="false">AI21+AG21</f>
        <v>11970594.267</v>
      </c>
      <c r="AS21" s="51" t="n">
        <f aca="false">AR21+AJ21</f>
        <v>14102094.267</v>
      </c>
      <c r="AT21" s="51" t="n">
        <f aca="false">AS21+AK21</f>
        <v>16729195.1144577</v>
      </c>
      <c r="AU21" s="51" t="n">
        <f aca="false">AT21+AL21</f>
        <v>19538751.8941187</v>
      </c>
      <c r="AV21" s="51" t="n">
        <f aca="false">AU21+AM21</f>
        <v>22201551.8941187</v>
      </c>
      <c r="AW21" s="55" t="n">
        <f aca="false">AV21+AN21</f>
        <v>25152073.0805594</v>
      </c>
    </row>
    <row r="22" s="5" customFormat="true" ht="15" hidden="false" customHeight="true" outlineLevel="0" collapsed="false">
      <c r="A22" s="56" t="n">
        <v>50</v>
      </c>
      <c r="B22" s="57" t="s">
        <v>49</v>
      </c>
      <c r="C22" s="58" t="s">
        <v>50</v>
      </c>
      <c r="D22" s="59" t="s">
        <v>51</v>
      </c>
      <c r="E22" s="27" t="n">
        <v>272275.1101125</v>
      </c>
      <c r="F22" s="27" t="n">
        <v>312309.9243</v>
      </c>
      <c r="G22" s="27" t="n">
        <v>332824.444425</v>
      </c>
      <c r="H22" s="27" t="n">
        <v>367136.1903</v>
      </c>
      <c r="I22" s="27" t="n">
        <v>398486.4708</v>
      </c>
      <c r="J22" s="27" t="n">
        <v>428463.7533</v>
      </c>
      <c r="K22" s="27" t="n">
        <v>461212.916175</v>
      </c>
      <c r="L22" s="27" t="n">
        <v>481801.946175</v>
      </c>
      <c r="M22" s="27" t="n">
        <v>477395.46855</v>
      </c>
      <c r="N22" s="27" t="n">
        <v>443955.5208</v>
      </c>
      <c r="O22" s="27" t="n">
        <v>398561.0817375</v>
      </c>
      <c r="P22" s="27" t="n">
        <v>402156.5266125</v>
      </c>
      <c r="Q22" s="28" t="n">
        <v>4776579.3532875</v>
      </c>
      <c r="R22" s="31"/>
      <c r="S22" s="29" t="n">
        <f aca="false">SUM(E22:E22)</f>
        <v>272275.1101125</v>
      </c>
      <c r="U22" s="29" t="n">
        <f aca="false">SUM($E22:F22)</f>
        <v>584585.0344125</v>
      </c>
      <c r="V22" s="29" t="n">
        <f aca="false">SUM($E22:G22)</f>
        <v>917409.4788375</v>
      </c>
      <c r="W22" s="29" t="n">
        <f aca="false">SUM($E22:H22)</f>
        <v>1284545.6691375</v>
      </c>
      <c r="X22" s="29" t="n">
        <f aca="false">SUM($E22:I22)</f>
        <v>1683032.1399375</v>
      </c>
      <c r="Y22" s="29" t="n">
        <f aca="false">SUM($E22:J22)</f>
        <v>2111495.8932375</v>
      </c>
      <c r="Z22" s="29" t="n">
        <f aca="false">SUM($E22:K22)</f>
        <v>2572708.8094125</v>
      </c>
      <c r="AA22" s="29" t="n">
        <f aca="false">SUM($E22:L22)</f>
        <v>3054510.7555875</v>
      </c>
      <c r="AB22" s="29" t="n">
        <f aca="false">SUM($E22:M22)</f>
        <v>3531906.2241375</v>
      </c>
      <c r="AC22" s="29" t="n">
        <f aca="false">SUM($E22:N22)</f>
        <v>3975861.7449375</v>
      </c>
      <c r="AD22" s="29" t="n">
        <f aca="false">SUM($E22:O22)</f>
        <v>4374422.826675</v>
      </c>
      <c r="AE22" s="29" t="n">
        <f aca="false">SUM($E22:P22)</f>
        <v>4776579.3532875</v>
      </c>
      <c r="AG22" s="30" t="n">
        <v>1254357.41</v>
      </c>
      <c r="AI22" s="60" t="n">
        <v>265966.8</v>
      </c>
      <c r="AJ22" s="60" t="n">
        <v>305012.4</v>
      </c>
      <c r="AK22" s="60" t="n">
        <v>327115.8</v>
      </c>
      <c r="AL22" s="60" t="n">
        <v>321888.6</v>
      </c>
      <c r="AM22" s="60" t="n">
        <v>326122.5</v>
      </c>
      <c r="AN22" s="61" t="n">
        <v>297561</v>
      </c>
      <c r="AO22" s="62" t="n">
        <f aca="false">SUM(AI22:AN22)</f>
        <v>1843667.1</v>
      </c>
      <c r="AP22" s="63" t="n">
        <f aca="false">SUM(AI22:AN22)+Y22</f>
        <v>3955162.9932375</v>
      </c>
      <c r="AR22" s="64" t="n">
        <f aca="false">AI22+AG22</f>
        <v>1520324.21</v>
      </c>
      <c r="AS22" s="31" t="n">
        <f aca="false">AR22+AJ22</f>
        <v>1825336.61</v>
      </c>
      <c r="AT22" s="31" t="n">
        <f aca="false">AS22+AK22</f>
        <v>2152452.41</v>
      </c>
      <c r="AU22" s="31" t="n">
        <f aca="false">AT22+AL22</f>
        <v>2474341.01</v>
      </c>
      <c r="AV22" s="31" t="n">
        <f aca="false">AU22+AM22</f>
        <v>2800463.51</v>
      </c>
      <c r="AW22" s="35" t="n">
        <f aca="false">AV22+AN22</f>
        <v>3098024.51</v>
      </c>
    </row>
    <row r="23" customFormat="false" ht="15" hidden="false" customHeight="true" outlineLevel="0" collapsed="false">
      <c r="A23" s="24" t="n">
        <v>20</v>
      </c>
      <c r="B23" s="65" t="s">
        <v>52</v>
      </c>
      <c r="C23" s="58" t="s">
        <v>53</v>
      </c>
      <c r="D23" s="26" t="s">
        <v>54</v>
      </c>
      <c r="E23" s="27"/>
      <c r="F23" s="27" t="n">
        <f aca="false">980000*0.24</f>
        <v>235200</v>
      </c>
      <c r="G23" s="27"/>
      <c r="H23" s="27"/>
      <c r="I23" s="27" t="n">
        <f aca="false">980000*0.24</f>
        <v>235200</v>
      </c>
      <c r="J23" s="27"/>
      <c r="K23" s="27" t="n">
        <f aca="false">980000*0.21</f>
        <v>205800</v>
      </c>
      <c r="L23" s="27"/>
      <c r="M23" s="27"/>
      <c r="N23" s="27" t="n">
        <f aca="false">980000*0.16</f>
        <v>156800</v>
      </c>
      <c r="O23" s="27"/>
      <c r="P23" s="27" t="n">
        <f aca="false">980000*0.15</f>
        <v>147000</v>
      </c>
      <c r="Q23" s="28" t="n">
        <f aca="false">SUM(E23:P23)</f>
        <v>980000</v>
      </c>
      <c r="R23" s="31" t="n">
        <v>980000</v>
      </c>
      <c r="S23" s="29" t="n">
        <f aca="false">SUM(E23:E23)</f>
        <v>0</v>
      </c>
      <c r="T23" s="5"/>
      <c r="U23" s="29" t="n">
        <f aca="false">SUM($E23:F23)</f>
        <v>235200</v>
      </c>
      <c r="V23" s="29" t="n">
        <f aca="false">SUM($E23:G23)</f>
        <v>235200</v>
      </c>
      <c r="W23" s="29" t="n">
        <f aca="false">SUM($E23:H23)</f>
        <v>235200</v>
      </c>
      <c r="X23" s="29" t="n">
        <f aca="false">SUM($E23:I23)</f>
        <v>470400</v>
      </c>
      <c r="Y23" s="29" t="n">
        <f aca="false">SUM($E23:J23)</f>
        <v>470400</v>
      </c>
      <c r="Z23" s="29" t="n">
        <f aca="false">SUM($E23:K23)</f>
        <v>676200</v>
      </c>
      <c r="AA23" s="29" t="n">
        <f aca="false">SUM($E23:L23)</f>
        <v>676200</v>
      </c>
      <c r="AB23" s="29" t="n">
        <f aca="false">SUM($E23:M23)</f>
        <v>676200</v>
      </c>
      <c r="AC23" s="29" t="n">
        <f aca="false">SUM($E23:N23)</f>
        <v>833000</v>
      </c>
      <c r="AD23" s="29" t="n">
        <f aca="false">SUM($E23:O23)</f>
        <v>833000</v>
      </c>
      <c r="AE23" s="29" t="n">
        <f aca="false">SUM($E23:P23)</f>
        <v>980000</v>
      </c>
      <c r="AG23" s="30" t="n">
        <v>342081.02</v>
      </c>
      <c r="AI23" s="31" t="n">
        <v>0</v>
      </c>
      <c r="AJ23" s="31" t="n">
        <v>130000</v>
      </c>
      <c r="AK23" s="31" t="n">
        <v>0</v>
      </c>
      <c r="AL23" s="31" t="n">
        <v>300000</v>
      </c>
      <c r="AM23" s="31" t="n">
        <v>0</v>
      </c>
      <c r="AN23" s="32" t="n">
        <v>150000</v>
      </c>
      <c r="AO23" s="30" t="n">
        <f aca="false">SUM(AI23:AN23)</f>
        <v>580000</v>
      </c>
      <c r="AP23" s="33" t="n">
        <f aca="false">SUM(AI23:AN23)+Y23</f>
        <v>1050400</v>
      </c>
      <c r="AR23" s="34" t="n">
        <f aca="false">AI23+AG23</f>
        <v>342081.02</v>
      </c>
      <c r="AS23" s="31" t="n">
        <f aca="false">AR23+AJ23</f>
        <v>472081.02</v>
      </c>
      <c r="AT23" s="31" t="n">
        <f aca="false">AS23+AK23</f>
        <v>472081.02</v>
      </c>
      <c r="AU23" s="31" t="n">
        <f aca="false">AT23+AL23</f>
        <v>772081.02</v>
      </c>
      <c r="AV23" s="31" t="n">
        <f aca="false">AU23+AM23</f>
        <v>772081.02</v>
      </c>
      <c r="AW23" s="35" t="n">
        <f aca="false">AV23+AN23</f>
        <v>922081.02</v>
      </c>
    </row>
    <row r="24" customFormat="false" ht="15" hidden="false" customHeight="true" outlineLevel="0" collapsed="false">
      <c r="A24" s="24" t="n">
        <v>21</v>
      </c>
      <c r="B24" s="65" t="s">
        <v>55</v>
      </c>
      <c r="C24" s="58" t="s">
        <v>56</v>
      </c>
      <c r="D24" s="26" t="s">
        <v>57</v>
      </c>
      <c r="E24" s="27" t="n">
        <v>124895.37</v>
      </c>
      <c r="F24" s="27" t="n">
        <f aca="false">3779*3.1</f>
        <v>11714.9</v>
      </c>
      <c r="G24" s="27" t="n">
        <v>15000</v>
      </c>
      <c r="H24" s="27" t="n">
        <v>100000</v>
      </c>
      <c r="I24" s="27" t="n">
        <v>15000</v>
      </c>
      <c r="J24" s="27" t="n">
        <v>35000</v>
      </c>
      <c r="K24" s="27" t="n">
        <v>13390</v>
      </c>
      <c r="L24" s="27" t="n">
        <v>120000</v>
      </c>
      <c r="M24" s="27" t="n">
        <v>15000</v>
      </c>
      <c r="N24" s="27"/>
      <c r="O24" s="27" t="n">
        <v>200000</v>
      </c>
      <c r="P24" s="27"/>
      <c r="Q24" s="28" t="n">
        <f aca="false">SUM(E24:P24)</f>
        <v>650000.27</v>
      </c>
      <c r="R24" s="31" t="n">
        <v>650000</v>
      </c>
      <c r="S24" s="29" t="n">
        <f aca="false">SUM(E24:E24)</f>
        <v>124895.37</v>
      </c>
      <c r="T24" s="5"/>
      <c r="U24" s="29" t="n">
        <f aca="false">SUM($E24:F24)</f>
        <v>136610.27</v>
      </c>
      <c r="V24" s="29" t="n">
        <f aca="false">SUM($E24:G24)</f>
        <v>151610.27</v>
      </c>
      <c r="W24" s="29" t="n">
        <f aca="false">SUM($E24:H24)</f>
        <v>251610.27</v>
      </c>
      <c r="X24" s="29" t="n">
        <f aca="false">SUM($E24:I24)</f>
        <v>266610.27</v>
      </c>
      <c r="Y24" s="29" t="n">
        <f aca="false">SUM($E24:J24)</f>
        <v>301610.27</v>
      </c>
      <c r="Z24" s="29" t="n">
        <f aca="false">SUM($E24:K24)</f>
        <v>315000.27</v>
      </c>
      <c r="AA24" s="29" t="n">
        <f aca="false">SUM($E24:L24)</f>
        <v>435000.27</v>
      </c>
      <c r="AB24" s="29" t="n">
        <f aca="false">SUM($E24:M24)</f>
        <v>450000.27</v>
      </c>
      <c r="AC24" s="29" t="n">
        <f aca="false">SUM($E24:N24)</f>
        <v>450000.27</v>
      </c>
      <c r="AD24" s="29" t="n">
        <f aca="false">SUM($E24:O24)</f>
        <v>650000.27</v>
      </c>
      <c r="AE24" s="29" t="n">
        <f aca="false">SUM($E24:P24)</f>
        <v>650000.27</v>
      </c>
      <c r="AG24" s="30" t="n">
        <v>333276.52</v>
      </c>
      <c r="AI24" s="31" t="n">
        <v>0</v>
      </c>
      <c r="AJ24" s="31" t="n">
        <v>20000</v>
      </c>
      <c r="AK24" s="31" t="n">
        <v>40000</v>
      </c>
      <c r="AL24" s="31" t="n">
        <v>0</v>
      </c>
      <c r="AM24" s="31" t="n">
        <v>220000</v>
      </c>
      <c r="AN24" s="32" t="n">
        <v>0</v>
      </c>
      <c r="AO24" s="30" t="n">
        <f aca="false">SUM(AI24:AN24)</f>
        <v>280000</v>
      </c>
      <c r="AP24" s="33" t="n">
        <f aca="false">SUM(AI24:AN24)+Y24</f>
        <v>581610.27</v>
      </c>
      <c r="AR24" s="34" t="n">
        <f aca="false">AI24+AG24</f>
        <v>333276.52</v>
      </c>
      <c r="AS24" s="31" t="n">
        <f aca="false">AR24+AJ24</f>
        <v>353276.52</v>
      </c>
      <c r="AT24" s="31" t="n">
        <f aca="false">AS24+AK24</f>
        <v>393276.52</v>
      </c>
      <c r="AU24" s="31" t="n">
        <f aca="false">AT24+AL24</f>
        <v>393276.52</v>
      </c>
      <c r="AV24" s="31" t="n">
        <f aca="false">AU24+AM24</f>
        <v>613276.52</v>
      </c>
      <c r="AW24" s="35" t="n">
        <f aca="false">AV24+AN24</f>
        <v>613276.52</v>
      </c>
    </row>
    <row r="25" customFormat="false" ht="15" hidden="false" customHeight="true" outlineLevel="0" collapsed="false">
      <c r="A25" s="24" t="n">
        <v>22</v>
      </c>
      <c r="B25" s="65" t="s">
        <v>58</v>
      </c>
      <c r="C25" s="58" t="s">
        <v>59</v>
      </c>
      <c r="D25" s="26" t="s">
        <v>60</v>
      </c>
      <c r="E25" s="27" t="n">
        <v>67158.97</v>
      </c>
      <c r="F25" s="27"/>
      <c r="G25" s="27" t="n">
        <v>95000</v>
      </c>
      <c r="H25" s="27"/>
      <c r="I25" s="27" t="n">
        <v>85000</v>
      </c>
      <c r="J25" s="27"/>
      <c r="K25" s="27" t="n">
        <v>85000</v>
      </c>
      <c r="L25" s="27"/>
      <c r="M25" s="27" t="n">
        <v>85000</v>
      </c>
      <c r="N25" s="27"/>
      <c r="O25" s="27" t="n">
        <v>82841</v>
      </c>
      <c r="P25" s="27"/>
      <c r="Q25" s="28" t="n">
        <f aca="false">SUM(E25:P25)</f>
        <v>499999.97</v>
      </c>
      <c r="R25" s="31" t="n">
        <v>500000</v>
      </c>
      <c r="S25" s="29" t="n">
        <f aca="false">SUM(E25:E25)</f>
        <v>67158.97</v>
      </c>
      <c r="T25" s="5"/>
      <c r="U25" s="29" t="n">
        <f aca="false">SUM($E25:F25)</f>
        <v>67158.97</v>
      </c>
      <c r="V25" s="29" t="n">
        <f aca="false">SUM($E25:G25)</f>
        <v>162158.97</v>
      </c>
      <c r="W25" s="29" t="n">
        <f aca="false">SUM($E25:H25)</f>
        <v>162158.97</v>
      </c>
      <c r="X25" s="29" t="n">
        <f aca="false">SUM($E25:I25)</f>
        <v>247158.97</v>
      </c>
      <c r="Y25" s="29" t="n">
        <f aca="false">SUM($E25:J25)</f>
        <v>247158.97</v>
      </c>
      <c r="Z25" s="29" t="n">
        <f aca="false">SUM($E25:K25)</f>
        <v>332158.97</v>
      </c>
      <c r="AA25" s="29" t="n">
        <f aca="false">SUM($E25:L25)</f>
        <v>332158.97</v>
      </c>
      <c r="AB25" s="29" t="n">
        <f aca="false">SUM($E25:M25)</f>
        <v>417158.97</v>
      </c>
      <c r="AC25" s="29" t="n">
        <f aca="false">SUM($E25:N25)</f>
        <v>417158.97</v>
      </c>
      <c r="AD25" s="29" t="n">
        <f aca="false">SUM($E25:O25)</f>
        <v>499999.97</v>
      </c>
      <c r="AE25" s="29" t="n">
        <f aca="false">SUM($E25:P25)</f>
        <v>499999.97</v>
      </c>
      <c r="AG25" s="30" t="n">
        <v>307053.13</v>
      </c>
      <c r="AI25" s="31" t="n">
        <v>0</v>
      </c>
      <c r="AJ25" s="31" t="n">
        <v>0</v>
      </c>
      <c r="AK25" s="31" t="n">
        <v>75000</v>
      </c>
      <c r="AL25" s="31" t="n">
        <v>0</v>
      </c>
      <c r="AM25" s="31" t="n">
        <v>75000</v>
      </c>
      <c r="AN25" s="32" t="n">
        <v>0</v>
      </c>
      <c r="AO25" s="30" t="n">
        <f aca="false">SUM(AI25:AN25)</f>
        <v>150000</v>
      </c>
      <c r="AP25" s="33" t="n">
        <f aca="false">SUM(AI25:AN25)+Y25</f>
        <v>397158.97</v>
      </c>
      <c r="AR25" s="34" t="n">
        <f aca="false">AI25+AG25</f>
        <v>307053.13</v>
      </c>
      <c r="AS25" s="31" t="n">
        <f aca="false">AR25+AJ25</f>
        <v>307053.13</v>
      </c>
      <c r="AT25" s="31" t="n">
        <f aca="false">AS25+AK25</f>
        <v>382053.13</v>
      </c>
      <c r="AU25" s="31" t="n">
        <f aca="false">AT25+AL25</f>
        <v>382053.13</v>
      </c>
      <c r="AV25" s="31" t="n">
        <f aca="false">AU25+AM25</f>
        <v>457053.13</v>
      </c>
      <c r="AW25" s="35" t="n">
        <f aca="false">AV25+AN25</f>
        <v>457053.13</v>
      </c>
    </row>
    <row r="26" customFormat="false" ht="15" hidden="false" customHeight="true" outlineLevel="0" collapsed="false">
      <c r="A26" s="24" t="n">
        <v>23</v>
      </c>
      <c r="B26" s="65" t="s">
        <v>61</v>
      </c>
      <c r="C26" s="58" t="s">
        <v>62</v>
      </c>
      <c r="D26" s="26" t="s">
        <v>63</v>
      </c>
      <c r="E26" s="27" t="n">
        <v>15774.92</v>
      </c>
      <c r="F26" s="27"/>
      <c r="G26" s="27" t="n">
        <v>17000</v>
      </c>
      <c r="H26" s="27" t="n">
        <v>10000</v>
      </c>
      <c r="I26" s="27" t="n">
        <v>17000</v>
      </c>
      <c r="J26" s="27" t="n">
        <v>10000</v>
      </c>
      <c r="K26" s="27" t="n">
        <v>17000</v>
      </c>
      <c r="L26" s="27" t="n">
        <v>10000</v>
      </c>
      <c r="M26" s="27" t="n">
        <v>17000</v>
      </c>
      <c r="N26" s="27" t="n">
        <v>9225</v>
      </c>
      <c r="O26" s="27" t="n">
        <v>17000</v>
      </c>
      <c r="P26" s="27"/>
      <c r="Q26" s="28" t="n">
        <f aca="false">SUM(E26:P26)</f>
        <v>139999.92</v>
      </c>
      <c r="R26" s="31" t="n">
        <v>140000</v>
      </c>
      <c r="S26" s="29" t="n">
        <f aca="false">SUM(E26:E26)</f>
        <v>15774.92</v>
      </c>
      <c r="T26" s="5"/>
      <c r="U26" s="29" t="n">
        <f aca="false">SUM($E26:F26)</f>
        <v>15774.92</v>
      </c>
      <c r="V26" s="29" t="n">
        <f aca="false">SUM($E26:G26)</f>
        <v>32774.92</v>
      </c>
      <c r="W26" s="29" t="n">
        <f aca="false">SUM($E26:H26)</f>
        <v>42774.92</v>
      </c>
      <c r="X26" s="29" t="n">
        <f aca="false">SUM($E26:I26)</f>
        <v>59774.92</v>
      </c>
      <c r="Y26" s="29" t="n">
        <f aca="false">SUM($E26:J26)</f>
        <v>69774.92</v>
      </c>
      <c r="Z26" s="29" t="n">
        <f aca="false">SUM($E26:K26)</f>
        <v>86774.92</v>
      </c>
      <c r="AA26" s="29" t="n">
        <f aca="false">SUM($E26:L26)</f>
        <v>96774.92</v>
      </c>
      <c r="AB26" s="29" t="n">
        <f aca="false">SUM($E26:M26)</f>
        <v>113774.92</v>
      </c>
      <c r="AC26" s="29" t="n">
        <f aca="false">SUM($E26:N26)</f>
        <v>122999.92</v>
      </c>
      <c r="AD26" s="29" t="n">
        <f aca="false">SUM($E26:O26)</f>
        <v>139999.92</v>
      </c>
      <c r="AE26" s="29" t="n">
        <f aca="false">SUM($E26:P26)</f>
        <v>139999.92</v>
      </c>
      <c r="AG26" s="30" t="n">
        <v>76678.59</v>
      </c>
      <c r="AI26" s="31" t="n">
        <v>20000</v>
      </c>
      <c r="AJ26" s="31" t="n">
        <v>0</v>
      </c>
      <c r="AK26" s="31" t="n">
        <v>15000</v>
      </c>
      <c r="AL26" s="31" t="n">
        <v>0</v>
      </c>
      <c r="AM26" s="31" t="n">
        <v>20000</v>
      </c>
      <c r="AN26" s="32" t="n">
        <v>0</v>
      </c>
      <c r="AO26" s="30" t="n">
        <f aca="false">SUM(AI26:AN26)</f>
        <v>55000</v>
      </c>
      <c r="AP26" s="33" t="n">
        <f aca="false">SUM(AI26:AN26)+Y26</f>
        <v>124774.92</v>
      </c>
      <c r="AR26" s="34" t="n">
        <f aca="false">AI26+AG26</f>
        <v>96678.59</v>
      </c>
      <c r="AS26" s="31" t="n">
        <f aca="false">AR26+AJ26</f>
        <v>96678.59</v>
      </c>
      <c r="AT26" s="31" t="n">
        <f aca="false">AS26+AK26</f>
        <v>111678.59</v>
      </c>
      <c r="AU26" s="31" t="n">
        <f aca="false">AT26+AL26</f>
        <v>111678.59</v>
      </c>
      <c r="AV26" s="31" t="n">
        <f aca="false">AU26+AM26</f>
        <v>131678.59</v>
      </c>
      <c r="AW26" s="35" t="n">
        <f aca="false">AV26+AN26</f>
        <v>131678.59</v>
      </c>
    </row>
    <row r="27" customFormat="false" ht="15" hidden="false" customHeight="true" outlineLevel="0" collapsed="false">
      <c r="A27" s="24" t="n">
        <v>24</v>
      </c>
      <c r="B27" s="65" t="s">
        <v>64</v>
      </c>
      <c r="C27" s="58" t="s">
        <v>65</v>
      </c>
      <c r="D27" s="26" t="s">
        <v>66</v>
      </c>
      <c r="E27" s="27"/>
      <c r="F27" s="27"/>
      <c r="G27" s="27" t="n">
        <v>5000</v>
      </c>
      <c r="H27" s="27" t="n">
        <v>5000</v>
      </c>
      <c r="I27" s="27" t="n">
        <v>5000</v>
      </c>
      <c r="J27" s="27" t="n">
        <v>5000</v>
      </c>
      <c r="K27" s="27" t="n">
        <v>5000</v>
      </c>
      <c r="L27" s="27" t="n">
        <v>5000</v>
      </c>
      <c r="M27" s="27" t="n">
        <v>5000</v>
      </c>
      <c r="N27" s="27" t="n">
        <v>5000</v>
      </c>
      <c r="O27" s="27" t="n">
        <v>5000</v>
      </c>
      <c r="P27" s="27" t="n">
        <v>5000</v>
      </c>
      <c r="Q27" s="28" t="n">
        <f aca="false">SUM(E27:P27)</f>
        <v>50000</v>
      </c>
      <c r="R27" s="31" t="n">
        <v>50000</v>
      </c>
      <c r="S27" s="29" t="n">
        <f aca="false">SUM(E27:E27)</f>
        <v>0</v>
      </c>
      <c r="T27" s="5"/>
      <c r="U27" s="29" t="n">
        <f aca="false">SUM($E27:F27)</f>
        <v>0</v>
      </c>
      <c r="V27" s="29" t="n">
        <f aca="false">SUM($E27:G27)</f>
        <v>5000</v>
      </c>
      <c r="W27" s="29" t="n">
        <f aca="false">SUM($E27:H27)</f>
        <v>10000</v>
      </c>
      <c r="X27" s="29" t="n">
        <f aca="false">SUM($E27:I27)</f>
        <v>15000</v>
      </c>
      <c r="Y27" s="29" t="n">
        <f aca="false">SUM($E27:J27)</f>
        <v>20000</v>
      </c>
      <c r="Z27" s="29" t="n">
        <f aca="false">SUM($E27:K27)</f>
        <v>25000</v>
      </c>
      <c r="AA27" s="29" t="n">
        <f aca="false">SUM($E27:L27)</f>
        <v>30000</v>
      </c>
      <c r="AB27" s="29" t="n">
        <f aca="false">SUM($E27:M27)</f>
        <v>35000</v>
      </c>
      <c r="AC27" s="29" t="n">
        <f aca="false">SUM($E27:N27)</f>
        <v>40000</v>
      </c>
      <c r="AD27" s="29" t="n">
        <f aca="false">SUM($E27:O27)</f>
        <v>45000</v>
      </c>
      <c r="AE27" s="29" t="n">
        <f aca="false">SUM($E27:P27)</f>
        <v>50000</v>
      </c>
      <c r="AG27" s="30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2" t="n">
        <v>0</v>
      </c>
      <c r="AO27" s="30" t="n">
        <f aca="false">SUM(AI27:AN27)</f>
        <v>0</v>
      </c>
      <c r="AP27" s="33" t="n">
        <f aca="false">SUM(AI27:AN27)+Y27</f>
        <v>20000</v>
      </c>
      <c r="AR27" s="34" t="n">
        <f aca="false">AI27+AG27</f>
        <v>0</v>
      </c>
      <c r="AS27" s="31" t="n">
        <f aca="false">AR27+AJ27</f>
        <v>0</v>
      </c>
      <c r="AT27" s="31" t="n">
        <f aca="false">AS27+AK27</f>
        <v>0</v>
      </c>
      <c r="AU27" s="31" t="n">
        <f aca="false">AT27+AL27</f>
        <v>0</v>
      </c>
      <c r="AV27" s="31" t="n">
        <f aca="false">AU27+AM27</f>
        <v>0</v>
      </c>
      <c r="AW27" s="35" t="n">
        <f aca="false">AV27+AN27</f>
        <v>0</v>
      </c>
    </row>
    <row r="28" customFormat="false" ht="15" hidden="false" customHeight="true" outlineLevel="0" collapsed="false">
      <c r="A28" s="24" t="n">
        <v>25</v>
      </c>
      <c r="B28" s="65" t="s">
        <v>67</v>
      </c>
      <c r="C28" s="58" t="s">
        <v>68</v>
      </c>
      <c r="D28" s="26" t="s">
        <v>69</v>
      </c>
      <c r="E28" s="27"/>
      <c r="F28" s="27"/>
      <c r="G28" s="27"/>
      <c r="H28" s="27" t="n">
        <v>150000</v>
      </c>
      <c r="I28" s="27"/>
      <c r="J28" s="27"/>
      <c r="K28" s="27" t="n">
        <v>150000</v>
      </c>
      <c r="L28" s="27"/>
      <c r="M28" s="27"/>
      <c r="N28" s="27"/>
      <c r="O28" s="27" t="n">
        <v>150000</v>
      </c>
      <c r="P28" s="27"/>
      <c r="Q28" s="28" t="n">
        <f aca="false">SUM(E28:P28)</f>
        <v>450000</v>
      </c>
      <c r="R28" s="31" t="n">
        <v>450000</v>
      </c>
      <c r="S28" s="29" t="n">
        <f aca="false">SUM(E28:E28)</f>
        <v>0</v>
      </c>
      <c r="T28" s="5"/>
      <c r="U28" s="29" t="n">
        <f aca="false">SUM($E28:F28)</f>
        <v>0</v>
      </c>
      <c r="V28" s="29" t="n">
        <f aca="false">SUM($E28:G28)</f>
        <v>0</v>
      </c>
      <c r="W28" s="29" t="n">
        <f aca="false">SUM($E28:H28)</f>
        <v>150000</v>
      </c>
      <c r="X28" s="29" t="n">
        <f aca="false">SUM($E28:I28)</f>
        <v>150000</v>
      </c>
      <c r="Y28" s="29" t="n">
        <f aca="false">SUM($E28:J28)</f>
        <v>150000</v>
      </c>
      <c r="Z28" s="29" t="n">
        <f aca="false">SUM($E28:K28)</f>
        <v>300000</v>
      </c>
      <c r="AA28" s="29" t="n">
        <f aca="false">SUM($E28:L28)</f>
        <v>300000</v>
      </c>
      <c r="AB28" s="29" t="n">
        <f aca="false">SUM($E28:M28)</f>
        <v>300000</v>
      </c>
      <c r="AC28" s="29" t="n">
        <f aca="false">SUM($E28:N28)</f>
        <v>300000</v>
      </c>
      <c r="AD28" s="29" t="n">
        <f aca="false">SUM($E28:O28)</f>
        <v>450000</v>
      </c>
      <c r="AE28" s="29" t="n">
        <f aca="false">SUM($E28:P28)</f>
        <v>450000</v>
      </c>
      <c r="AG28" s="30" t="n">
        <v>144147.47</v>
      </c>
      <c r="AI28" s="31" t="n">
        <v>240000</v>
      </c>
      <c r="AJ28" s="31" t="n">
        <v>0</v>
      </c>
      <c r="AK28" s="31" t="n">
        <v>70000</v>
      </c>
      <c r="AL28" s="31" t="n">
        <v>0</v>
      </c>
      <c r="AM28" s="31" t="n">
        <v>70000</v>
      </c>
      <c r="AN28" s="32" t="n">
        <v>0</v>
      </c>
      <c r="AO28" s="30" t="n">
        <f aca="false">SUM(AI28:AN28)</f>
        <v>380000</v>
      </c>
      <c r="AP28" s="33" t="n">
        <f aca="false">SUM(AI28:AN28)+Y28</f>
        <v>530000</v>
      </c>
      <c r="AR28" s="34" t="n">
        <f aca="false">AI28+AG28</f>
        <v>384147.47</v>
      </c>
      <c r="AS28" s="31" t="n">
        <f aca="false">AR28+AJ28</f>
        <v>384147.47</v>
      </c>
      <c r="AT28" s="31" t="n">
        <f aca="false">AS28+AK28</f>
        <v>454147.47</v>
      </c>
      <c r="AU28" s="31" t="n">
        <f aca="false">AT28+AL28</f>
        <v>454147.47</v>
      </c>
      <c r="AV28" s="31" t="n">
        <f aca="false">AU28+AM28</f>
        <v>524147.47</v>
      </c>
      <c r="AW28" s="35" t="n">
        <f aca="false">AV28+AN28</f>
        <v>524147.47</v>
      </c>
    </row>
    <row r="29" customFormat="false" ht="15" hidden="false" customHeight="true" outlineLevel="0" collapsed="false">
      <c r="A29" s="24" t="n">
        <v>26</v>
      </c>
      <c r="B29" s="65" t="s">
        <v>70</v>
      </c>
      <c r="C29" s="58" t="s">
        <v>71</v>
      </c>
      <c r="D29" s="26" t="s">
        <v>72</v>
      </c>
      <c r="E29" s="27"/>
      <c r="F29" s="27" t="n">
        <v>40000</v>
      </c>
      <c r="G29" s="27"/>
      <c r="H29" s="27" t="n">
        <v>40000</v>
      </c>
      <c r="I29" s="27"/>
      <c r="J29" s="27" t="n">
        <v>40000</v>
      </c>
      <c r="K29" s="27"/>
      <c r="L29" s="27" t="n">
        <v>40000</v>
      </c>
      <c r="M29" s="27"/>
      <c r="N29" s="27"/>
      <c r="O29" s="27" t="n">
        <v>40000</v>
      </c>
      <c r="P29" s="27"/>
      <c r="Q29" s="28" t="n">
        <f aca="false">SUM(E29:P29)</f>
        <v>200000</v>
      </c>
      <c r="R29" s="31" t="n">
        <v>200000</v>
      </c>
      <c r="S29" s="29" t="n">
        <f aca="false">SUM(E29:E29)</f>
        <v>0</v>
      </c>
      <c r="T29" s="5" t="n">
        <f aca="false">R29-Q29</f>
        <v>0</v>
      </c>
      <c r="U29" s="29" t="n">
        <f aca="false">SUM($E29:F29)</f>
        <v>40000</v>
      </c>
      <c r="V29" s="29" t="n">
        <f aca="false">SUM($E29:G29)</f>
        <v>40000</v>
      </c>
      <c r="W29" s="29" t="n">
        <f aca="false">SUM($E29:H29)</f>
        <v>80000</v>
      </c>
      <c r="X29" s="29" t="n">
        <f aca="false">SUM($E29:I29)</f>
        <v>80000</v>
      </c>
      <c r="Y29" s="29" t="n">
        <f aca="false">SUM($E29:J29)</f>
        <v>120000</v>
      </c>
      <c r="Z29" s="29" t="n">
        <f aca="false">SUM($E29:K29)</f>
        <v>120000</v>
      </c>
      <c r="AA29" s="29" t="n">
        <f aca="false">SUM($E29:L29)</f>
        <v>160000</v>
      </c>
      <c r="AB29" s="29" t="n">
        <f aca="false">SUM($E29:M29)</f>
        <v>160000</v>
      </c>
      <c r="AC29" s="29" t="n">
        <f aca="false">SUM($E29:N29)</f>
        <v>160000</v>
      </c>
      <c r="AD29" s="29" t="n">
        <f aca="false">SUM($E29:O29)</f>
        <v>200000</v>
      </c>
      <c r="AE29" s="29" t="n">
        <f aca="false">SUM($E29:P29)</f>
        <v>200000</v>
      </c>
      <c r="AG29" s="30" t="n">
        <v>60694.01</v>
      </c>
      <c r="AI29" s="31" t="n">
        <v>0</v>
      </c>
      <c r="AJ29" s="31" t="n">
        <v>0</v>
      </c>
      <c r="AK29" s="31" t="n">
        <v>20000</v>
      </c>
      <c r="AL29" s="31" t="n">
        <v>0</v>
      </c>
      <c r="AM29" s="31" t="n">
        <v>20000</v>
      </c>
      <c r="AN29" s="32" t="n">
        <v>0</v>
      </c>
      <c r="AO29" s="30" t="n">
        <f aca="false">SUM(AI29:AN29)</f>
        <v>40000</v>
      </c>
      <c r="AP29" s="33" t="n">
        <f aca="false">SUM(AI29:AN29)+Y29</f>
        <v>160000</v>
      </c>
      <c r="AR29" s="34" t="n">
        <f aca="false">AI29+AG29</f>
        <v>60694.01</v>
      </c>
      <c r="AS29" s="31" t="n">
        <f aca="false">AR29+AJ29</f>
        <v>60694.01</v>
      </c>
      <c r="AT29" s="31" t="n">
        <f aca="false">AS29+AK29</f>
        <v>80694.01</v>
      </c>
      <c r="AU29" s="31" t="n">
        <f aca="false">AT29+AL29</f>
        <v>80694.01</v>
      </c>
      <c r="AV29" s="31" t="n">
        <f aca="false">AU29+AM29</f>
        <v>100694.01</v>
      </c>
      <c r="AW29" s="35" t="n">
        <f aca="false">AV29+AN29</f>
        <v>100694.01</v>
      </c>
    </row>
    <row r="30" customFormat="false" ht="15" hidden="false" customHeight="true" outlineLevel="0" collapsed="false">
      <c r="A30" s="24" t="n">
        <v>27</v>
      </c>
      <c r="B30" s="65" t="s">
        <v>73</v>
      </c>
      <c r="C30" s="58" t="s">
        <v>74</v>
      </c>
      <c r="D30" s="26" t="s">
        <v>75</v>
      </c>
      <c r="E30" s="27"/>
      <c r="F30" s="27"/>
      <c r="G30" s="27"/>
      <c r="H30" s="27"/>
      <c r="I30" s="27"/>
      <c r="J30" s="27"/>
      <c r="K30" s="27"/>
      <c r="L30" s="27" t="n">
        <v>250000</v>
      </c>
      <c r="M30" s="27"/>
      <c r="N30" s="27"/>
      <c r="O30" s="27"/>
      <c r="P30" s="27"/>
      <c r="Q30" s="28" t="n">
        <f aca="false">SUM(E30:P30)</f>
        <v>250000</v>
      </c>
      <c r="R30" s="31" t="n">
        <v>250000</v>
      </c>
      <c r="S30" s="29" t="n">
        <f aca="false">SUM(E30:E30)</f>
        <v>0</v>
      </c>
      <c r="T30" s="5" t="n">
        <f aca="false">R30-Q30</f>
        <v>0</v>
      </c>
      <c r="U30" s="29" t="n">
        <f aca="false">SUM($E30:F30)</f>
        <v>0</v>
      </c>
      <c r="V30" s="29" t="n">
        <f aca="false">SUM($E30:G30)</f>
        <v>0</v>
      </c>
      <c r="W30" s="29" t="n">
        <f aca="false">SUM($E30:H30)</f>
        <v>0</v>
      </c>
      <c r="X30" s="29" t="n">
        <f aca="false">SUM($E30:I30)</f>
        <v>0</v>
      </c>
      <c r="Y30" s="29" t="n">
        <f aca="false">SUM($E30:J30)</f>
        <v>0</v>
      </c>
      <c r="Z30" s="29" t="n">
        <f aca="false">SUM($E30:K30)</f>
        <v>0</v>
      </c>
      <c r="AA30" s="29" t="n">
        <f aca="false">SUM($E30:L30)</f>
        <v>250000</v>
      </c>
      <c r="AB30" s="29" t="n">
        <f aca="false">SUM($E30:M30)</f>
        <v>250000</v>
      </c>
      <c r="AC30" s="29" t="n">
        <f aca="false">SUM($E30:N30)</f>
        <v>250000</v>
      </c>
      <c r="AD30" s="29" t="n">
        <f aca="false">SUM($E30:O30)</f>
        <v>250000</v>
      </c>
      <c r="AE30" s="29" t="n">
        <f aca="false">SUM($E30:P30)</f>
        <v>250000</v>
      </c>
      <c r="AG30" s="30" t="n">
        <v>0</v>
      </c>
      <c r="AI30" s="31" t="n">
        <v>0</v>
      </c>
      <c r="AJ30" s="31" t="n">
        <v>0</v>
      </c>
      <c r="AK30" s="31" t="n">
        <v>150000</v>
      </c>
      <c r="AL30" s="31" t="n">
        <v>100000</v>
      </c>
      <c r="AM30" s="31" t="n">
        <v>0</v>
      </c>
      <c r="AN30" s="32" t="n">
        <v>0</v>
      </c>
      <c r="AO30" s="30" t="n">
        <f aca="false">SUM(AI30:AN30)</f>
        <v>250000</v>
      </c>
      <c r="AP30" s="33" t="n">
        <f aca="false">SUM(AI30:AN30)+Y30</f>
        <v>250000</v>
      </c>
      <c r="AR30" s="34" t="n">
        <f aca="false">AI30+AG30</f>
        <v>0</v>
      </c>
      <c r="AS30" s="31" t="n">
        <f aca="false">AR30+AJ30</f>
        <v>0</v>
      </c>
      <c r="AT30" s="31" t="n">
        <f aca="false">AS30+AK30</f>
        <v>150000</v>
      </c>
      <c r="AU30" s="31" t="n">
        <f aca="false">AT30+AL30</f>
        <v>250000</v>
      </c>
      <c r="AV30" s="31" t="n">
        <f aca="false">AU30+AM30</f>
        <v>250000</v>
      </c>
      <c r="AW30" s="35" t="n">
        <f aca="false">AV30+AN30</f>
        <v>250000</v>
      </c>
    </row>
    <row r="31" customFormat="false" ht="15" hidden="false" customHeight="true" outlineLevel="0" collapsed="false">
      <c r="A31" s="24" t="n">
        <v>28</v>
      </c>
      <c r="B31" s="65" t="s">
        <v>76</v>
      </c>
      <c r="C31" s="58" t="s">
        <v>77</v>
      </c>
      <c r="D31" s="26" t="s">
        <v>78</v>
      </c>
      <c r="E31" s="27" t="n">
        <v>27429.74</v>
      </c>
      <c r="F31" s="27" t="n">
        <f aca="false">6735*3.7</f>
        <v>24919.5</v>
      </c>
      <c r="G31" s="27" t="n">
        <f aca="false">(450000-$E$31-$F$31)/10</f>
        <v>39765.076</v>
      </c>
      <c r="H31" s="27" t="n">
        <f aca="false">(450000-$E$31-$F$31)/10</f>
        <v>39765.076</v>
      </c>
      <c r="I31" s="27" t="n">
        <f aca="false">(450000-$E$31-$F$31)/10</f>
        <v>39765.076</v>
      </c>
      <c r="J31" s="27" t="n">
        <f aca="false">(450000-$E$31-$F$31)/10</f>
        <v>39765.076</v>
      </c>
      <c r="K31" s="27" t="n">
        <f aca="false">(450000-$E$31-$F$31)/10</f>
        <v>39765.076</v>
      </c>
      <c r="L31" s="27" t="n">
        <f aca="false">(450000-$E$31-$F$31)/10</f>
        <v>39765.076</v>
      </c>
      <c r="M31" s="27" t="n">
        <f aca="false">(450000-$E$31-$F$31)/10</f>
        <v>39765.076</v>
      </c>
      <c r="N31" s="27" t="n">
        <f aca="false">(450000-$E$31-$F$31)/10</f>
        <v>39765.076</v>
      </c>
      <c r="O31" s="27" t="n">
        <f aca="false">(450000-$E$31-$F$31)/10</f>
        <v>39765.076</v>
      </c>
      <c r="P31" s="27" t="n">
        <f aca="false">(450000-$E$31-$F$31)/10</f>
        <v>39765.076</v>
      </c>
      <c r="Q31" s="28" t="n">
        <f aca="false">SUM(E31:P31)</f>
        <v>450000</v>
      </c>
      <c r="R31" s="31" t="n">
        <v>450000</v>
      </c>
      <c r="S31" s="29" t="n">
        <f aca="false">SUM(E31:E31)</f>
        <v>27429.74</v>
      </c>
      <c r="T31" s="5" t="n">
        <f aca="false">R31-Q31</f>
        <v>0</v>
      </c>
      <c r="U31" s="29" t="n">
        <f aca="false">SUM($E31:F31)</f>
        <v>52349.24</v>
      </c>
      <c r="V31" s="29" t="n">
        <f aca="false">SUM($E31:G31)</f>
        <v>92114.316</v>
      </c>
      <c r="W31" s="29" t="n">
        <f aca="false">SUM($E31:H31)</f>
        <v>131879.392</v>
      </c>
      <c r="X31" s="29" t="n">
        <f aca="false">SUM($E31:I31)</f>
        <v>171644.468</v>
      </c>
      <c r="Y31" s="29" t="n">
        <f aca="false">SUM($E31:J31)</f>
        <v>211409.544</v>
      </c>
      <c r="Z31" s="29" t="n">
        <f aca="false">SUM($E31:K31)</f>
        <v>251174.62</v>
      </c>
      <c r="AA31" s="29" t="n">
        <f aca="false">SUM($E31:L31)</f>
        <v>290939.696</v>
      </c>
      <c r="AB31" s="29" t="n">
        <f aca="false">SUM($E31:M31)</f>
        <v>330704.772</v>
      </c>
      <c r="AC31" s="29" t="n">
        <f aca="false">SUM($E31:N31)</f>
        <v>370469.848</v>
      </c>
      <c r="AD31" s="29" t="n">
        <f aca="false">SUM($E31:O31)</f>
        <v>410234.924</v>
      </c>
      <c r="AE31" s="29" t="n">
        <f aca="false">SUM($E31:P31)</f>
        <v>450000</v>
      </c>
      <c r="AG31" s="30" t="n">
        <v>203207.09</v>
      </c>
      <c r="AI31" s="31" t="n">
        <v>40000</v>
      </c>
      <c r="AJ31" s="31" t="n">
        <v>20000</v>
      </c>
      <c r="AK31" s="31" t="n">
        <v>40000</v>
      </c>
      <c r="AL31" s="31" t="n">
        <v>20000</v>
      </c>
      <c r="AM31" s="31" t="n">
        <v>40000</v>
      </c>
      <c r="AN31" s="32" t="n">
        <v>15000</v>
      </c>
      <c r="AO31" s="30" t="n">
        <f aca="false">SUM(AI31:AN31)</f>
        <v>175000</v>
      </c>
      <c r="AP31" s="33" t="n">
        <f aca="false">SUM(AI31:AN31)+Y31</f>
        <v>386409.544</v>
      </c>
      <c r="AR31" s="34" t="n">
        <f aca="false">AI31+AG31</f>
        <v>243207.09</v>
      </c>
      <c r="AS31" s="31" t="n">
        <f aca="false">AR31+AJ31</f>
        <v>263207.09</v>
      </c>
      <c r="AT31" s="31" t="n">
        <f aca="false">AS31+AK31</f>
        <v>303207.09</v>
      </c>
      <c r="AU31" s="31" t="n">
        <f aca="false">AT31+AL31</f>
        <v>323207.09</v>
      </c>
      <c r="AV31" s="31" t="n">
        <f aca="false">AU31+AM31</f>
        <v>363207.09</v>
      </c>
      <c r="AW31" s="35" t="n">
        <f aca="false">AV31+AN31</f>
        <v>378207.09</v>
      </c>
    </row>
    <row r="32" customFormat="false" ht="15" hidden="false" customHeight="true" outlineLevel="0" collapsed="false">
      <c r="A32" s="24" t="n">
        <v>29</v>
      </c>
      <c r="B32" s="65" t="s">
        <v>79</v>
      </c>
      <c r="C32" s="58" t="s">
        <v>80</v>
      </c>
      <c r="D32" s="26" t="s">
        <v>81</v>
      </c>
      <c r="E32" s="27"/>
      <c r="F32" s="27"/>
      <c r="G32" s="27"/>
      <c r="H32" s="27" t="n">
        <v>35000</v>
      </c>
      <c r="I32" s="27"/>
      <c r="J32" s="27"/>
      <c r="K32" s="27"/>
      <c r="L32" s="27"/>
      <c r="M32" s="27"/>
      <c r="N32" s="27" t="n">
        <v>35000</v>
      </c>
      <c r="O32" s="27"/>
      <c r="P32" s="27"/>
      <c r="Q32" s="28" t="n">
        <f aca="false">SUM(E32:P32)</f>
        <v>70000</v>
      </c>
      <c r="R32" s="31" t="n">
        <v>70000</v>
      </c>
      <c r="S32" s="29" t="n">
        <f aca="false">SUM(E32:E32)</f>
        <v>0</v>
      </c>
      <c r="T32" s="5" t="n">
        <f aca="false">R32-Q32</f>
        <v>0</v>
      </c>
      <c r="U32" s="29" t="n">
        <f aca="false">SUM($E32:F32)</f>
        <v>0</v>
      </c>
      <c r="V32" s="29" t="n">
        <f aca="false">SUM($E32:G32)</f>
        <v>0</v>
      </c>
      <c r="W32" s="29" t="n">
        <f aca="false">SUM($E32:H32)</f>
        <v>35000</v>
      </c>
      <c r="X32" s="29" t="n">
        <f aca="false">SUM($E32:I32)</f>
        <v>35000</v>
      </c>
      <c r="Y32" s="29" t="n">
        <f aca="false">SUM($E32:J32)</f>
        <v>35000</v>
      </c>
      <c r="Z32" s="29" t="n">
        <f aca="false">SUM($E32:K32)</f>
        <v>35000</v>
      </c>
      <c r="AA32" s="29" t="n">
        <f aca="false">SUM($E32:L32)</f>
        <v>35000</v>
      </c>
      <c r="AB32" s="29" t="n">
        <f aca="false">SUM($E32:M32)</f>
        <v>35000</v>
      </c>
      <c r="AC32" s="29" t="n">
        <f aca="false">SUM($E32:N32)</f>
        <v>70000</v>
      </c>
      <c r="AD32" s="29" t="n">
        <f aca="false">SUM($E32:O32)</f>
        <v>70000</v>
      </c>
      <c r="AE32" s="29" t="n">
        <f aca="false">SUM($E32:P32)</f>
        <v>70000</v>
      </c>
      <c r="AG32" s="30" t="n">
        <v>43116.44</v>
      </c>
      <c r="AI32" s="31" t="n">
        <v>0</v>
      </c>
      <c r="AJ32" s="31" t="n">
        <v>0</v>
      </c>
      <c r="AK32" s="31" t="n">
        <v>0</v>
      </c>
      <c r="AL32" s="31" t="n">
        <v>30000</v>
      </c>
      <c r="AM32" s="31" t="n">
        <v>0</v>
      </c>
      <c r="AN32" s="32" t="n">
        <v>0</v>
      </c>
      <c r="AO32" s="30" t="n">
        <f aca="false">SUM(AI32:AN32)</f>
        <v>30000</v>
      </c>
      <c r="AP32" s="33" t="n">
        <f aca="false">SUM(AI32:AN32)+Y32</f>
        <v>65000</v>
      </c>
      <c r="AR32" s="34" t="n">
        <f aca="false">AI32+AG32</f>
        <v>43116.44</v>
      </c>
      <c r="AS32" s="31" t="n">
        <f aca="false">AR32+AJ32</f>
        <v>43116.44</v>
      </c>
      <c r="AT32" s="31" t="n">
        <f aca="false">AS32+AK32</f>
        <v>43116.44</v>
      </c>
      <c r="AU32" s="31" t="n">
        <f aca="false">AT32+AL32</f>
        <v>73116.44</v>
      </c>
      <c r="AV32" s="31" t="n">
        <f aca="false">AU32+AM32</f>
        <v>73116.44</v>
      </c>
      <c r="AW32" s="35" t="n">
        <f aca="false">AV32+AN32</f>
        <v>73116.44</v>
      </c>
    </row>
    <row r="33" customFormat="false" ht="15" hidden="false" customHeight="true" outlineLevel="0" collapsed="false">
      <c r="A33" s="24" t="n">
        <v>30</v>
      </c>
      <c r="B33" s="65" t="s">
        <v>82</v>
      </c>
      <c r="C33" s="58" t="s">
        <v>83</v>
      </c>
      <c r="D33" s="26" t="s">
        <v>81</v>
      </c>
      <c r="E33" s="27"/>
      <c r="F33" s="27"/>
      <c r="G33" s="27" t="n">
        <v>20000</v>
      </c>
      <c r="H33" s="27"/>
      <c r="I33" s="27"/>
      <c r="J33" s="27"/>
      <c r="K33" s="27" t="n">
        <v>20000</v>
      </c>
      <c r="L33" s="27"/>
      <c r="M33" s="27"/>
      <c r="N33" s="27"/>
      <c r="O33" s="27" t="n">
        <f aca="false">20000-207</f>
        <v>19793</v>
      </c>
      <c r="P33" s="27"/>
      <c r="Q33" s="28" t="n">
        <f aca="false">SUM(E33:P33)</f>
        <v>59793</v>
      </c>
      <c r="R33" s="31" t="n">
        <v>59793.3</v>
      </c>
      <c r="S33" s="29" t="n">
        <f aca="false">SUM(E33:E33)</f>
        <v>0</v>
      </c>
      <c r="T33" s="5" t="n">
        <f aca="false">R33-Q33</f>
        <v>0.30000000000291</v>
      </c>
      <c r="U33" s="29" t="n">
        <f aca="false">SUM($E33:F33)</f>
        <v>0</v>
      </c>
      <c r="V33" s="29" t="n">
        <f aca="false">SUM($E33:G33)</f>
        <v>20000</v>
      </c>
      <c r="W33" s="29" t="n">
        <f aca="false">SUM($E33:H33)</f>
        <v>20000</v>
      </c>
      <c r="X33" s="29" t="n">
        <f aca="false">SUM($E33:I33)</f>
        <v>20000</v>
      </c>
      <c r="Y33" s="29" t="n">
        <f aca="false">SUM($E33:J33)</f>
        <v>20000</v>
      </c>
      <c r="Z33" s="29" t="n">
        <f aca="false">SUM($E33:K33)</f>
        <v>40000</v>
      </c>
      <c r="AA33" s="29" t="n">
        <f aca="false">SUM($E33:L33)</f>
        <v>40000</v>
      </c>
      <c r="AB33" s="29" t="n">
        <f aca="false">SUM($E33:M33)</f>
        <v>40000</v>
      </c>
      <c r="AC33" s="29" t="n">
        <f aca="false">SUM($E33:N33)</f>
        <v>40000</v>
      </c>
      <c r="AD33" s="29" t="n">
        <f aca="false">SUM($E33:O33)</f>
        <v>59793</v>
      </c>
      <c r="AE33" s="29" t="n">
        <f aca="false">SUM($E33:P33)</f>
        <v>59793</v>
      </c>
      <c r="AG33" s="30" t="n">
        <v>17809.5</v>
      </c>
      <c r="AI33" s="31" t="n">
        <v>0</v>
      </c>
      <c r="AJ33" s="31" t="n">
        <v>0</v>
      </c>
      <c r="AK33" s="31" t="n">
        <v>25000</v>
      </c>
      <c r="AL33" s="31" t="n">
        <v>0</v>
      </c>
      <c r="AM33" s="31" t="n">
        <v>0</v>
      </c>
      <c r="AN33" s="32" t="n">
        <v>0</v>
      </c>
      <c r="AO33" s="30" t="n">
        <f aca="false">SUM(AI33:AN33)</f>
        <v>25000</v>
      </c>
      <c r="AP33" s="33" t="n">
        <f aca="false">SUM(AI33:AN33)+Y33</f>
        <v>45000</v>
      </c>
      <c r="AR33" s="34" t="n">
        <f aca="false">AI33+AG33</f>
        <v>17809.5</v>
      </c>
      <c r="AS33" s="31" t="n">
        <f aca="false">AR33+AJ33</f>
        <v>17809.5</v>
      </c>
      <c r="AT33" s="31" t="n">
        <f aca="false">AS33+AK33</f>
        <v>42809.5</v>
      </c>
      <c r="AU33" s="31" t="n">
        <f aca="false">AT33+AL33</f>
        <v>42809.5</v>
      </c>
      <c r="AV33" s="31" t="n">
        <f aca="false">AU33+AM33</f>
        <v>42809.5</v>
      </c>
      <c r="AW33" s="35" t="n">
        <f aca="false">AV33+AN33</f>
        <v>42809.5</v>
      </c>
    </row>
    <row r="34" customFormat="false" ht="15" hidden="false" customHeight="true" outlineLevel="0" collapsed="false">
      <c r="A34" s="24" t="n">
        <v>31</v>
      </c>
      <c r="B34" s="65" t="s">
        <v>84</v>
      </c>
      <c r="C34" s="58" t="s">
        <v>85</v>
      </c>
      <c r="D34" s="26" t="s">
        <v>86</v>
      </c>
      <c r="E34" s="27"/>
      <c r="F34" s="27"/>
      <c r="G34" s="27" t="n">
        <v>18000</v>
      </c>
      <c r="H34" s="27"/>
      <c r="I34" s="27"/>
      <c r="J34" s="27"/>
      <c r="K34" s="27" t="n">
        <v>18000</v>
      </c>
      <c r="L34" s="27"/>
      <c r="M34" s="27" t="n">
        <f aca="false">85000-18000*2</f>
        <v>49000</v>
      </c>
      <c r="N34" s="27"/>
      <c r="O34" s="27"/>
      <c r="P34" s="27"/>
      <c r="Q34" s="28" t="n">
        <f aca="false">SUM(E34:P34)</f>
        <v>85000</v>
      </c>
      <c r="R34" s="31" t="n">
        <v>85000</v>
      </c>
      <c r="S34" s="29" t="n">
        <f aca="false">SUM(E34:E34)</f>
        <v>0</v>
      </c>
      <c r="T34" s="5" t="n">
        <f aca="false">R34-Q34</f>
        <v>0</v>
      </c>
      <c r="U34" s="29" t="n">
        <f aca="false">SUM($E34:F34)</f>
        <v>0</v>
      </c>
      <c r="V34" s="29" t="n">
        <f aca="false">SUM($E34:G34)</f>
        <v>18000</v>
      </c>
      <c r="W34" s="29" t="n">
        <f aca="false">SUM($E34:H34)</f>
        <v>18000</v>
      </c>
      <c r="X34" s="29" t="n">
        <f aca="false">SUM($E34:I34)</f>
        <v>18000</v>
      </c>
      <c r="Y34" s="29" t="n">
        <f aca="false">SUM($E34:J34)</f>
        <v>18000</v>
      </c>
      <c r="Z34" s="29" t="n">
        <f aca="false">SUM($E34:K34)</f>
        <v>36000</v>
      </c>
      <c r="AA34" s="29" t="n">
        <f aca="false">SUM($E34:L34)</f>
        <v>36000</v>
      </c>
      <c r="AB34" s="29" t="n">
        <f aca="false">SUM($E34:M34)</f>
        <v>85000</v>
      </c>
      <c r="AC34" s="29" t="n">
        <f aca="false">SUM($E34:N34)</f>
        <v>85000</v>
      </c>
      <c r="AD34" s="29" t="n">
        <f aca="false">SUM($E34:O34)</f>
        <v>85000</v>
      </c>
      <c r="AE34" s="29" t="n">
        <f aca="false">SUM($E34:P34)</f>
        <v>85000</v>
      </c>
      <c r="AG34" s="30" t="n">
        <v>0</v>
      </c>
      <c r="AI34" s="31" t="n">
        <v>0</v>
      </c>
      <c r="AJ34" s="31" t="n">
        <v>0</v>
      </c>
      <c r="AK34" s="31" t="n">
        <v>17500</v>
      </c>
      <c r="AL34" s="31" t="n">
        <v>0</v>
      </c>
      <c r="AM34" s="31" t="n">
        <v>0</v>
      </c>
      <c r="AN34" s="32" t="n">
        <v>0</v>
      </c>
      <c r="AO34" s="30" t="n">
        <f aca="false">SUM(AI34:AN34)</f>
        <v>17500</v>
      </c>
      <c r="AP34" s="33" t="n">
        <f aca="false">SUM(AI34:AN34)+Y34</f>
        <v>35500</v>
      </c>
      <c r="AR34" s="34" t="n">
        <f aca="false">AI34+AG34</f>
        <v>0</v>
      </c>
      <c r="AS34" s="31" t="n">
        <f aca="false">AR34+AJ34</f>
        <v>0</v>
      </c>
      <c r="AT34" s="31" t="n">
        <f aca="false">AS34+AK34</f>
        <v>17500</v>
      </c>
      <c r="AU34" s="31" t="n">
        <f aca="false">AT34+AL34</f>
        <v>17500</v>
      </c>
      <c r="AV34" s="31" t="n">
        <f aca="false">AU34+AM34</f>
        <v>17500</v>
      </c>
      <c r="AW34" s="35" t="n">
        <f aca="false">AV34+AN34</f>
        <v>17500</v>
      </c>
    </row>
    <row r="35" customFormat="false" ht="15" hidden="false" customHeight="true" outlineLevel="0" collapsed="false">
      <c r="A35" s="24" t="n">
        <v>32</v>
      </c>
      <c r="B35" s="65" t="s">
        <v>87</v>
      </c>
      <c r="C35" s="58" t="s">
        <v>88</v>
      </c>
      <c r="D35" s="26" t="s">
        <v>89</v>
      </c>
      <c r="E35" s="27" t="n">
        <v>18792.66</v>
      </c>
      <c r="F35" s="27"/>
      <c r="G35" s="27"/>
      <c r="H35" s="27"/>
      <c r="I35" s="27" t="n">
        <f aca="false">40000-E35</f>
        <v>21207.34</v>
      </c>
      <c r="J35" s="27"/>
      <c r="K35" s="27"/>
      <c r="L35" s="27"/>
      <c r="M35" s="27"/>
      <c r="N35" s="27"/>
      <c r="O35" s="27"/>
      <c r="P35" s="27"/>
      <c r="Q35" s="28" t="n">
        <f aca="false">SUM(E35:P35)</f>
        <v>40000</v>
      </c>
      <c r="R35" s="31" t="n">
        <v>40000</v>
      </c>
      <c r="S35" s="29" t="n">
        <f aca="false">SUM(E35:E35)</f>
        <v>18792.66</v>
      </c>
      <c r="T35" s="5" t="n">
        <f aca="false">R35-Q35</f>
        <v>0</v>
      </c>
      <c r="U35" s="29" t="n">
        <f aca="false">SUM($E35:F35)</f>
        <v>18792.66</v>
      </c>
      <c r="V35" s="29" t="n">
        <f aca="false">SUM($E35:G35)</f>
        <v>18792.66</v>
      </c>
      <c r="W35" s="29" t="n">
        <f aca="false">SUM($E35:H35)</f>
        <v>18792.66</v>
      </c>
      <c r="X35" s="29" t="n">
        <f aca="false">SUM($E35:I35)</f>
        <v>40000</v>
      </c>
      <c r="Y35" s="29" t="n">
        <f aca="false">SUM($E35:J35)</f>
        <v>40000</v>
      </c>
      <c r="Z35" s="29" t="n">
        <f aca="false">SUM($E35:K35)</f>
        <v>40000</v>
      </c>
      <c r="AA35" s="29" t="n">
        <f aca="false">SUM($E35:L35)</f>
        <v>40000</v>
      </c>
      <c r="AB35" s="29" t="n">
        <f aca="false">SUM($E35:M35)</f>
        <v>40000</v>
      </c>
      <c r="AC35" s="29" t="n">
        <f aca="false">SUM($E35:N35)</f>
        <v>40000</v>
      </c>
      <c r="AD35" s="29" t="n">
        <f aca="false">SUM($E35:O35)</f>
        <v>40000</v>
      </c>
      <c r="AE35" s="29" t="n">
        <f aca="false">SUM($E35:P35)</f>
        <v>40000</v>
      </c>
      <c r="AG35" s="30" t="n">
        <v>18792.66</v>
      </c>
      <c r="AI35" s="31" t="n">
        <v>0</v>
      </c>
      <c r="AJ35" s="31" t="n">
        <v>20000</v>
      </c>
      <c r="AK35" s="31" t="n">
        <v>0</v>
      </c>
      <c r="AL35" s="31" t="n">
        <v>0</v>
      </c>
      <c r="AM35" s="31" t="n">
        <v>0</v>
      </c>
      <c r="AN35" s="32" t="n">
        <v>0</v>
      </c>
      <c r="AO35" s="30" t="n">
        <f aca="false">SUM(AI35:AN35)</f>
        <v>20000</v>
      </c>
      <c r="AP35" s="33" t="n">
        <f aca="false">SUM(AI35:AN35)+Y35</f>
        <v>60000</v>
      </c>
      <c r="AR35" s="34" t="n">
        <f aca="false">AI35+AG35</f>
        <v>18792.66</v>
      </c>
      <c r="AS35" s="31" t="n">
        <f aca="false">AR35+AJ35</f>
        <v>38792.66</v>
      </c>
      <c r="AT35" s="31" t="n">
        <f aca="false">AS35+AK35</f>
        <v>38792.66</v>
      </c>
      <c r="AU35" s="31" t="n">
        <f aca="false">AT35+AL35</f>
        <v>38792.66</v>
      </c>
      <c r="AV35" s="31" t="n">
        <f aca="false">AU35+AM35</f>
        <v>38792.66</v>
      </c>
      <c r="AW35" s="35" t="n">
        <f aca="false">AV35+AN35</f>
        <v>38792.66</v>
      </c>
    </row>
    <row r="36" customFormat="false" ht="15" hidden="false" customHeight="true" outlineLevel="0" collapsed="false">
      <c r="A36" s="24" t="n">
        <v>33</v>
      </c>
      <c r="B36" s="65" t="s">
        <v>90</v>
      </c>
      <c r="C36" s="58" t="s">
        <v>91</v>
      </c>
      <c r="D36" s="26" t="s">
        <v>92</v>
      </c>
      <c r="E36" s="27"/>
      <c r="F36" s="27"/>
      <c r="G36" s="27"/>
      <c r="H36" s="27"/>
      <c r="I36" s="27" t="n">
        <v>40000</v>
      </c>
      <c r="J36" s="27"/>
      <c r="K36" s="27"/>
      <c r="L36" s="27"/>
      <c r="M36" s="27"/>
      <c r="N36" s="27"/>
      <c r="O36" s="27" t="n">
        <v>40000</v>
      </c>
      <c r="P36" s="27"/>
      <c r="Q36" s="28" t="n">
        <f aca="false">SUM(E36:P36)</f>
        <v>80000</v>
      </c>
      <c r="R36" s="31" t="n">
        <v>80000</v>
      </c>
      <c r="S36" s="29" t="n">
        <f aca="false">SUM(E36:E36)</f>
        <v>0</v>
      </c>
      <c r="T36" s="5" t="n">
        <f aca="false">R36-Q36</f>
        <v>0</v>
      </c>
      <c r="U36" s="29" t="n">
        <f aca="false">SUM($E36:F36)</f>
        <v>0</v>
      </c>
      <c r="V36" s="29" t="n">
        <f aca="false">SUM($E36:G36)</f>
        <v>0</v>
      </c>
      <c r="W36" s="29" t="n">
        <f aca="false">SUM($E36:H36)</f>
        <v>0</v>
      </c>
      <c r="X36" s="29" t="n">
        <f aca="false">SUM($E36:I36)</f>
        <v>40000</v>
      </c>
      <c r="Y36" s="29" t="n">
        <f aca="false">SUM($E36:J36)</f>
        <v>40000</v>
      </c>
      <c r="Z36" s="29" t="n">
        <f aca="false">SUM($E36:K36)</f>
        <v>40000</v>
      </c>
      <c r="AA36" s="29" t="n">
        <f aca="false">SUM($E36:L36)</f>
        <v>40000</v>
      </c>
      <c r="AB36" s="29" t="n">
        <f aca="false">SUM($E36:M36)</f>
        <v>40000</v>
      </c>
      <c r="AC36" s="29" t="n">
        <f aca="false">SUM($E36:N36)</f>
        <v>40000</v>
      </c>
      <c r="AD36" s="29" t="n">
        <f aca="false">SUM($E36:O36)</f>
        <v>80000</v>
      </c>
      <c r="AE36" s="29" t="n">
        <f aca="false">SUM($E36:P36)</f>
        <v>80000</v>
      </c>
      <c r="AG36" s="30" t="n">
        <v>0</v>
      </c>
      <c r="AI36" s="31" t="n">
        <v>0</v>
      </c>
      <c r="AJ36" s="31" t="n">
        <v>0</v>
      </c>
      <c r="AK36" s="31" t="n">
        <v>0</v>
      </c>
      <c r="AL36" s="31" t="n">
        <v>0</v>
      </c>
      <c r="AM36" s="31" t="n">
        <v>0</v>
      </c>
      <c r="AN36" s="32" t="n">
        <v>25000</v>
      </c>
      <c r="AO36" s="30" t="n">
        <f aca="false">SUM(AI36:AN36)</f>
        <v>25000</v>
      </c>
      <c r="AP36" s="33" t="n">
        <f aca="false">SUM(AI36:AN36)+Y36</f>
        <v>65000</v>
      </c>
      <c r="AR36" s="34" t="n">
        <f aca="false">AI36+AG36</f>
        <v>0</v>
      </c>
      <c r="AS36" s="31" t="n">
        <f aca="false">AR36+AJ36</f>
        <v>0</v>
      </c>
      <c r="AT36" s="31" t="n">
        <f aca="false">AS36+AK36</f>
        <v>0</v>
      </c>
      <c r="AU36" s="31" t="n">
        <f aca="false">AT36+AL36</f>
        <v>0</v>
      </c>
      <c r="AV36" s="31" t="n">
        <f aca="false">AU36+AM36</f>
        <v>0</v>
      </c>
      <c r="AW36" s="35" t="n">
        <f aca="false">AV36+AN36</f>
        <v>25000</v>
      </c>
    </row>
    <row r="37" customFormat="false" ht="15" hidden="false" customHeight="true" outlineLevel="0" collapsed="false">
      <c r="A37" s="24" t="n">
        <v>34</v>
      </c>
      <c r="B37" s="65"/>
      <c r="C37" s="58" t="s">
        <v>93</v>
      </c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 t="n">
        <v>20000</v>
      </c>
      <c r="P37" s="27"/>
      <c r="Q37" s="28"/>
      <c r="R37" s="31" t="n">
        <v>20000</v>
      </c>
      <c r="S37" s="29"/>
      <c r="T37" s="5" t="n">
        <f aca="false">R37-Q37</f>
        <v>20000</v>
      </c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G37" s="30" t="n">
        <v>0</v>
      </c>
      <c r="AI37" s="31" t="n">
        <v>0</v>
      </c>
      <c r="AJ37" s="31" t="n">
        <v>0</v>
      </c>
      <c r="AK37" s="31" t="n">
        <v>0</v>
      </c>
      <c r="AL37" s="31" t="n">
        <v>0</v>
      </c>
      <c r="AM37" s="31" t="n">
        <v>0</v>
      </c>
      <c r="AN37" s="32" t="n">
        <v>0</v>
      </c>
      <c r="AO37" s="30" t="n">
        <f aca="false">SUM(AI37:AN37)</f>
        <v>0</v>
      </c>
      <c r="AP37" s="33" t="n">
        <f aca="false">SUM(AI37:AN37)+Y37</f>
        <v>0</v>
      </c>
      <c r="AR37" s="34" t="n">
        <f aca="false">AI37+AG37</f>
        <v>0</v>
      </c>
      <c r="AS37" s="31" t="n">
        <f aca="false">AR37+AJ37</f>
        <v>0</v>
      </c>
      <c r="AT37" s="31" t="n">
        <f aca="false">AS37+AK37</f>
        <v>0</v>
      </c>
      <c r="AU37" s="31" t="n">
        <f aca="false">AT37+AL37</f>
        <v>0</v>
      </c>
      <c r="AV37" s="31" t="n">
        <f aca="false">AU37+AM37</f>
        <v>0</v>
      </c>
      <c r="AW37" s="35" t="n">
        <f aca="false">AV37+AN37</f>
        <v>0</v>
      </c>
    </row>
    <row r="38" customFormat="false" ht="15" hidden="false" customHeight="true" outlineLevel="0" collapsed="false">
      <c r="A38" s="38" t="n">
        <v>35</v>
      </c>
      <c r="B38" s="65" t="s">
        <v>94</v>
      </c>
      <c r="C38" s="58" t="s">
        <v>95</v>
      </c>
      <c r="D38" s="66" t="s">
        <v>51</v>
      </c>
      <c r="E38" s="27"/>
      <c r="F38" s="27"/>
      <c r="G38" s="27"/>
      <c r="H38" s="27" t="n">
        <v>200000</v>
      </c>
      <c r="I38" s="27"/>
      <c r="J38" s="27"/>
      <c r="K38" s="27"/>
      <c r="L38" s="27" t="n">
        <v>200000</v>
      </c>
      <c r="M38" s="27"/>
      <c r="N38" s="27"/>
      <c r="O38" s="27" t="n">
        <v>200000</v>
      </c>
      <c r="P38" s="27"/>
      <c r="Q38" s="28" t="n">
        <f aca="false">SUM(E38:P38)</f>
        <v>600000</v>
      </c>
      <c r="R38" s="31" t="n">
        <v>600000</v>
      </c>
      <c r="S38" s="29" t="n">
        <f aca="false">SUM(E38:E38)</f>
        <v>0</v>
      </c>
      <c r="T38" s="5" t="n">
        <f aca="false">R38-Q38</f>
        <v>0</v>
      </c>
      <c r="U38" s="29" t="n">
        <f aca="false">SUM($E38:F38)</f>
        <v>0</v>
      </c>
      <c r="V38" s="29" t="n">
        <f aca="false">SUM($E38:G38)</f>
        <v>0</v>
      </c>
      <c r="W38" s="29" t="n">
        <f aca="false">SUM($E38:H38)</f>
        <v>200000</v>
      </c>
      <c r="X38" s="29" t="n">
        <f aca="false">SUM($E38:I38)</f>
        <v>200000</v>
      </c>
      <c r="Y38" s="29" t="n">
        <f aca="false">SUM($E38:J38)</f>
        <v>200000</v>
      </c>
      <c r="Z38" s="29" t="n">
        <f aca="false">SUM($E38:K38)</f>
        <v>200000</v>
      </c>
      <c r="AA38" s="29" t="n">
        <f aca="false">SUM($E38:L38)</f>
        <v>400000</v>
      </c>
      <c r="AB38" s="29" t="n">
        <f aca="false">SUM($E38:M38)</f>
        <v>400000</v>
      </c>
      <c r="AC38" s="29" t="n">
        <f aca="false">SUM($E38:N38)</f>
        <v>400000</v>
      </c>
      <c r="AD38" s="29" t="n">
        <f aca="false">SUM($E38:O38)</f>
        <v>600000</v>
      </c>
      <c r="AE38" s="29" t="n">
        <f aca="false">SUM($E38:P38)</f>
        <v>600000</v>
      </c>
      <c r="AG38" s="30" t="n">
        <v>0</v>
      </c>
      <c r="AI38" s="31" t="n">
        <v>0</v>
      </c>
      <c r="AJ38" s="31" t="n">
        <v>0</v>
      </c>
      <c r="AK38" s="31" t="n">
        <v>0</v>
      </c>
      <c r="AL38" s="31" t="n">
        <v>0</v>
      </c>
      <c r="AM38" s="31" t="n">
        <v>0</v>
      </c>
      <c r="AN38" s="32" t="n">
        <v>0</v>
      </c>
      <c r="AO38" s="30" t="n">
        <f aca="false">SUM(AI38:AN38)</f>
        <v>0</v>
      </c>
      <c r="AP38" s="33" t="n">
        <f aca="false">SUM(AI38:AN38)+Y38</f>
        <v>200000</v>
      </c>
      <c r="AR38" s="34" t="n">
        <f aca="false">AI38+AG38</f>
        <v>0</v>
      </c>
      <c r="AS38" s="31" t="n">
        <f aca="false">AR38+AJ38</f>
        <v>0</v>
      </c>
      <c r="AT38" s="31" t="n">
        <f aca="false">AS38+AK38</f>
        <v>0</v>
      </c>
      <c r="AU38" s="31" t="n">
        <f aca="false">AT38+AL38</f>
        <v>0</v>
      </c>
      <c r="AV38" s="31" t="n">
        <f aca="false">AU38+AM38</f>
        <v>0</v>
      </c>
      <c r="AW38" s="35" t="n">
        <f aca="false">AV38+AN38</f>
        <v>0</v>
      </c>
    </row>
    <row r="39" customFormat="false" ht="15.75" hidden="false" customHeight="true" outlineLevel="0" collapsed="false">
      <c r="A39" s="24" t="n">
        <v>36</v>
      </c>
      <c r="B39" s="65" t="s">
        <v>96</v>
      </c>
      <c r="C39" s="58" t="s">
        <v>97</v>
      </c>
      <c r="D39" s="26"/>
      <c r="E39" s="27"/>
      <c r="F39" s="27"/>
      <c r="G39" s="27"/>
      <c r="H39" s="27"/>
      <c r="I39" s="27"/>
      <c r="J39" s="27" t="n">
        <v>200000</v>
      </c>
      <c r="K39" s="27"/>
      <c r="L39" s="27"/>
      <c r="M39" s="27"/>
      <c r="N39" s="27"/>
      <c r="O39" s="27" t="n">
        <v>200000</v>
      </c>
      <c r="P39" s="27"/>
      <c r="Q39" s="28" t="n">
        <f aca="false">SUM(E39:P39)</f>
        <v>400000</v>
      </c>
      <c r="R39" s="31" t="n">
        <v>400000</v>
      </c>
      <c r="S39" s="29" t="n">
        <f aca="false">SUM(E39:E39)</f>
        <v>0</v>
      </c>
      <c r="T39" s="5" t="n">
        <f aca="false">R39-Q39</f>
        <v>0</v>
      </c>
      <c r="U39" s="29" t="n">
        <f aca="false">SUM($E39:F39)</f>
        <v>0</v>
      </c>
      <c r="V39" s="29" t="n">
        <f aca="false">SUM($E39:G39)</f>
        <v>0</v>
      </c>
      <c r="W39" s="29" t="n">
        <f aca="false">SUM($E39:H39)</f>
        <v>0</v>
      </c>
      <c r="X39" s="29" t="n">
        <f aca="false">SUM($E39:I39)</f>
        <v>0</v>
      </c>
      <c r="Y39" s="29" t="n">
        <f aca="false">SUM($E39:J39)</f>
        <v>200000</v>
      </c>
      <c r="Z39" s="29" t="n">
        <f aca="false">SUM($E39:K39)</f>
        <v>200000</v>
      </c>
      <c r="AA39" s="29" t="n">
        <f aca="false">SUM($E39:L39)</f>
        <v>200000</v>
      </c>
      <c r="AB39" s="29" t="n">
        <f aca="false">SUM($E39:M39)</f>
        <v>200000</v>
      </c>
      <c r="AC39" s="29" t="n">
        <f aca="false">SUM($E39:N39)</f>
        <v>200000</v>
      </c>
      <c r="AD39" s="29" t="n">
        <f aca="false">SUM($E39:O39)</f>
        <v>400000</v>
      </c>
      <c r="AE39" s="29" t="n">
        <f aca="false">SUM($E39:P39)</f>
        <v>400000</v>
      </c>
      <c r="AG39" s="30" t="n">
        <v>0</v>
      </c>
      <c r="AI39" s="31" t="n">
        <v>0</v>
      </c>
      <c r="AJ39" s="31" t="n">
        <v>0</v>
      </c>
      <c r="AK39" s="31" t="n">
        <v>0</v>
      </c>
      <c r="AL39" s="31" t="n">
        <v>100000</v>
      </c>
      <c r="AM39" s="31" t="n">
        <v>0</v>
      </c>
      <c r="AN39" s="32" t="n">
        <v>0</v>
      </c>
      <c r="AO39" s="30" t="n">
        <f aca="false">SUM(AI39:AN39)</f>
        <v>100000</v>
      </c>
      <c r="AP39" s="33" t="n">
        <f aca="false">SUM(AI39:AN39)+Y39</f>
        <v>300000</v>
      </c>
      <c r="AR39" s="34" t="n">
        <f aca="false">AI39+AG39</f>
        <v>0</v>
      </c>
      <c r="AS39" s="31" t="n">
        <f aca="false">AR39+AJ39</f>
        <v>0</v>
      </c>
      <c r="AT39" s="31" t="n">
        <f aca="false">AS39+AK39</f>
        <v>0</v>
      </c>
      <c r="AU39" s="31" t="n">
        <f aca="false">AT39+AL39</f>
        <v>100000</v>
      </c>
      <c r="AV39" s="31" t="n">
        <f aca="false">AU39+AM39</f>
        <v>100000</v>
      </c>
      <c r="AW39" s="35" t="n">
        <f aca="false">AV39+AN39</f>
        <v>100000</v>
      </c>
    </row>
    <row r="40" customFormat="false" ht="15" hidden="false" customHeight="true" outlineLevel="0" collapsed="false">
      <c r="A40" s="46"/>
      <c r="B40" s="46" t="s">
        <v>98</v>
      </c>
      <c r="C40" s="46"/>
      <c r="D40" s="46"/>
      <c r="E40" s="47" t="n">
        <f aca="false">SUM(E22:E39)</f>
        <v>526326.7701125</v>
      </c>
      <c r="F40" s="47" t="n">
        <f aca="false">SUM(F22:F39)</f>
        <v>624144.3243</v>
      </c>
      <c r="G40" s="47" t="n">
        <f aca="false">SUM(G22:G39)</f>
        <v>542589.520425</v>
      </c>
      <c r="H40" s="47" t="n">
        <f aca="false">SUM(H22:H39)</f>
        <v>946901.2663</v>
      </c>
      <c r="I40" s="47" t="n">
        <f aca="false">SUM(I22:I39)</f>
        <v>856658.8868</v>
      </c>
      <c r="J40" s="47" t="n">
        <f aca="false">SUM(J22:J39)</f>
        <v>758228.8293</v>
      </c>
      <c r="K40" s="47" t="n">
        <f aca="false">SUM(K22:K39)</f>
        <v>1015167.992175</v>
      </c>
      <c r="L40" s="47" t="n">
        <f aca="false">SUM(L22:L39)</f>
        <v>1146567.022175</v>
      </c>
      <c r="M40" s="47" t="n">
        <f aca="false">SUM(M22:M39)</f>
        <v>688160.54455</v>
      </c>
      <c r="N40" s="47" t="n">
        <f aca="false">SUM(N22:N39)</f>
        <v>689745.5968</v>
      </c>
      <c r="O40" s="47" t="n">
        <f aca="false">SUM(O22:O39)</f>
        <v>1412960.1577375</v>
      </c>
      <c r="P40" s="67" t="n">
        <f aca="false">SUM(P22:P39)</f>
        <v>593921.6026125</v>
      </c>
      <c r="Q40" s="48" t="n">
        <f aca="false">SUM(Q22:Q39)</f>
        <v>9781372.5132875</v>
      </c>
      <c r="R40" s="48" t="n">
        <f aca="false">SUM(R22:R39)</f>
        <v>5024793.3</v>
      </c>
      <c r="S40" s="48" t="n">
        <f aca="false">SUM(S22:S39)</f>
        <v>526326.7701125</v>
      </c>
      <c r="T40" s="5" t="n">
        <f aca="false">R40-Q40</f>
        <v>-4756579.2132875</v>
      </c>
      <c r="U40" s="48" t="n">
        <f aca="false">SUM(U22:U39)</f>
        <v>1150471.0944125</v>
      </c>
      <c r="V40" s="48" t="n">
        <f aca="false">SUM(V22:V39)</f>
        <v>1693060.6148375</v>
      </c>
      <c r="W40" s="48" t="n">
        <f aca="false">SUM(W22:W39)</f>
        <v>2639961.8811375</v>
      </c>
      <c r="X40" s="48" t="n">
        <f aca="false">SUM(X22:X39)</f>
        <v>3496620.7679375</v>
      </c>
      <c r="Y40" s="48" t="n">
        <f aca="false">SUM(Y22:Y39)</f>
        <v>4254849.5972375</v>
      </c>
      <c r="Z40" s="48" t="n">
        <f aca="false">SUM(Z22:Z39)</f>
        <v>5270017.5894125</v>
      </c>
      <c r="AA40" s="48" t="n">
        <f aca="false">SUM(AA22:AA39)</f>
        <v>6416584.6115875</v>
      </c>
      <c r="AB40" s="48" t="n">
        <f aca="false">SUM(AB22:AB39)</f>
        <v>7104745.1561375</v>
      </c>
      <c r="AC40" s="48" t="n">
        <f aca="false">SUM(AC22:AC39)</f>
        <v>7794490.7529375</v>
      </c>
      <c r="AD40" s="48" t="n">
        <f aca="false">SUM(AD22:AD39)</f>
        <v>9187450.910675</v>
      </c>
      <c r="AE40" s="48" t="n">
        <f aca="false">SUM(AE22:AE39)</f>
        <v>9781372.5132875</v>
      </c>
      <c r="AG40" s="49" t="n">
        <f aca="false">SUM(AG22:AG39)</f>
        <v>2801213.84</v>
      </c>
      <c r="AI40" s="55" t="n">
        <f aca="false">SUM(AI22:AI39)</f>
        <v>565966.8</v>
      </c>
      <c r="AJ40" s="55" t="n">
        <f aca="false">SUM(AJ22:AJ39)</f>
        <v>495012.4</v>
      </c>
      <c r="AK40" s="55" t="n">
        <f aca="false">SUM(AK22:AK39)</f>
        <v>779615.8</v>
      </c>
      <c r="AL40" s="55" t="n">
        <f aca="false">SUM(AL22:AL39)</f>
        <v>871888.6</v>
      </c>
      <c r="AM40" s="55" t="n">
        <f aca="false">SUM(AM22:AM39)</f>
        <v>771122.5</v>
      </c>
      <c r="AN40" s="52" t="n">
        <f aca="false">SUM(AN22:AN39)</f>
        <v>487561</v>
      </c>
      <c r="AO40" s="53" t="n">
        <f aca="false">SUM(AO22:AO39)</f>
        <v>3971167.1</v>
      </c>
      <c r="AP40" s="54" t="n">
        <f aca="false">SUM(AP22:AP39)</f>
        <v>8226016.6972375</v>
      </c>
      <c r="AR40" s="53" t="n">
        <f aca="false">AI40+AG40</f>
        <v>3367180.64</v>
      </c>
      <c r="AS40" s="55" t="n">
        <f aca="false">SUM(AS22:AS39)</f>
        <v>3862193.04</v>
      </c>
      <c r="AT40" s="55" t="n">
        <f aca="false">SUM(AT22:AT39)</f>
        <v>4641808.84</v>
      </c>
      <c r="AU40" s="55" t="n">
        <f aca="false">SUM(AU22:AU39)</f>
        <v>5513697.44</v>
      </c>
      <c r="AV40" s="55" t="n">
        <f aca="false">SUM(AV22:AV39)</f>
        <v>6284819.94</v>
      </c>
      <c r="AW40" s="55" t="n">
        <f aca="false">SUM(AW22:AW39)</f>
        <v>6772380.94</v>
      </c>
    </row>
    <row r="41" customFormat="false" ht="15" hidden="false" customHeight="true" outlineLevel="0" collapsed="false">
      <c r="A41" s="68"/>
      <c r="B41" s="68" t="s">
        <v>99</v>
      </c>
      <c r="C41" s="68"/>
      <c r="D41" s="68"/>
      <c r="E41" s="69" t="n">
        <f aca="false">E40+E21</f>
        <v>2378890.53460403</v>
      </c>
      <c r="F41" s="69" t="n">
        <f aca="false">F40+F21</f>
        <v>2671040.95131507</v>
      </c>
      <c r="G41" s="69" t="n">
        <f aca="false">G40+G21</f>
        <v>2775894.33953046</v>
      </c>
      <c r="H41" s="69" t="n">
        <f aca="false">H40+H21</f>
        <v>2944067.66732637</v>
      </c>
      <c r="I41" s="69" t="n">
        <f aca="false">I40+I21</f>
        <v>3153822.46296761</v>
      </c>
      <c r="J41" s="69" t="n">
        <f aca="false">J40+J21</f>
        <v>3481428.37533578</v>
      </c>
      <c r="K41" s="69" t="n">
        <f aca="false">K40+K21</f>
        <v>3827194.65685485</v>
      </c>
      <c r="L41" s="69" t="n">
        <f aca="false">L40+L21</f>
        <v>4141049.61905824</v>
      </c>
      <c r="M41" s="69" t="n">
        <f aca="false">M40+M21</f>
        <v>3373969.69510556</v>
      </c>
      <c r="N41" s="69" t="n">
        <f aca="false">N40+N21</f>
        <v>3737220.37824068</v>
      </c>
      <c r="O41" s="69" t="n">
        <f aca="false">O40+O21</f>
        <v>4914196.14445125</v>
      </c>
      <c r="P41" s="70" t="n">
        <f aca="false">P40+P21</f>
        <v>3862704.38781966</v>
      </c>
      <c r="Q41" s="71" t="n">
        <f aca="false">Q40+Q21</f>
        <v>41241479.2126095</v>
      </c>
      <c r="R41" s="71" t="n">
        <f aca="false">R40+R21</f>
        <v>5024793.3</v>
      </c>
      <c r="S41" s="71" t="n">
        <f aca="false">S40+S21</f>
        <v>2378890.53460403</v>
      </c>
      <c r="U41" s="71" t="n">
        <f aca="false">U40+U21</f>
        <v>5049931.48591909</v>
      </c>
      <c r="V41" s="71" t="n">
        <f aca="false">V40+V21</f>
        <v>7825825.82544955</v>
      </c>
      <c r="W41" s="71" t="n">
        <f aca="false">W40+W21</f>
        <v>10769893.4927759</v>
      </c>
      <c r="X41" s="71" t="n">
        <f aca="false">X40+X21</f>
        <v>13923715.9557435</v>
      </c>
      <c r="Y41" s="71" t="n">
        <f aca="false">Y40+Y21</f>
        <v>17405144.3310793</v>
      </c>
      <c r="Z41" s="71" t="n">
        <f aca="false">Z40+Z21</f>
        <v>21232338.9879342</v>
      </c>
      <c r="AA41" s="71" t="n">
        <f aca="false">AA40+AA21</f>
        <v>25373388.6069924</v>
      </c>
      <c r="AB41" s="71" t="n">
        <f aca="false">AB40+AB21</f>
        <v>28747358.302098</v>
      </c>
      <c r="AC41" s="71" t="n">
        <f aca="false">AC40+AC21</f>
        <v>32484578.6803386</v>
      </c>
      <c r="AD41" s="71" t="n">
        <f aca="false">AD40+AD21</f>
        <v>37378774.8247899</v>
      </c>
      <c r="AE41" s="71" t="n">
        <f aca="false">AE40+AE21</f>
        <v>41241479.2126095</v>
      </c>
      <c r="AG41" s="72" t="n">
        <f aca="false">AG40+AG21</f>
        <v>12671808.107</v>
      </c>
      <c r="AI41" s="73" t="n">
        <f aca="false">AI40+AI21</f>
        <v>2665966.8</v>
      </c>
      <c r="AJ41" s="74" t="n">
        <f aca="false">AJ40+AJ21</f>
        <v>2626512.4</v>
      </c>
      <c r="AK41" s="74" t="n">
        <f aca="false">AK40+AK21</f>
        <v>3406716.64745763</v>
      </c>
      <c r="AL41" s="74" t="n">
        <f aca="false">AL40+AL21</f>
        <v>3681445.37966102</v>
      </c>
      <c r="AM41" s="74" t="n">
        <f aca="false">AM40+AM21</f>
        <v>3433922.5</v>
      </c>
      <c r="AN41" s="75" t="n">
        <f aca="false">AN40+AN21</f>
        <v>3438082.18644068</v>
      </c>
      <c r="AO41" s="73" t="n">
        <f aca="false">AO40+AO21</f>
        <v>19252645.9135593</v>
      </c>
      <c r="AP41" s="74" t="n">
        <f aca="false">AP40+AP21</f>
        <v>36657790.2446386</v>
      </c>
      <c r="AR41" s="73" t="n">
        <f aca="false">AI41+AG41</f>
        <v>15337774.907</v>
      </c>
      <c r="AS41" s="74" t="n">
        <f aca="false">AS40+AS21</f>
        <v>17964287.307</v>
      </c>
      <c r="AT41" s="74" t="n">
        <f aca="false">AT40+AT21</f>
        <v>21371003.9544577</v>
      </c>
      <c r="AU41" s="74" t="n">
        <f aca="false">AU40+AU21</f>
        <v>25052449.3341187</v>
      </c>
      <c r="AV41" s="74" t="n">
        <f aca="false">AV40+AV21</f>
        <v>28486371.8341187</v>
      </c>
      <c r="AW41" s="74" t="n">
        <f aca="false">AW40+AW21</f>
        <v>31924454.0205594</v>
      </c>
    </row>
    <row r="42" customFormat="false" ht="15" hidden="false" customHeight="true" outlineLevel="0" collapsed="false">
      <c r="H42" s="4"/>
      <c r="S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G42" s="76"/>
    </row>
    <row r="43" customFormat="false" ht="14.25" hidden="false" customHeight="true" outlineLevel="0" collapsed="false">
      <c r="B43" s="77"/>
      <c r="C43" s="10"/>
      <c r="D43" s="10" t="s">
        <v>3</v>
      </c>
      <c r="E43" s="10" t="s">
        <v>4</v>
      </c>
      <c r="F43" s="10" t="s">
        <v>5</v>
      </c>
      <c r="G43" s="10" t="s">
        <v>6</v>
      </c>
      <c r="H43" s="11" t="s">
        <v>7</v>
      </c>
      <c r="I43" s="11" t="s">
        <v>8</v>
      </c>
      <c r="J43" s="10" t="s">
        <v>9</v>
      </c>
      <c r="K43" s="10" t="s">
        <v>10</v>
      </c>
      <c r="L43" s="10" t="s">
        <v>11</v>
      </c>
      <c r="M43" s="10" t="s">
        <v>12</v>
      </c>
      <c r="N43" s="11" t="s">
        <v>13</v>
      </c>
      <c r="O43" s="10" t="s">
        <v>14</v>
      </c>
      <c r="P43" s="12" t="s">
        <v>15</v>
      </c>
      <c r="Q43" s="13" t="s">
        <v>16</v>
      </c>
    </row>
    <row r="44" customFormat="false" ht="14.25" hidden="false" customHeight="true" outlineLevel="0" collapsed="false">
      <c r="B44" s="24" t="s">
        <v>31</v>
      </c>
      <c r="C44" s="24" t="s">
        <v>31</v>
      </c>
      <c r="D44" s="26" t="s">
        <v>32</v>
      </c>
      <c r="E44" s="78" t="n">
        <f aca="false">E5/$Q5</f>
        <v>0.0701058201058202</v>
      </c>
      <c r="F44" s="78" t="n">
        <f aca="false">F5/$Q5</f>
        <v>0.0667674477198285</v>
      </c>
      <c r="G44" s="78" t="n">
        <f aca="false">G5/$Q5</f>
        <v>0.0767825648778032</v>
      </c>
      <c r="H44" s="78" t="n">
        <f aca="false">H5/$Q5</f>
        <v>0.0686570924666162</v>
      </c>
      <c r="I44" s="78" t="n">
        <f aca="false">I5/$Q5</f>
        <v>0.0747039556563365</v>
      </c>
      <c r="J44" s="78" t="n">
        <f aca="false">J5/$Q5</f>
        <v>0.0932854623330813</v>
      </c>
      <c r="K44" s="78" t="n">
        <f aca="false">K5/$Q5</f>
        <v>0.0932854623330813</v>
      </c>
      <c r="L44" s="78" t="n">
        <f aca="false">L5/$Q5</f>
        <v>0.0932854623330813</v>
      </c>
      <c r="M44" s="78" t="n">
        <f aca="false">M5/$Q5</f>
        <v>0.0832703451751071</v>
      </c>
      <c r="N44" s="78" t="n">
        <f aca="false">N5/$Q5</f>
        <v>0.0899470899470901</v>
      </c>
      <c r="O44" s="78" t="n">
        <f aca="false">O5/$Q5</f>
        <v>0.0932854623330813</v>
      </c>
      <c r="P44" s="78" t="n">
        <f aca="false">P5/$Q5</f>
        <v>0.096623834719073</v>
      </c>
      <c r="Q44" s="79" t="n">
        <f aca="false">SUM(E44:P44)</f>
        <v>1</v>
      </c>
    </row>
    <row r="45" customFormat="false" ht="14.25" hidden="false" customHeight="true" outlineLevel="0" collapsed="false">
      <c r="B45" s="24" t="s">
        <v>33</v>
      </c>
      <c r="C45" s="24" t="s">
        <v>33</v>
      </c>
      <c r="D45" s="26" t="s">
        <v>32</v>
      </c>
      <c r="E45" s="78" t="n">
        <f aca="false">E6/$Q6</f>
        <v>0.0791660520234056</v>
      </c>
      <c r="F45" s="78" t="n">
        <f aca="false">F6/$Q6</f>
        <v>0.0785713114965217</v>
      </c>
      <c r="G45" s="78" t="n">
        <f aca="false">G6/$Q6</f>
        <v>0.0900914823322258</v>
      </c>
      <c r="H45" s="78" t="n">
        <f aca="false">H6/$Q6</f>
        <v>0.0701489426965161</v>
      </c>
      <c r="I45" s="78" t="n">
        <f aca="false">I6/$Q6</f>
        <v>0.0824066854454817</v>
      </c>
      <c r="J45" s="78" t="n">
        <f aca="false">J6/$Q6</f>
        <v>0.0893492274226896</v>
      </c>
      <c r="K45" s="78" t="n">
        <f aca="false">K6/$Q6</f>
        <v>0.0893492274226896</v>
      </c>
      <c r="L45" s="78" t="n">
        <f aca="false">L6/$Q6</f>
        <v>0.0893492274226896</v>
      </c>
      <c r="M45" s="78" t="n">
        <f aca="false">M6/$Q6</f>
        <v>0.0778290565869855</v>
      </c>
      <c r="N45" s="78" t="n">
        <f aca="false">N6/$Q6</f>
        <v>0.0806411958499287</v>
      </c>
      <c r="O45" s="78" t="n">
        <f aca="false">O6/$Q6</f>
        <v>0.084776281560468</v>
      </c>
      <c r="P45" s="78" t="n">
        <f aca="false">P6/$Q6</f>
        <v>0.0883213097403981</v>
      </c>
      <c r="Q45" s="79" t="n">
        <f aca="false">SUM(E45:P45)</f>
        <v>1</v>
      </c>
    </row>
    <row r="46" customFormat="false" ht="14.25" hidden="false" customHeight="true" outlineLevel="0" collapsed="false">
      <c r="B46" s="24" t="s">
        <v>34</v>
      </c>
      <c r="C46" s="24" t="s">
        <v>34</v>
      </c>
      <c r="D46" s="26" t="s">
        <v>32</v>
      </c>
      <c r="E46" s="78" t="n">
        <f aca="false">E7/$Q7</f>
        <v>0.0811111111111111</v>
      </c>
      <c r="F46" s="78" t="n">
        <f aca="false">F7/$Q7</f>
        <v>0.0815873015873016</v>
      </c>
      <c r="G46" s="78" t="n">
        <f aca="false">G7/$Q7</f>
        <v>0.0912698412698412</v>
      </c>
      <c r="H46" s="78" t="n">
        <f aca="false">H7/$Q7</f>
        <v>0.0674603174603174</v>
      </c>
      <c r="I46" s="78" t="n">
        <f aca="false">I7/$Q7</f>
        <v>0.0793650793650793</v>
      </c>
      <c r="J46" s="78" t="n">
        <f aca="false">J7/$Q7</f>
        <v>0.0873015873015873</v>
      </c>
      <c r="K46" s="78" t="n">
        <f aca="false">K7/$Q7</f>
        <v>0.0873015873015873</v>
      </c>
      <c r="L46" s="78" t="n">
        <f aca="false">L7/$Q7</f>
        <v>0.0873015873015873</v>
      </c>
      <c r="M46" s="78" t="n">
        <f aca="false">M7/$Q7</f>
        <v>0.0753968253968253</v>
      </c>
      <c r="N46" s="78" t="n">
        <f aca="false">N7/$Q7</f>
        <v>0.0833333333333333</v>
      </c>
      <c r="O46" s="78" t="n">
        <f aca="false">O7/$Q7</f>
        <v>0.0873015873015873</v>
      </c>
      <c r="P46" s="78" t="n">
        <f aca="false">P7/$Q7</f>
        <v>0.0912698412698412</v>
      </c>
      <c r="Q46" s="79" t="n">
        <f aca="false">SUM(E46:P46)</f>
        <v>1</v>
      </c>
    </row>
    <row r="47" customFormat="false" ht="14.25" hidden="false" customHeight="true" outlineLevel="0" collapsed="false">
      <c r="B47" s="24" t="s">
        <v>100</v>
      </c>
      <c r="C47" s="24" t="s">
        <v>35</v>
      </c>
      <c r="D47" s="26" t="s">
        <v>32</v>
      </c>
      <c r="E47" s="78" t="n">
        <f aca="false">E8/$Q8</f>
        <v>0.0782400273925696</v>
      </c>
      <c r="F47" s="78" t="n">
        <f aca="false">F8/$Q8</f>
        <v>0.0805308940902163</v>
      </c>
      <c r="G47" s="78" t="n">
        <f aca="false">G8/$Q8</f>
        <v>0.0890666144903431</v>
      </c>
      <c r="H47" s="78" t="n">
        <f aca="false">H8/$Q8</f>
        <v>0.0689135095914756</v>
      </c>
      <c r="I47" s="78" t="n">
        <f aca="false">I8/$Q8</f>
        <v>0.0825853368226251</v>
      </c>
      <c r="J47" s="78" t="n">
        <f aca="false">J8/$Q8</f>
        <v>0.0877622064062743</v>
      </c>
      <c r="K47" s="78" t="n">
        <f aca="false">K8/$Q8</f>
        <v>0.0877622064062743</v>
      </c>
      <c r="L47" s="78" t="n">
        <f aca="false">L8/$Q8</f>
        <v>0.0877622064062743</v>
      </c>
      <c r="M47" s="78" t="n">
        <f aca="false">M8/$Q8</f>
        <v>0.0771720432737381</v>
      </c>
      <c r="N47" s="78" t="n">
        <f aca="false">N8/$Q8</f>
        <v>0.0833761342235917</v>
      </c>
      <c r="O47" s="78" t="n">
        <f aca="false">O8/$Q8</f>
        <v>0.0877622064062743</v>
      </c>
      <c r="P47" s="78" t="n">
        <f aca="false">P8/$Q8</f>
        <v>0.0890666144903431</v>
      </c>
      <c r="Q47" s="79" t="n">
        <f aca="false">SUM(E47:P47)</f>
        <v>1</v>
      </c>
    </row>
    <row r="48" customFormat="false" ht="14.25" hidden="false" customHeight="true" outlineLevel="0" collapsed="false">
      <c r="B48" s="24" t="s">
        <v>36</v>
      </c>
      <c r="C48" s="24" t="s">
        <v>36</v>
      </c>
      <c r="D48" s="26" t="s">
        <v>32</v>
      </c>
      <c r="E48" s="78" t="n">
        <f aca="false">E9/$Q9</f>
        <v>0.0833143118009587</v>
      </c>
      <c r="F48" s="78" t="n">
        <f aca="false">F9/$Q9</f>
        <v>0.0833143118009587</v>
      </c>
      <c r="G48" s="78" t="n">
        <f aca="false">G9/$Q9</f>
        <v>0.0833143118009587</v>
      </c>
      <c r="H48" s="78" t="n">
        <f aca="false">H9/$Q9</f>
        <v>0.0833143118009587</v>
      </c>
      <c r="I48" s="78" t="n">
        <f aca="false">I9/$Q9</f>
        <v>0.0833143118009587</v>
      </c>
      <c r="J48" s="78" t="n">
        <f aca="false">J9/$Q9</f>
        <v>0.0833143118009587</v>
      </c>
      <c r="K48" s="78" t="n">
        <f aca="false">K9/$Q9</f>
        <v>0.0833143118009587</v>
      </c>
      <c r="L48" s="78" t="n">
        <f aca="false">L9/$Q9</f>
        <v>0.0833143118009587</v>
      </c>
      <c r="M48" s="78" t="n">
        <f aca="false">M9/$Q9</f>
        <v>0.0833143118009587</v>
      </c>
      <c r="N48" s="78" t="n">
        <f aca="false">N9/$Q9</f>
        <v>0.0833143118009587</v>
      </c>
      <c r="O48" s="78" t="n">
        <f aca="false">O9/$Q9</f>
        <v>0.0833143118009587</v>
      </c>
      <c r="P48" s="78" t="n">
        <f aca="false">P9/$Q9</f>
        <v>0.0835425701894545</v>
      </c>
      <c r="Q48" s="79" t="n">
        <f aca="false">SUM(E48:P48)</f>
        <v>1</v>
      </c>
    </row>
    <row r="49" customFormat="false" ht="14.25" hidden="false" customHeight="true" outlineLevel="0" collapsed="false">
      <c r="B49" s="24" t="s">
        <v>37</v>
      </c>
      <c r="C49" s="24" t="s">
        <v>37</v>
      </c>
      <c r="D49" s="26" t="s">
        <v>32</v>
      </c>
      <c r="E49" s="78" t="n">
        <f aca="false">E10/$Q10</f>
        <v>0.0683060109289619</v>
      </c>
      <c r="F49" s="78" t="n">
        <f aca="false">F10/$Q10</f>
        <v>0.0896435076762944</v>
      </c>
      <c r="G49" s="78" t="n">
        <f aca="false">G10/$Q10</f>
        <v>0.0912047879260994</v>
      </c>
      <c r="H49" s="78" t="n">
        <f aca="false">H10/$Q10</f>
        <v>0.0798855061150145</v>
      </c>
      <c r="I49" s="78" t="n">
        <f aca="false">I10/$Q10</f>
        <v>0.0814467863648193</v>
      </c>
      <c r="J49" s="78" t="n">
        <f aca="false">J10/$Q10</f>
        <v>0.0879521207390059</v>
      </c>
      <c r="K49" s="78" t="n">
        <f aca="false">K10/$Q10</f>
        <v>0.0879521207390059</v>
      </c>
      <c r="L49" s="78" t="n">
        <f aca="false">L10/$Q10</f>
        <v>0.0879521207390059</v>
      </c>
      <c r="M49" s="78" t="n">
        <f aca="false">M10/$Q10</f>
        <v>0.0781941191777259</v>
      </c>
      <c r="N49" s="78" t="n">
        <f aca="false">N10/$Q10</f>
        <v>0.0846994535519125</v>
      </c>
      <c r="O49" s="78" t="n">
        <f aca="false">O10/$Q10</f>
        <v>0.0879521207390059</v>
      </c>
      <c r="P49" s="78" t="n">
        <f aca="false">P10/$Q10</f>
        <v>0.0748113453031487</v>
      </c>
      <c r="Q49" s="79" t="n">
        <f aca="false">SUM(E49:P49)</f>
        <v>1</v>
      </c>
    </row>
    <row r="50" customFormat="false" ht="14.25" hidden="false" customHeight="true" outlineLevel="0" collapsed="false">
      <c r="B50" s="24" t="s">
        <v>38</v>
      </c>
      <c r="C50" s="24" t="s">
        <v>38</v>
      </c>
      <c r="D50" s="26" t="s">
        <v>32</v>
      </c>
      <c r="E50" s="78" t="n">
        <f aca="false">E11/$Q11</f>
        <v>0.0644685868283643</v>
      </c>
      <c r="F50" s="78" t="n">
        <f aca="false">F11/$Q11</f>
        <v>0.0783624886707251</v>
      </c>
      <c r="G50" s="78" t="n">
        <f aca="false">G11/$Q11</f>
        <v>0.0811476856196412</v>
      </c>
      <c r="H50" s="78" t="n">
        <f aca="false">H11/$Q11</f>
        <v>0.0705242346222637</v>
      </c>
      <c r="I50" s="78" t="n">
        <f aca="false">I11/$Q11</f>
        <v>0.0859420743200429</v>
      </c>
      <c r="J50" s="78" t="n">
        <f aca="false">J11/$Q11</f>
        <v>0.0894832246525022</v>
      </c>
      <c r="K50" s="78" t="n">
        <f aca="false">K11/$Q11</f>
        <v>0.0894832246525022</v>
      </c>
      <c r="L50" s="78" t="n">
        <f aca="false">L11/$Q11</f>
        <v>0.0894832246525022</v>
      </c>
      <c r="M50" s="78" t="n">
        <f aca="false">M11/$Q11</f>
        <v>0.0841714991538135</v>
      </c>
      <c r="N50" s="78" t="n">
        <f aca="false">N11/$Q11</f>
        <v>0.0877126494862723</v>
      </c>
      <c r="O50" s="78" t="n">
        <f aca="false">O11/$Q11</f>
        <v>0.0894832246525022</v>
      </c>
      <c r="P50" s="78" t="n">
        <f aca="false">P11/$Q11</f>
        <v>0.0897378826888681</v>
      </c>
      <c r="Q50" s="79" t="n">
        <f aca="false">SUM(E50:P50)</f>
        <v>1</v>
      </c>
    </row>
    <row r="51" customFormat="false" ht="14.25" hidden="false" customHeight="true" outlineLevel="0" collapsed="false">
      <c r="B51" s="36" t="s">
        <v>39</v>
      </c>
      <c r="C51" s="36" t="s">
        <v>39</v>
      </c>
      <c r="D51" s="26" t="s">
        <v>32</v>
      </c>
      <c r="E51" s="78" t="n">
        <f aca="false">E12/$Q12</f>
        <v>0.0833333333333332</v>
      </c>
      <c r="F51" s="78" t="n">
        <f aca="false">F12/$Q12</f>
        <v>0.0793650793650795</v>
      </c>
      <c r="G51" s="78" t="n">
        <f aca="false">G12/$Q12</f>
        <v>0.0912698412698411</v>
      </c>
      <c r="H51" s="78" t="n">
        <f aca="false">H12/$Q12</f>
        <v>0.0674603174603174</v>
      </c>
      <c r="I51" s="78" t="n">
        <f aca="false">I12/$Q12</f>
        <v>0.0793650793650795</v>
      </c>
      <c r="J51" s="78" t="n">
        <f aca="false">J12/$Q12</f>
        <v>0.0873015873015874</v>
      </c>
      <c r="K51" s="78" t="n">
        <f aca="false">K12/$Q12</f>
        <v>0.0873015873015874</v>
      </c>
      <c r="L51" s="78" t="n">
        <f aca="false">L12/$Q12</f>
        <v>0.0873015873015874</v>
      </c>
      <c r="M51" s="78" t="n">
        <f aca="false">M12/$Q12</f>
        <v>0.0753968253968253</v>
      </c>
      <c r="N51" s="78" t="n">
        <f aca="false">N12/$Q12</f>
        <v>0.0833333333333332</v>
      </c>
      <c r="O51" s="78" t="n">
        <f aca="false">O12/$Q12</f>
        <v>0.0873015873015874</v>
      </c>
      <c r="P51" s="78" t="n">
        <f aca="false">P12/$Q12</f>
        <v>0.0912698412698411</v>
      </c>
      <c r="Q51" s="79" t="n">
        <f aca="false">SUM(E51:P51)</f>
        <v>1</v>
      </c>
    </row>
    <row r="52" customFormat="false" ht="14.25" hidden="false" customHeight="true" outlineLevel="0" collapsed="false">
      <c r="B52" s="24" t="s">
        <v>40</v>
      </c>
      <c r="C52" s="24" t="s">
        <v>40</v>
      </c>
      <c r="D52" s="26" t="s">
        <v>32</v>
      </c>
      <c r="E52" s="78" t="n">
        <f aca="false">E13/$Q13</f>
        <v>0.0633333333333333</v>
      </c>
      <c r="F52" s="78" t="n">
        <f aca="false">F13/$Q13</f>
        <v>0.0793650793650794</v>
      </c>
      <c r="G52" s="78" t="n">
        <f aca="false">G13/$Q13</f>
        <v>0.0912698412698413</v>
      </c>
      <c r="H52" s="78" t="n">
        <f aca="false">H13/$Q13</f>
        <v>0.0674603174603175</v>
      </c>
      <c r="I52" s="78" t="n">
        <f aca="false">I13/$Q13</f>
        <v>0.0793650793650794</v>
      </c>
      <c r="J52" s="78" t="n">
        <f aca="false">J13/$Q13</f>
        <v>0.0873015873015873</v>
      </c>
      <c r="K52" s="78" t="n">
        <f aca="false">K13/$Q13</f>
        <v>0.0873015873015873</v>
      </c>
      <c r="L52" s="78" t="n">
        <f aca="false">L13/$Q13</f>
        <v>0.0873015873015873</v>
      </c>
      <c r="M52" s="78" t="n">
        <f aca="false">M13/$Q13</f>
        <v>0.0853968253968254</v>
      </c>
      <c r="N52" s="78" t="n">
        <f aca="false">N13/$Q13</f>
        <v>0.0933333333333333</v>
      </c>
      <c r="O52" s="78" t="n">
        <f aca="false">O13/$Q13</f>
        <v>0.0873015873015873</v>
      </c>
      <c r="P52" s="78" t="n">
        <f aca="false">P13/$Q13</f>
        <v>0.0912698412698413</v>
      </c>
      <c r="Q52" s="79" t="n">
        <f aca="false">SUM(E52:P52)</f>
        <v>1</v>
      </c>
    </row>
    <row r="53" customFormat="false" ht="14.25" hidden="true" customHeight="true" outlineLevel="0" collapsed="false">
      <c r="B53" s="24" t="s">
        <v>42</v>
      </c>
      <c r="C53" s="24" t="s">
        <v>42</v>
      </c>
      <c r="D53" s="26" t="s">
        <v>32</v>
      </c>
      <c r="E53" s="78" t="str">
        <f aca="false">IFERROR(E15/$Q15,"-")</f>
        <v>-</v>
      </c>
      <c r="F53" s="78" t="str">
        <f aca="false">IFERROR(F15/$Q15,"-")</f>
        <v>-</v>
      </c>
      <c r="G53" s="78" t="str">
        <f aca="false">IFERROR(G15/$Q15,"-")</f>
        <v>-</v>
      </c>
      <c r="H53" s="78" t="str">
        <f aca="false">IFERROR(H15/$Q15,"-")</f>
        <v>-</v>
      </c>
      <c r="I53" s="78" t="str">
        <f aca="false">IFERROR(I15/$Q15,"-")</f>
        <v>-</v>
      </c>
      <c r="J53" s="78" t="str">
        <f aca="false">IFERROR(J15/$Q15,"-")</f>
        <v>-</v>
      </c>
      <c r="K53" s="78" t="str">
        <f aca="false">IFERROR(K15/$Q15,"-")</f>
        <v>-</v>
      </c>
      <c r="L53" s="78" t="str">
        <f aca="false">IFERROR(L15/$Q15,"-")</f>
        <v>-</v>
      </c>
      <c r="M53" s="78" t="str">
        <f aca="false">IFERROR(M15/$Q15,"-")</f>
        <v>-</v>
      </c>
      <c r="N53" s="78" t="str">
        <f aca="false">IFERROR(N15/$Q15,"-")</f>
        <v>-</v>
      </c>
      <c r="O53" s="78" t="str">
        <f aca="false">IFERROR(O15/$Q15,"-")</f>
        <v>-</v>
      </c>
      <c r="P53" s="78" t="str">
        <f aca="false">IFERROR(P15/$Q15,"-")</f>
        <v>-</v>
      </c>
      <c r="Q53" s="79" t="n">
        <f aca="false">IFERROR(SUM(E53:P53),"-")</f>
        <v>0</v>
      </c>
    </row>
    <row r="54" customFormat="false" ht="14.25" hidden="false" customHeight="true" outlineLevel="0" collapsed="false">
      <c r="B54" s="24" t="s">
        <v>44</v>
      </c>
      <c r="C54" s="24" t="s">
        <v>44</v>
      </c>
      <c r="D54" s="26" t="s">
        <v>32</v>
      </c>
      <c r="E54" s="78" t="n">
        <f aca="false">E17/$Q17</f>
        <v>0.0833333333333333</v>
      </c>
      <c r="F54" s="78" t="n">
        <f aca="false">F17/$Q17</f>
        <v>0.0793650793650793</v>
      </c>
      <c r="G54" s="78" t="n">
        <f aca="false">G17/$Q17</f>
        <v>0.0912698412698413</v>
      </c>
      <c r="H54" s="78" t="n">
        <f aca="false">H17/$Q17</f>
        <v>0.0674603174603174</v>
      </c>
      <c r="I54" s="78" t="n">
        <f aca="false">I17/$Q17</f>
        <v>0.0793650793650793</v>
      </c>
      <c r="J54" s="78" t="n">
        <f aca="false">J17/$Q17</f>
        <v>0.0873015873015873</v>
      </c>
      <c r="K54" s="78" t="n">
        <f aca="false">K17/$Q17</f>
        <v>0.0873015873015873</v>
      </c>
      <c r="L54" s="78" t="n">
        <f aca="false">L17/$Q17</f>
        <v>0.0873015873015873</v>
      </c>
      <c r="M54" s="78" t="n">
        <f aca="false">M17/$Q17</f>
        <v>0.0753968253968253</v>
      </c>
      <c r="N54" s="78" t="n">
        <f aca="false">N17/$Q17</f>
        <v>0.0833333333333333</v>
      </c>
      <c r="O54" s="78" t="n">
        <f aca="false">O17/$Q17</f>
        <v>0.0873015873015873</v>
      </c>
      <c r="P54" s="78" t="n">
        <f aca="false">P17/$Q17</f>
        <v>0.0912698412698413</v>
      </c>
      <c r="Q54" s="79" t="n">
        <f aca="false">SUM(E54:P54)</f>
        <v>1</v>
      </c>
    </row>
    <row r="55" customFormat="false" ht="14.25" hidden="false" customHeight="true" outlineLevel="0" collapsed="false">
      <c r="B55" s="24" t="s">
        <v>45</v>
      </c>
      <c r="C55" s="24" t="s">
        <v>45</v>
      </c>
      <c r="D55" s="26" t="s">
        <v>32</v>
      </c>
      <c r="E55" s="78" t="n">
        <f aca="false">E18/$Q18</f>
        <v>0.0274927629229143</v>
      </c>
      <c r="F55" s="78" t="n">
        <f aca="false">F18/$Q18</f>
        <v>0.0412391443843716</v>
      </c>
      <c r="G55" s="78" t="n">
        <f aca="false">G18/$Q18</f>
        <v>0.0453630588228087</v>
      </c>
      <c r="H55" s="78" t="n">
        <f aca="false">H18/$Q18</f>
        <v>0.0420442895842569</v>
      </c>
      <c r="I55" s="78" t="n">
        <f aca="false">I18/$Q18</f>
        <v>0.0548893011755986</v>
      </c>
      <c r="J55" s="78" t="n">
        <f aca="false">J18/$Q18</f>
        <v>0.0823339910387734</v>
      </c>
      <c r="K55" s="78" t="n">
        <f aca="false">K18/$Q18</f>
        <v>0.0905673665774254</v>
      </c>
      <c r="L55" s="78" t="n">
        <f aca="false">L18/$Q18</f>
        <v>0.107479186211076</v>
      </c>
      <c r="M55" s="78" t="n">
        <f aca="false">M18/$Q18</f>
        <v>0.0938763169720762</v>
      </c>
      <c r="N55" s="78" t="n">
        <f aca="false">N18/$Q18</f>
        <v>0.120545161065567</v>
      </c>
      <c r="O55" s="78" t="n">
        <f aca="false">O18/$Q18</f>
        <v>0.156164863259246</v>
      </c>
      <c r="P55" s="78" t="n">
        <f aca="false">P18/$Q18</f>
        <v>0.13800455798589</v>
      </c>
      <c r="Q55" s="79" t="n">
        <f aca="false">SUM(E55:P55)</f>
        <v>1</v>
      </c>
    </row>
    <row r="56" customFormat="false" ht="14.25" hidden="false" customHeight="true" outlineLevel="0" collapsed="false">
      <c r="B56" s="38" t="s">
        <v>46</v>
      </c>
      <c r="C56" s="38" t="s">
        <v>46</v>
      </c>
      <c r="D56" s="26" t="s">
        <v>32</v>
      </c>
      <c r="E56" s="78" t="n">
        <f aca="false">E19/$Q19</f>
        <v>0.0833333333333332</v>
      </c>
      <c r="F56" s="78" t="n">
        <f aca="false">F19/$Q19</f>
        <v>0.0833333333333332</v>
      </c>
      <c r="G56" s="78" t="n">
        <f aca="false">G19/$Q19</f>
        <v>0.0833333333333332</v>
      </c>
      <c r="H56" s="78" t="n">
        <f aca="false">H19/$Q19</f>
        <v>0.0833333333333332</v>
      </c>
      <c r="I56" s="78" t="n">
        <f aca="false">I19/$Q19</f>
        <v>0.0833333333333332</v>
      </c>
      <c r="J56" s="78" t="n">
        <f aca="false">J19/$Q19</f>
        <v>0.0833333333333332</v>
      </c>
      <c r="K56" s="78" t="n">
        <f aca="false">K19/$Q19</f>
        <v>0.0833333333333332</v>
      </c>
      <c r="L56" s="78" t="n">
        <f aca="false">L19/$Q19</f>
        <v>0.0833333333333332</v>
      </c>
      <c r="M56" s="78" t="n">
        <f aca="false">M19/$Q19</f>
        <v>0.0833333333333332</v>
      </c>
      <c r="N56" s="78" t="n">
        <f aca="false">N19/$Q19</f>
        <v>0.0833333333333332</v>
      </c>
      <c r="O56" s="78" t="n">
        <f aca="false">O19/$Q19</f>
        <v>0.0833333333333332</v>
      </c>
      <c r="P56" s="78" t="n">
        <f aca="false">P19/$Q19</f>
        <v>0.0833333333333332</v>
      </c>
      <c r="Q56" s="79" t="n">
        <f aca="false">SUM(E56:P56)</f>
        <v>0.999999999999999</v>
      </c>
    </row>
    <row r="57" customFormat="false" ht="14.25" hidden="false" customHeight="true" outlineLevel="0" collapsed="false">
      <c r="B57" s="80"/>
      <c r="C57" s="38"/>
      <c r="D57" s="26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8"/>
    </row>
    <row r="58" customFormat="false" ht="14.25" hidden="false" customHeight="true" outlineLevel="0" collapsed="false">
      <c r="B58" s="81" t="s">
        <v>48</v>
      </c>
      <c r="C58" s="81"/>
      <c r="D58" s="81"/>
      <c r="E58" s="82" t="n">
        <f aca="false">E21/$Q$21</f>
        <v>0.0588861246465973</v>
      </c>
      <c r="F58" s="82" t="n">
        <f aca="false">F21/$Q$21</f>
        <v>0.0650632449081674</v>
      </c>
      <c r="G58" s="82" t="n">
        <f aca="false">G21/$Q$21</f>
        <v>0.0709884693160812</v>
      </c>
      <c r="H58" s="82" t="n">
        <f aca="false">H21/$Q$21</f>
        <v>0.0634825056416419</v>
      </c>
      <c r="I58" s="82" t="n">
        <f aca="false">I21/$Q$21</f>
        <v>0.0730183021349103</v>
      </c>
      <c r="J58" s="82" t="n">
        <f aca="false">J21/$Q$21</f>
        <v>0.0865604040082442</v>
      </c>
      <c r="K58" s="82" t="n">
        <f aca="false">K21/$Q$21</f>
        <v>0.0893838883496365</v>
      </c>
      <c r="L58" s="82" t="n">
        <f aca="false">L21/$Q$21</f>
        <v>0.0951834850880457</v>
      </c>
      <c r="M58" s="82" t="n">
        <f aca="false">M21/$Q$21</f>
        <v>0.0853719021434037</v>
      </c>
      <c r="N58" s="82" t="n">
        <f aca="false">N21/$Q$21</f>
        <v>0.0968679099078312</v>
      </c>
      <c r="O58" s="82" t="n">
        <f aca="false">O21/$Q$21</f>
        <v>0.111291294087989</v>
      </c>
      <c r="P58" s="82" t="n">
        <f aca="false">P21/$Q$21</f>
        <v>0.103902469767453</v>
      </c>
      <c r="Q58" s="82" t="n">
        <f aca="false">SUM(E58:P58)</f>
        <v>1</v>
      </c>
    </row>
    <row r="59" s="5" customFormat="true" ht="14.25" hidden="false" customHeight="true" outlineLevel="0" collapsed="false">
      <c r="B59" s="83" t="s">
        <v>49</v>
      </c>
      <c r="C59" s="57" t="s">
        <v>50</v>
      </c>
      <c r="D59" s="59" t="s">
        <v>51</v>
      </c>
      <c r="E59" s="78" t="n">
        <f aca="false">E22/$Q22</f>
        <v>0.0570021117570476</v>
      </c>
      <c r="F59" s="78" t="n">
        <f aca="false">F22/$Q22</f>
        <v>0.0653835938232768</v>
      </c>
      <c r="G59" s="78" t="n">
        <f aca="false">G22/$Q22</f>
        <v>0.0696784078748597</v>
      </c>
      <c r="H59" s="78" t="n">
        <f aca="false">H22/$Q22</f>
        <v>0.0768617378977106</v>
      </c>
      <c r="I59" s="78" t="n">
        <f aca="false">I22/$Q22</f>
        <v>0.0834250708146909</v>
      </c>
      <c r="J59" s="78" t="n">
        <f aca="false">J22/$Q22</f>
        <v>0.0897009599568587</v>
      </c>
      <c r="K59" s="78" t="n">
        <f aca="false">K22/$Q22</f>
        <v>0.0965571556678041</v>
      </c>
      <c r="L59" s="78" t="n">
        <f aca="false">L22/$Q22</f>
        <v>0.100867568722248</v>
      </c>
      <c r="M59" s="78" t="n">
        <f aca="false">M22/$Q22</f>
        <v>0.0999450513098732</v>
      </c>
      <c r="N59" s="78" t="n">
        <f aca="false">N22/$Q22</f>
        <v>0.0929442364428523</v>
      </c>
      <c r="O59" s="78" t="n">
        <f aca="false">O22/$Q22</f>
        <v>0.0834406909754757</v>
      </c>
      <c r="P59" s="78" t="n">
        <f aca="false">P22/$Q22</f>
        <v>0.084193414757302</v>
      </c>
      <c r="Q59" s="79" t="n">
        <f aca="false">SUM(E59:P59)</f>
        <v>1</v>
      </c>
    </row>
    <row r="60" customFormat="false" ht="14.25" hidden="false" customHeight="true" outlineLevel="0" collapsed="false">
      <c r="B60" s="84" t="s">
        <v>52</v>
      </c>
      <c r="C60" s="65" t="s">
        <v>53</v>
      </c>
      <c r="D60" s="26" t="s">
        <v>54</v>
      </c>
      <c r="E60" s="78" t="n">
        <f aca="false">E23/$Q23</f>
        <v>0</v>
      </c>
      <c r="F60" s="78" t="n">
        <f aca="false">F23/$Q23</f>
        <v>0.24</v>
      </c>
      <c r="G60" s="78" t="n">
        <f aca="false">G23/$Q23</f>
        <v>0</v>
      </c>
      <c r="H60" s="78" t="n">
        <f aca="false">H23/$Q23</f>
        <v>0</v>
      </c>
      <c r="I60" s="78" t="n">
        <f aca="false">I23/$Q23</f>
        <v>0.24</v>
      </c>
      <c r="J60" s="78" t="n">
        <f aca="false">J23/$Q23</f>
        <v>0</v>
      </c>
      <c r="K60" s="78" t="n">
        <f aca="false">K23/$Q23</f>
        <v>0.21</v>
      </c>
      <c r="L60" s="78" t="n">
        <f aca="false">L23/$Q23</f>
        <v>0</v>
      </c>
      <c r="M60" s="78" t="n">
        <f aca="false">M23/$Q23</f>
        <v>0</v>
      </c>
      <c r="N60" s="78" t="n">
        <f aca="false">N23/$Q23</f>
        <v>0.16</v>
      </c>
      <c r="O60" s="78" t="n">
        <f aca="false">O23/$Q23</f>
        <v>0</v>
      </c>
      <c r="P60" s="78" t="n">
        <f aca="false">P23/$Q23</f>
        <v>0.15</v>
      </c>
      <c r="Q60" s="79" t="n">
        <f aca="false">SUM(E60:P60)</f>
        <v>1</v>
      </c>
    </row>
    <row r="61" customFormat="false" ht="14.25" hidden="false" customHeight="true" outlineLevel="0" collapsed="false">
      <c r="B61" s="84" t="s">
        <v>55</v>
      </c>
      <c r="C61" s="65" t="s">
        <v>56</v>
      </c>
      <c r="D61" s="26" t="s">
        <v>57</v>
      </c>
      <c r="E61" s="78" t="n">
        <f aca="false">E24/$Q24</f>
        <v>0.192146643262164</v>
      </c>
      <c r="F61" s="78" t="n">
        <f aca="false">F24/$Q24</f>
        <v>0.0180229155904812</v>
      </c>
      <c r="G61" s="78" t="n">
        <f aca="false">G24/$Q24</f>
        <v>0.0230769134911282</v>
      </c>
      <c r="H61" s="78" t="n">
        <f aca="false">H24/$Q24</f>
        <v>0.153846089940855</v>
      </c>
      <c r="I61" s="78" t="n">
        <f aca="false">I24/$Q24</f>
        <v>0.0230769134911282</v>
      </c>
      <c r="J61" s="78" t="n">
        <f aca="false">J24/$Q24</f>
        <v>0.0538461314792992</v>
      </c>
      <c r="K61" s="78" t="n">
        <f aca="false">K24/$Q24</f>
        <v>0.0205999914430805</v>
      </c>
      <c r="L61" s="78" t="n">
        <f aca="false">L24/$Q24</f>
        <v>0.184615307929026</v>
      </c>
      <c r="M61" s="78" t="n">
        <f aca="false">M24/$Q24</f>
        <v>0.0230769134911282</v>
      </c>
      <c r="N61" s="78" t="n">
        <f aca="false">N24/$Q24</f>
        <v>0</v>
      </c>
      <c r="O61" s="78" t="n">
        <f aca="false">O24/$Q24</f>
        <v>0.30769217988171</v>
      </c>
      <c r="P61" s="78" t="n">
        <f aca="false">P24/$Q24</f>
        <v>0</v>
      </c>
      <c r="Q61" s="79" t="n">
        <f aca="false">SUM(E61:P61)</f>
        <v>1</v>
      </c>
    </row>
    <row r="62" customFormat="false" ht="14.25" hidden="false" customHeight="true" outlineLevel="0" collapsed="false">
      <c r="B62" s="84" t="s">
        <v>58</v>
      </c>
      <c r="C62" s="65" t="s">
        <v>59</v>
      </c>
      <c r="D62" s="26" t="s">
        <v>60</v>
      </c>
      <c r="E62" s="78" t="n">
        <f aca="false">E25/$Q25</f>
        <v>0.134317948059077</v>
      </c>
      <c r="F62" s="78" t="n">
        <f aca="false">F25/$Q25</f>
        <v>0</v>
      </c>
      <c r="G62" s="78" t="n">
        <f aca="false">G25/$Q25</f>
        <v>0.190000011400001</v>
      </c>
      <c r="H62" s="78" t="n">
        <f aca="false">H25/$Q25</f>
        <v>0</v>
      </c>
      <c r="I62" s="78" t="n">
        <f aca="false">I25/$Q25</f>
        <v>0.170000010200001</v>
      </c>
      <c r="J62" s="78" t="n">
        <f aca="false">J25/$Q25</f>
        <v>0</v>
      </c>
      <c r="K62" s="78" t="n">
        <f aca="false">K25/$Q25</f>
        <v>0.170000010200001</v>
      </c>
      <c r="L62" s="78" t="n">
        <f aca="false">L25/$Q25</f>
        <v>0</v>
      </c>
      <c r="M62" s="78" t="n">
        <f aca="false">M25/$Q25</f>
        <v>0.170000010200001</v>
      </c>
      <c r="N62" s="78" t="n">
        <f aca="false">N25/$Q25</f>
        <v>0</v>
      </c>
      <c r="O62" s="78" t="n">
        <f aca="false">O25/$Q25</f>
        <v>0.165682009940921</v>
      </c>
      <c r="P62" s="78" t="n">
        <f aca="false">P25/$Q25</f>
        <v>0</v>
      </c>
      <c r="Q62" s="79" t="n">
        <f aca="false">SUM(E62:P62)</f>
        <v>1</v>
      </c>
    </row>
    <row r="63" customFormat="false" ht="14.25" hidden="false" customHeight="true" outlineLevel="0" collapsed="false">
      <c r="B63" s="84" t="s">
        <v>61</v>
      </c>
      <c r="C63" s="65" t="s">
        <v>62</v>
      </c>
      <c r="D63" s="26" t="s">
        <v>63</v>
      </c>
      <c r="E63" s="78" t="n">
        <f aca="false">E26/$Q26</f>
        <v>0.112678064387465</v>
      </c>
      <c r="F63" s="78" t="n">
        <f aca="false">F26/$Q26</f>
        <v>0</v>
      </c>
      <c r="G63" s="78" t="n">
        <f aca="false">G26/$Q26</f>
        <v>0.121428640816366</v>
      </c>
      <c r="H63" s="78" t="n">
        <f aca="false">H26/$Q26</f>
        <v>0.0714286122449213</v>
      </c>
      <c r="I63" s="78" t="n">
        <f aca="false">I26/$Q26</f>
        <v>0.121428640816366</v>
      </c>
      <c r="J63" s="78" t="n">
        <f aca="false">J26/$Q26</f>
        <v>0.0714286122449213</v>
      </c>
      <c r="K63" s="78" t="n">
        <f aca="false">K26/$Q26</f>
        <v>0.121428640816366</v>
      </c>
      <c r="L63" s="78" t="n">
        <f aca="false">L26/$Q26</f>
        <v>0.0714286122449213</v>
      </c>
      <c r="M63" s="78" t="n">
        <f aca="false">M26/$Q26</f>
        <v>0.121428640816366</v>
      </c>
      <c r="N63" s="78" t="n">
        <f aca="false">N26/$Q26</f>
        <v>0.0658928947959399</v>
      </c>
      <c r="O63" s="78" t="n">
        <f aca="false">O26/$Q26</f>
        <v>0.121428640816366</v>
      </c>
      <c r="P63" s="78" t="n">
        <f aca="false">P26/$Q26</f>
        <v>0</v>
      </c>
      <c r="Q63" s="79" t="n">
        <f aca="false">SUM(E63:P63)</f>
        <v>1</v>
      </c>
    </row>
    <row r="64" customFormat="false" ht="14.25" hidden="false" customHeight="true" outlineLevel="0" collapsed="false">
      <c r="B64" s="84" t="s">
        <v>64</v>
      </c>
      <c r="C64" s="65" t="s">
        <v>65</v>
      </c>
      <c r="D64" s="26" t="s">
        <v>66</v>
      </c>
      <c r="E64" s="78" t="n">
        <f aca="false">E27/$Q27</f>
        <v>0</v>
      </c>
      <c r="F64" s="78" t="n">
        <f aca="false">F27/$Q27</f>
        <v>0</v>
      </c>
      <c r="G64" s="78" t="n">
        <f aca="false">G27/$Q27</f>
        <v>0.1</v>
      </c>
      <c r="H64" s="78" t="n">
        <f aca="false">H27/$Q27</f>
        <v>0.1</v>
      </c>
      <c r="I64" s="78" t="n">
        <f aca="false">I27/$Q27</f>
        <v>0.1</v>
      </c>
      <c r="J64" s="78" t="n">
        <f aca="false">J27/$Q27</f>
        <v>0.1</v>
      </c>
      <c r="K64" s="78" t="n">
        <f aca="false">K27/$Q27</f>
        <v>0.1</v>
      </c>
      <c r="L64" s="78" t="n">
        <f aca="false">L27/$Q27</f>
        <v>0.1</v>
      </c>
      <c r="M64" s="78" t="n">
        <f aca="false">M27/$Q27</f>
        <v>0.1</v>
      </c>
      <c r="N64" s="78" t="n">
        <f aca="false">N27/$Q27</f>
        <v>0.1</v>
      </c>
      <c r="O64" s="78" t="n">
        <f aca="false">O27/$Q27</f>
        <v>0.1</v>
      </c>
      <c r="P64" s="78" t="n">
        <f aca="false">P27/$Q27</f>
        <v>0.1</v>
      </c>
      <c r="Q64" s="79" t="n">
        <f aca="false">SUM(E64:P64)</f>
        <v>1</v>
      </c>
    </row>
    <row r="65" customFormat="false" ht="14.25" hidden="false" customHeight="true" outlineLevel="0" collapsed="false">
      <c r="B65" s="84" t="s">
        <v>67</v>
      </c>
      <c r="C65" s="65" t="s">
        <v>68</v>
      </c>
      <c r="D65" s="26" t="s">
        <v>69</v>
      </c>
      <c r="E65" s="78" t="n">
        <f aca="false">E28/$Q28</f>
        <v>0</v>
      </c>
      <c r="F65" s="78" t="n">
        <f aca="false">F28/$Q28</f>
        <v>0</v>
      </c>
      <c r="G65" s="78" t="n">
        <f aca="false">G28/$Q28</f>
        <v>0</v>
      </c>
      <c r="H65" s="78" t="n">
        <f aca="false">H28/$Q28</f>
        <v>0.333333333333333</v>
      </c>
      <c r="I65" s="78" t="n">
        <f aca="false">I28/$Q28</f>
        <v>0</v>
      </c>
      <c r="J65" s="78" t="n">
        <f aca="false">J28/$Q28</f>
        <v>0</v>
      </c>
      <c r="K65" s="78" t="n">
        <f aca="false">K28/$Q28</f>
        <v>0.333333333333333</v>
      </c>
      <c r="L65" s="78" t="n">
        <f aca="false">L28/$Q28</f>
        <v>0</v>
      </c>
      <c r="M65" s="78" t="n">
        <f aca="false">M28/$Q28</f>
        <v>0</v>
      </c>
      <c r="N65" s="78" t="n">
        <f aca="false">N28/$Q28</f>
        <v>0</v>
      </c>
      <c r="O65" s="78" t="n">
        <f aca="false">O28/$Q28</f>
        <v>0.333333333333333</v>
      </c>
      <c r="P65" s="78" t="n">
        <f aca="false">P28/$Q28</f>
        <v>0</v>
      </c>
      <c r="Q65" s="79" t="n">
        <f aca="false">SUM(E65:P65)</f>
        <v>1</v>
      </c>
    </row>
    <row r="66" customFormat="false" ht="14.25" hidden="false" customHeight="true" outlineLevel="0" collapsed="false">
      <c r="B66" s="84" t="s">
        <v>70</v>
      </c>
      <c r="C66" s="65" t="s">
        <v>71</v>
      </c>
      <c r="D66" s="26" t="s">
        <v>72</v>
      </c>
      <c r="E66" s="78" t="n">
        <f aca="false">E29/$Q29</f>
        <v>0</v>
      </c>
      <c r="F66" s="78" t="n">
        <f aca="false">F29/$Q29</f>
        <v>0.2</v>
      </c>
      <c r="G66" s="78" t="n">
        <f aca="false">G29/$Q29</f>
        <v>0</v>
      </c>
      <c r="H66" s="78" t="n">
        <f aca="false">H29/$Q29</f>
        <v>0.2</v>
      </c>
      <c r="I66" s="78" t="n">
        <f aca="false">I29/$Q29</f>
        <v>0</v>
      </c>
      <c r="J66" s="78" t="n">
        <f aca="false">J29/$Q29</f>
        <v>0.2</v>
      </c>
      <c r="K66" s="78" t="n">
        <f aca="false">K29/$Q29</f>
        <v>0</v>
      </c>
      <c r="L66" s="78" t="n">
        <f aca="false">L29/$Q29</f>
        <v>0.2</v>
      </c>
      <c r="M66" s="78" t="n">
        <f aca="false">M29/$Q29</f>
        <v>0</v>
      </c>
      <c r="N66" s="78" t="n">
        <f aca="false">N29/$Q29</f>
        <v>0</v>
      </c>
      <c r="O66" s="78" t="n">
        <f aca="false">O29/$Q29</f>
        <v>0.2</v>
      </c>
      <c r="P66" s="78" t="n">
        <f aca="false">P29/$Q29</f>
        <v>0</v>
      </c>
      <c r="Q66" s="79" t="n">
        <f aca="false">SUM(E66:P66)</f>
        <v>1</v>
      </c>
    </row>
    <row r="67" customFormat="false" ht="14.25" hidden="false" customHeight="true" outlineLevel="0" collapsed="false">
      <c r="B67" s="84" t="s">
        <v>73</v>
      </c>
      <c r="C67" s="65" t="s">
        <v>74</v>
      </c>
      <c r="D67" s="26" t="s">
        <v>75</v>
      </c>
      <c r="E67" s="78" t="n">
        <f aca="false">E30/$Q30</f>
        <v>0</v>
      </c>
      <c r="F67" s="78" t="n">
        <f aca="false">F30/$Q30</f>
        <v>0</v>
      </c>
      <c r="G67" s="78" t="n">
        <f aca="false">G30/$Q30</f>
        <v>0</v>
      </c>
      <c r="H67" s="78" t="n">
        <f aca="false">H30/$Q30</f>
        <v>0</v>
      </c>
      <c r="I67" s="78" t="n">
        <f aca="false">I30/$Q30</f>
        <v>0</v>
      </c>
      <c r="J67" s="78" t="n">
        <f aca="false">J30/$Q30</f>
        <v>0</v>
      </c>
      <c r="K67" s="78" t="n">
        <f aca="false">K30/$Q30</f>
        <v>0</v>
      </c>
      <c r="L67" s="78" t="n">
        <f aca="false">L30/$Q30</f>
        <v>1</v>
      </c>
      <c r="M67" s="78" t="n">
        <f aca="false">M30/$Q30</f>
        <v>0</v>
      </c>
      <c r="N67" s="78" t="n">
        <f aca="false">N30/$Q30</f>
        <v>0</v>
      </c>
      <c r="O67" s="78" t="n">
        <f aca="false">O30/$Q30</f>
        <v>0</v>
      </c>
      <c r="P67" s="78" t="n">
        <f aca="false">P30/$Q30</f>
        <v>0</v>
      </c>
      <c r="Q67" s="79" t="n">
        <f aca="false">SUM(E67:P67)</f>
        <v>1</v>
      </c>
    </row>
    <row r="68" customFormat="false" ht="14.25" hidden="false" customHeight="true" outlineLevel="0" collapsed="false">
      <c r="B68" s="84" t="s">
        <v>76</v>
      </c>
      <c r="C68" s="65" t="s">
        <v>77</v>
      </c>
      <c r="D68" s="26" t="s">
        <v>78</v>
      </c>
      <c r="E68" s="78" t="n">
        <f aca="false">E31/$Q31</f>
        <v>0.0609549777777778</v>
      </c>
      <c r="F68" s="78" t="n">
        <f aca="false">F31/$Q31</f>
        <v>0.0553766666666667</v>
      </c>
      <c r="G68" s="78" t="n">
        <f aca="false">G31/$Q31</f>
        <v>0.0883668355555556</v>
      </c>
      <c r="H68" s="78" t="n">
        <f aca="false">H31/$Q31</f>
        <v>0.0883668355555556</v>
      </c>
      <c r="I68" s="78" t="n">
        <f aca="false">I31/$Q31</f>
        <v>0.0883668355555556</v>
      </c>
      <c r="J68" s="78" t="n">
        <f aca="false">J31/$Q31</f>
        <v>0.0883668355555556</v>
      </c>
      <c r="K68" s="78" t="n">
        <f aca="false">K31/$Q31</f>
        <v>0.0883668355555556</v>
      </c>
      <c r="L68" s="78" t="n">
        <f aca="false">L31/$Q31</f>
        <v>0.0883668355555556</v>
      </c>
      <c r="M68" s="78" t="n">
        <f aca="false">M31/$Q31</f>
        <v>0.0883668355555556</v>
      </c>
      <c r="N68" s="78" t="n">
        <f aca="false">N31/$Q31</f>
        <v>0.0883668355555556</v>
      </c>
      <c r="O68" s="78" t="n">
        <f aca="false">O31/$Q31</f>
        <v>0.0883668355555556</v>
      </c>
      <c r="P68" s="78" t="n">
        <f aca="false">P31/$Q31</f>
        <v>0.0883668355555556</v>
      </c>
      <c r="Q68" s="79" t="n">
        <f aca="false">SUM(E68:P68)</f>
        <v>1</v>
      </c>
    </row>
    <row r="69" customFormat="false" ht="14.25" hidden="false" customHeight="true" outlineLevel="0" collapsed="false">
      <c r="B69" s="84" t="s">
        <v>79</v>
      </c>
      <c r="C69" s="65" t="s">
        <v>80</v>
      </c>
      <c r="D69" s="26" t="s">
        <v>81</v>
      </c>
      <c r="E69" s="78" t="n">
        <f aca="false">E32/$Q32</f>
        <v>0</v>
      </c>
      <c r="F69" s="78" t="n">
        <f aca="false">F32/$Q32</f>
        <v>0</v>
      </c>
      <c r="G69" s="78" t="n">
        <f aca="false">G32/$Q32</f>
        <v>0</v>
      </c>
      <c r="H69" s="78" t="n">
        <f aca="false">H32/$Q32</f>
        <v>0.5</v>
      </c>
      <c r="I69" s="78" t="n">
        <f aca="false">I32/$Q32</f>
        <v>0</v>
      </c>
      <c r="J69" s="78" t="n">
        <f aca="false">J32/$Q32</f>
        <v>0</v>
      </c>
      <c r="K69" s="78" t="n">
        <f aca="false">K32/$Q32</f>
        <v>0</v>
      </c>
      <c r="L69" s="78" t="n">
        <f aca="false">L32/$Q32</f>
        <v>0</v>
      </c>
      <c r="M69" s="78" t="n">
        <f aca="false">M32/$Q32</f>
        <v>0</v>
      </c>
      <c r="N69" s="78" t="n">
        <f aca="false">N32/$Q32</f>
        <v>0.5</v>
      </c>
      <c r="O69" s="78" t="n">
        <f aca="false">O32/$Q32</f>
        <v>0</v>
      </c>
      <c r="P69" s="78" t="n">
        <f aca="false">P32/$Q32</f>
        <v>0</v>
      </c>
      <c r="Q69" s="79" t="n">
        <f aca="false">SUM(E69:P69)</f>
        <v>1</v>
      </c>
    </row>
    <row r="70" customFormat="false" ht="14.25" hidden="false" customHeight="true" outlineLevel="0" collapsed="false">
      <c r="B70" s="84" t="s">
        <v>82</v>
      </c>
      <c r="C70" s="65" t="s">
        <v>83</v>
      </c>
      <c r="D70" s="26" t="s">
        <v>81</v>
      </c>
      <c r="E70" s="78" t="n">
        <f aca="false">E33/$Q33</f>
        <v>0</v>
      </c>
      <c r="F70" s="78" t="n">
        <f aca="false">F33/$Q33</f>
        <v>0</v>
      </c>
      <c r="G70" s="78" t="n">
        <f aca="false">G33/$Q33</f>
        <v>0.334487314568595</v>
      </c>
      <c r="H70" s="78" t="n">
        <f aca="false">H33/$Q33</f>
        <v>0</v>
      </c>
      <c r="I70" s="78" t="n">
        <f aca="false">I33/$Q33</f>
        <v>0</v>
      </c>
      <c r="J70" s="78" t="n">
        <f aca="false">J33/$Q33</f>
        <v>0</v>
      </c>
      <c r="K70" s="78" t="n">
        <f aca="false">K33/$Q33</f>
        <v>0.334487314568595</v>
      </c>
      <c r="L70" s="78" t="n">
        <f aca="false">L33/$Q33</f>
        <v>0</v>
      </c>
      <c r="M70" s="78" t="n">
        <f aca="false">M33/$Q33</f>
        <v>0</v>
      </c>
      <c r="N70" s="78" t="n">
        <f aca="false">N33/$Q33</f>
        <v>0</v>
      </c>
      <c r="O70" s="78" t="n">
        <f aca="false">O33/$Q33</f>
        <v>0.33102537086281</v>
      </c>
      <c r="P70" s="78" t="n">
        <f aca="false">P33/$Q33</f>
        <v>0</v>
      </c>
      <c r="Q70" s="79" t="n">
        <f aca="false">SUM(E70:P70)</f>
        <v>1</v>
      </c>
    </row>
    <row r="71" customFormat="false" ht="14.25" hidden="false" customHeight="true" outlineLevel="0" collapsed="false">
      <c r="B71" s="85" t="s">
        <v>84</v>
      </c>
      <c r="C71" s="65" t="s">
        <v>85</v>
      </c>
      <c r="D71" s="26" t="s">
        <v>86</v>
      </c>
      <c r="E71" s="78" t="n">
        <f aca="false">E34/$Q34</f>
        <v>0</v>
      </c>
      <c r="F71" s="78" t="n">
        <f aca="false">F34/$Q34</f>
        <v>0</v>
      </c>
      <c r="G71" s="78" t="n">
        <f aca="false">G34/$Q34</f>
        <v>0.211764705882353</v>
      </c>
      <c r="H71" s="78" t="n">
        <f aca="false">H34/$Q34</f>
        <v>0</v>
      </c>
      <c r="I71" s="78" t="n">
        <f aca="false">I34/$Q34</f>
        <v>0</v>
      </c>
      <c r="J71" s="78" t="n">
        <f aca="false">J34/$Q34</f>
        <v>0</v>
      </c>
      <c r="K71" s="78" t="n">
        <f aca="false">K34/$Q34</f>
        <v>0.211764705882353</v>
      </c>
      <c r="L71" s="78" t="n">
        <f aca="false">L34/$Q34</f>
        <v>0</v>
      </c>
      <c r="M71" s="78" t="n">
        <f aca="false">M34/$Q34</f>
        <v>0.576470588235294</v>
      </c>
      <c r="N71" s="78" t="n">
        <f aca="false">N34/$Q34</f>
        <v>0</v>
      </c>
      <c r="O71" s="78" t="n">
        <f aca="false">O34/$Q34</f>
        <v>0</v>
      </c>
      <c r="P71" s="78" t="n">
        <f aca="false">P34/$Q34</f>
        <v>0</v>
      </c>
      <c r="Q71" s="79" t="n">
        <f aca="false">SUM(E71:P71)</f>
        <v>1</v>
      </c>
    </row>
    <row r="72" customFormat="false" ht="14.25" hidden="false" customHeight="true" outlineLevel="0" collapsed="false">
      <c r="B72" s="84" t="s">
        <v>87</v>
      </c>
      <c r="C72" s="65" t="s">
        <v>88</v>
      </c>
      <c r="D72" s="26" t="s">
        <v>89</v>
      </c>
      <c r="E72" s="78" t="n">
        <f aca="false">E35/$Q35</f>
        <v>0.4698165</v>
      </c>
      <c r="F72" s="78" t="n">
        <f aca="false">F35/$Q35</f>
        <v>0</v>
      </c>
      <c r="G72" s="78" t="n">
        <f aca="false">G35/$Q35</f>
        <v>0</v>
      </c>
      <c r="H72" s="78" t="n">
        <f aca="false">H35/$Q35</f>
        <v>0</v>
      </c>
      <c r="I72" s="78" t="n">
        <f aca="false">I35/$Q35</f>
        <v>0.5301835</v>
      </c>
      <c r="J72" s="78" t="n">
        <f aca="false">J35/$Q35</f>
        <v>0</v>
      </c>
      <c r="K72" s="78" t="n">
        <f aca="false">K35/$Q35</f>
        <v>0</v>
      </c>
      <c r="L72" s="78" t="n">
        <f aca="false">L35/$Q35</f>
        <v>0</v>
      </c>
      <c r="M72" s="78" t="n">
        <f aca="false">M35/$Q35</f>
        <v>0</v>
      </c>
      <c r="N72" s="78" t="n">
        <f aca="false">N35/$Q35</f>
        <v>0</v>
      </c>
      <c r="O72" s="78" t="n">
        <f aca="false">O35/$Q35</f>
        <v>0</v>
      </c>
      <c r="P72" s="78" t="n">
        <f aca="false">P35/$Q35</f>
        <v>0</v>
      </c>
      <c r="Q72" s="79" t="n">
        <f aca="false">SUM(E72:P72)</f>
        <v>1</v>
      </c>
    </row>
    <row r="73" customFormat="false" ht="14.25" hidden="false" customHeight="true" outlineLevel="0" collapsed="false">
      <c r="B73" s="84" t="s">
        <v>90</v>
      </c>
      <c r="C73" s="65" t="s">
        <v>91</v>
      </c>
      <c r="D73" s="26" t="s">
        <v>92</v>
      </c>
      <c r="E73" s="78" t="n">
        <f aca="false">E36/$Q36</f>
        <v>0</v>
      </c>
      <c r="F73" s="78" t="n">
        <f aca="false">F36/$Q36</f>
        <v>0</v>
      </c>
      <c r="G73" s="78" t="n">
        <f aca="false">G36/$Q36</f>
        <v>0</v>
      </c>
      <c r="H73" s="78" t="n">
        <f aca="false">H36/$Q36</f>
        <v>0</v>
      </c>
      <c r="I73" s="78" t="n">
        <f aca="false">I36/$Q36</f>
        <v>0.5</v>
      </c>
      <c r="J73" s="78" t="n">
        <f aca="false">J36/$Q36</f>
        <v>0</v>
      </c>
      <c r="K73" s="78" t="n">
        <f aca="false">K36/$Q36</f>
        <v>0</v>
      </c>
      <c r="L73" s="78" t="n">
        <f aca="false">L36/$Q36</f>
        <v>0</v>
      </c>
      <c r="M73" s="78" t="n">
        <f aca="false">M36/$Q36</f>
        <v>0</v>
      </c>
      <c r="N73" s="78" t="n">
        <f aca="false">N36/$Q36</f>
        <v>0</v>
      </c>
      <c r="O73" s="78" t="n">
        <f aca="false">O36/$Q36</f>
        <v>0.5</v>
      </c>
      <c r="P73" s="78" t="n">
        <f aca="false">P36/$Q36</f>
        <v>0</v>
      </c>
      <c r="Q73" s="79" t="n">
        <f aca="false">SUM(E73:P73)</f>
        <v>1</v>
      </c>
    </row>
    <row r="74" customFormat="false" ht="14.25" hidden="false" customHeight="true" outlineLevel="0" collapsed="false">
      <c r="B74" s="85"/>
      <c r="C74" s="65" t="s">
        <v>93</v>
      </c>
      <c r="D74" s="26"/>
      <c r="E74" s="78" t="str">
        <f aca="false">IFERROR(E37/$Q37,"-")</f>
        <v>-</v>
      </c>
      <c r="F74" s="78" t="str">
        <f aca="false">IFERROR(F37/$Q37,"-")</f>
        <v>-</v>
      </c>
      <c r="G74" s="78" t="str">
        <f aca="false">IFERROR(G37/$Q37,"-")</f>
        <v>-</v>
      </c>
      <c r="H74" s="78" t="str">
        <f aca="false">IFERROR(H37/$Q37,"-")</f>
        <v>-</v>
      </c>
      <c r="I74" s="78" t="str">
        <f aca="false">IFERROR(I37/$Q37,"-")</f>
        <v>-</v>
      </c>
      <c r="J74" s="78" t="str">
        <f aca="false">IFERROR(J37/$Q37,"-")</f>
        <v>-</v>
      </c>
      <c r="K74" s="78" t="str">
        <f aca="false">IFERROR(K37/$Q37,"-")</f>
        <v>-</v>
      </c>
      <c r="L74" s="78" t="str">
        <f aca="false">IFERROR(L37/$Q37,"-")</f>
        <v>-</v>
      </c>
      <c r="M74" s="78" t="str">
        <f aca="false">IFERROR(M37/$Q37,"-")</f>
        <v>-</v>
      </c>
      <c r="N74" s="78" t="str">
        <f aca="false">IFERROR(N37/$Q37,"-")</f>
        <v>-</v>
      </c>
      <c r="O74" s="78" t="str">
        <f aca="false">IFERROR(O37/$Q37,"-")</f>
        <v>-</v>
      </c>
      <c r="P74" s="78" t="str">
        <f aca="false">IFERROR(P37/$Q37,"-")</f>
        <v>-</v>
      </c>
      <c r="Q74" s="79" t="n">
        <f aca="false">IFERROR(SUM(E74:P74),"-")</f>
        <v>0</v>
      </c>
    </row>
    <row r="75" customFormat="false" ht="14.25" hidden="false" customHeight="true" outlineLevel="0" collapsed="false">
      <c r="B75" s="85" t="s">
        <v>94</v>
      </c>
      <c r="C75" s="65" t="s">
        <v>95</v>
      </c>
      <c r="D75" s="26" t="s">
        <v>51</v>
      </c>
      <c r="E75" s="78" t="n">
        <f aca="false">E38/$Q38</f>
        <v>0</v>
      </c>
      <c r="F75" s="78" t="n">
        <f aca="false">F38/$Q38</f>
        <v>0</v>
      </c>
      <c r="G75" s="78" t="n">
        <f aca="false">G38/$Q38</f>
        <v>0</v>
      </c>
      <c r="H75" s="78" t="n">
        <f aca="false">H38/$Q38</f>
        <v>0.333333333333333</v>
      </c>
      <c r="I75" s="78" t="n">
        <f aca="false">I38/$Q38</f>
        <v>0</v>
      </c>
      <c r="J75" s="78" t="n">
        <f aca="false">J38/$Q38</f>
        <v>0</v>
      </c>
      <c r="K75" s="78" t="n">
        <f aca="false">K38/$Q38</f>
        <v>0</v>
      </c>
      <c r="L75" s="78" t="n">
        <f aca="false">L38/$Q38</f>
        <v>0.333333333333333</v>
      </c>
      <c r="M75" s="78" t="n">
        <f aca="false">M38/$Q38</f>
        <v>0</v>
      </c>
      <c r="N75" s="78" t="n">
        <f aca="false">N38/$Q38</f>
        <v>0</v>
      </c>
      <c r="O75" s="78" t="n">
        <f aca="false">O38/$Q38</f>
        <v>0.333333333333333</v>
      </c>
      <c r="P75" s="78" t="n">
        <f aca="false">P38/$Q38</f>
        <v>0</v>
      </c>
      <c r="Q75" s="79" t="n">
        <f aca="false">SUM(E75:P75)</f>
        <v>1</v>
      </c>
    </row>
    <row r="76" customFormat="false" ht="14.25" hidden="false" customHeight="true" outlineLevel="0" collapsed="false">
      <c r="B76" s="86" t="s">
        <v>96</v>
      </c>
      <c r="C76" s="65" t="s">
        <v>97</v>
      </c>
      <c r="D76" s="26"/>
      <c r="E76" s="78" t="n">
        <f aca="false">E39/$Q39</f>
        <v>0</v>
      </c>
      <c r="F76" s="78" t="n">
        <f aca="false">F39/$Q39</f>
        <v>0</v>
      </c>
      <c r="G76" s="78" t="n">
        <f aca="false">G39/$Q39</f>
        <v>0</v>
      </c>
      <c r="H76" s="78" t="n">
        <f aca="false">H39/$Q39</f>
        <v>0</v>
      </c>
      <c r="I76" s="78" t="n">
        <f aca="false">I39/$Q39</f>
        <v>0</v>
      </c>
      <c r="J76" s="78" t="n">
        <f aca="false">J39/$Q39</f>
        <v>0.5</v>
      </c>
      <c r="K76" s="78" t="n">
        <f aca="false">K39/$Q39</f>
        <v>0</v>
      </c>
      <c r="L76" s="78" t="n">
        <f aca="false">L39/$Q39</f>
        <v>0</v>
      </c>
      <c r="M76" s="78" t="n">
        <f aca="false">M39/$Q39</f>
        <v>0</v>
      </c>
      <c r="N76" s="78" t="n">
        <f aca="false">N39/$Q39</f>
        <v>0</v>
      </c>
      <c r="O76" s="78" t="n">
        <f aca="false">O39/$Q39</f>
        <v>0.5</v>
      </c>
      <c r="P76" s="78" t="n">
        <f aca="false">P39/$Q39</f>
        <v>0</v>
      </c>
      <c r="Q76" s="79" t="n">
        <f aca="false">SUM(E76:P76)</f>
        <v>1</v>
      </c>
    </row>
    <row r="77" customFormat="false" ht="14.25" hidden="false" customHeight="true" outlineLevel="0" collapsed="false">
      <c r="B77" s="81" t="s">
        <v>98</v>
      </c>
      <c r="C77" s="81"/>
      <c r="D77" s="81"/>
      <c r="E77" s="82" t="n">
        <f aca="false">E40/$Q$40</f>
        <v>0.053809091658406</v>
      </c>
      <c r="F77" s="82" t="n">
        <f aca="false">F40/$Q$40</f>
        <v>0.0638094831223462</v>
      </c>
      <c r="G77" s="82" t="n">
        <f aca="false">G40/$Q$40</f>
        <v>0.055471716232862</v>
      </c>
      <c r="H77" s="82" t="n">
        <f aca="false">H40/$Q$40</f>
        <v>0.0968065846601469</v>
      </c>
      <c r="I77" s="82" t="n">
        <f aca="false">I40/$Q$40</f>
        <v>0.0875806422499779</v>
      </c>
      <c r="J77" s="82" t="n">
        <f aca="false">J40/$Q$40</f>
        <v>0.0775176314234004</v>
      </c>
      <c r="K77" s="82" t="n">
        <f aca="false">K40/$Q$40</f>
        <v>0.10378584301906</v>
      </c>
      <c r="L77" s="82" t="n">
        <f aca="false">L40/$Q$40</f>
        <v>0.117219441404307</v>
      </c>
      <c r="M77" s="82" t="n">
        <f aca="false">M40/$Q$40</f>
        <v>0.0703541904385268</v>
      </c>
      <c r="N77" s="82" t="n">
        <f aca="false">N40/$Q$40</f>
        <v>0.0705162384791107</v>
      </c>
      <c r="O77" s="82" t="n">
        <f aca="false">O40/$Q$40</f>
        <v>0.144454181232548</v>
      </c>
      <c r="P77" s="82" t="n">
        <f aca="false">P40/$Q$40</f>
        <v>0.0607196589032559</v>
      </c>
      <c r="Q77" s="82" t="n">
        <f aca="false">SUM(E77:P77)</f>
        <v>1.00204470282395</v>
      </c>
    </row>
    <row r="78" customFormat="false" ht="15" hidden="false" customHeight="true" outlineLevel="0" collapsed="false">
      <c r="B78" s="87" t="s">
        <v>99</v>
      </c>
      <c r="C78" s="87"/>
      <c r="D78" s="87"/>
      <c r="E78" s="88" t="n">
        <f aca="false">E41/$Q$41</f>
        <v>0.0576819886197652</v>
      </c>
      <c r="F78" s="88" t="n">
        <f aca="false">F41/$Q$41</f>
        <v>0.0647658862463498</v>
      </c>
      <c r="G78" s="88" t="n">
        <f aca="false">G41/$Q$41</f>
        <v>0.0673083117416831</v>
      </c>
      <c r="H78" s="88" t="n">
        <f aca="false">H41/$Q$41</f>
        <v>0.0713860832233734</v>
      </c>
      <c r="I78" s="88" t="n">
        <f aca="false">I41/$Q$41</f>
        <v>0.0764720985566234</v>
      </c>
      <c r="J78" s="88" t="n">
        <f aca="false">J41/$Q$41</f>
        <v>0.0844157009351726</v>
      </c>
      <c r="K78" s="88" t="n">
        <f aca="false">K41/$Q$41</f>
        <v>0.0927996456461894</v>
      </c>
      <c r="L78" s="88" t="n">
        <f aca="false">L41/$Q$41</f>
        <v>0.100409822783275</v>
      </c>
      <c r="M78" s="88" t="n">
        <f aca="false">M41/$Q$41</f>
        <v>0.0818101037965188</v>
      </c>
      <c r="N78" s="88" t="n">
        <f aca="false">N41/$Q$41</f>
        <v>0.0906180003625581</v>
      </c>
      <c r="O78" s="88" t="n">
        <f aca="false">O41/$Q$41</f>
        <v>0.119156641281401</v>
      </c>
      <c r="P78" s="88" t="n">
        <f aca="false">P41/$Q$41</f>
        <v>0.0936606654651379</v>
      </c>
      <c r="Q78" s="89" t="n">
        <f aca="false">SUM(E78:P78)</f>
        <v>1.00048494865805</v>
      </c>
    </row>
  </sheetData>
  <mergeCells count="3">
    <mergeCell ref="B58:D58"/>
    <mergeCell ref="B77:D77"/>
    <mergeCell ref="B78:D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3" min="13" style="1" width="11"/>
    <col collapsed="false" customWidth="true" hidden="false" outlineLevel="0" max="14" min="14" style="1" width="14"/>
  </cols>
  <sheetData>
    <row r="1" customFormat="false" ht="16.5" hidden="false" customHeight="true" outlineLevel="0" collapsed="false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customFormat="false" ht="15" hidden="false" customHeight="true" outlineLevel="0" collapsed="false">
      <c r="B2" s="91" t="s">
        <v>101</v>
      </c>
      <c r="D2" s="92" t="s">
        <v>15</v>
      </c>
      <c r="E2" s="93" t="s">
        <v>102</v>
      </c>
      <c r="F2" s="93" t="n">
        <f aca="false">MATCH($D$2,נתונים_שטוחים!$AO$2:$AO$13,0)</f>
        <v>12</v>
      </c>
      <c r="G2" s="91" t="s">
        <v>103</v>
      </c>
      <c r="H2" s="94" t="n">
        <v>46296</v>
      </c>
    </row>
    <row r="3" customFormat="false" ht="15" hidden="false" customHeight="true" outlineLevel="0" collapsed="false">
      <c r="B3" s="95" t="s">
        <v>104</v>
      </c>
    </row>
    <row r="4" customFormat="false" ht="15" hidden="false" customHeight="true" outlineLevel="0" collapsed="false">
      <c r="A4" s="96" t="s">
        <v>105</v>
      </c>
      <c r="B4" s="96" t="s">
        <v>106</v>
      </c>
      <c r="C4" s="96" t="s">
        <v>107</v>
      </c>
      <c r="D4" s="96" t="s">
        <v>108</v>
      </c>
      <c r="E4" s="96" t="s">
        <v>109</v>
      </c>
      <c r="F4" s="96" t="s">
        <v>110</v>
      </c>
      <c r="G4" s="96" t="s">
        <v>111</v>
      </c>
      <c r="H4" s="96" t="s">
        <v>112</v>
      </c>
      <c r="I4" s="96" t="s">
        <v>113</v>
      </c>
      <c r="J4" s="96" t="s">
        <v>114</v>
      </c>
      <c r="K4" s="96" t="s">
        <v>115</v>
      </c>
      <c r="L4" s="96" t="s">
        <v>116</v>
      </c>
      <c r="M4" s="96" t="s">
        <v>117</v>
      </c>
      <c r="N4" s="96" t="s">
        <v>118</v>
      </c>
    </row>
    <row r="5" customFormat="false" ht="15" hidden="false" customHeight="true" outlineLevel="0" collapsed="false">
      <c r="A5" s="97" t="n">
        <v>111</v>
      </c>
      <c r="B5" s="98" t="str">
        <f aca="false">נתונים_שטוחים!A5</f>
        <v>סופר פארם לייף</v>
      </c>
      <c r="C5" s="98" t="str">
        <f aca="false">נתונים_שטוחים!B5</f>
        <v>ישראל</v>
      </c>
      <c r="D5" s="99" t="n">
        <f aca="false">SUMIFS(נתונים_שטוחים!C5:N5,נתונים_שטוחים!$C$3:$N$3,"&lt;="&amp;$F$2)</f>
        <v>2052731.8</v>
      </c>
      <c r="E5" s="99" t="n">
        <f aca="false">SUMIFS(נתונים_שטוחים!O5:Z5,נתונים_שטוחים!$O$3:$Z$3,"&lt;="&amp;$F$2)</f>
        <v>1708656.85</v>
      </c>
      <c r="F5" s="99" t="n">
        <f aca="false">SUMIFS(נתונים_שטוחים!AA5:AL5,נתונים_שטוחים!$AA$3:$AL$3,"&lt;="&amp;$F$2)</f>
        <v>1328770.55</v>
      </c>
      <c r="G5" s="100" t="n">
        <f aca="false">IFERROR(F5/E5-1,"-")</f>
        <v>-0.222330364344368</v>
      </c>
      <c r="H5" s="99" t="n">
        <f aca="false">F5-E5</f>
        <v>-379886.3</v>
      </c>
      <c r="I5" s="99" t="n">
        <f aca="false">IFERROR(INDEX('תקציב  '!$A:$AW,MATCH($B5,'תקציב  '!$C:$C,0),INDEX(נתונים_שטוחים!$AP$2:$AP$13,$F$2)),"-")</f>
        <v>2520000</v>
      </c>
      <c r="J5" s="100" t="n">
        <f aca="false">IFERROR(F5/I5-1,"-")</f>
        <v>-0.472710099206349</v>
      </c>
      <c r="K5" s="99" t="n">
        <f aca="false">IFERROR(F5-I5,"-")</f>
        <v>-1191229.45</v>
      </c>
      <c r="L5" s="99" t="n">
        <f aca="false">IF($F$2&lt;7,"-",IFERROR(INDEX('תקציב  '!$A:$AW,MATCH($B5,'תקציב  '!$C:$C,0),INDEX(נתונים_שטוחים!$AQ$2:$AQ$13,$F$2)),"-"))</f>
        <v>1940443.3</v>
      </c>
      <c r="M5" s="100" t="n">
        <f aca="false">IF($F$2&lt;7,"-",IFERROR(F5/L5-1,"-"))</f>
        <v>-0.315223201832282</v>
      </c>
      <c r="N5" s="99" t="n">
        <f aca="false">IF($F$2&lt;7,"-",IFERROR(F5-L5,"-"))</f>
        <v>-611672.75</v>
      </c>
    </row>
    <row r="6" customFormat="false" ht="15" hidden="false" customHeight="true" outlineLevel="0" collapsed="false">
      <c r="A6" s="97" t="n">
        <v>1</v>
      </c>
      <c r="B6" s="98" t="str">
        <f aca="false">נתונים_שטוחים!A6</f>
        <v>סופרפארם</v>
      </c>
      <c r="C6" s="98" t="str">
        <f aca="false">נתונים_שטוחים!B6</f>
        <v>ישראל</v>
      </c>
      <c r="D6" s="99" t="n">
        <f aca="false">SUMIFS(נתונים_שטוחים!C6:N6,נתונים_שטוחים!$C$3:$N$3,"&lt;="&amp;$F$2)</f>
        <v>5482291.178</v>
      </c>
      <c r="E6" s="99" t="n">
        <f aca="false">SUMIFS(נתונים_שטוחים!O6:Z6,נתונים_שטוחים!$O$3:$Z$3,"&lt;="&amp;$F$2)</f>
        <v>6071777.62260004</v>
      </c>
      <c r="F6" s="99" t="n">
        <f aca="false">SUMIFS(נתונים_שטוחים!AA6:AL6,נתונים_שטוחים!$AA$3:$AL$3,"&lt;="&amp;$F$2)</f>
        <v>4231396.26</v>
      </c>
      <c r="G6" s="100" t="n">
        <f aca="false">IFERROR(F6/E6-1,"-")</f>
        <v>-0.303104210495106</v>
      </c>
      <c r="H6" s="99" t="n">
        <f aca="false">F6-E6</f>
        <v>-1840381.36260004</v>
      </c>
      <c r="I6" s="99" t="n">
        <f aca="false">IFERROR(INDEX('תקציב  '!$A:$AW,MATCH($B6,'תקציב  '!$C:$C,0),INDEX(נתונים_שטוחים!$AP$2:$AP$13,$F$2)),"-")</f>
        <v>6779000</v>
      </c>
      <c r="J6" s="100" t="n">
        <f aca="false">IFERROR(F6/I6-1,"-")</f>
        <v>-0.375808192948813</v>
      </c>
      <c r="K6" s="99" t="n">
        <f aca="false">IFERROR(F6-I6,"-")</f>
        <v>-2547603.74</v>
      </c>
      <c r="L6" s="99" t="n">
        <f aca="false">IF($F$2&lt;7,"-",IFERROR(INDEX('תקציב  '!$A:$AW,MATCH($B6,'תקציב  '!$C:$C,0),INDEX(נתונים_שטוחים!$AQ$2:$AQ$13,$F$2)),"-"))</f>
        <v>6074937.893</v>
      </c>
      <c r="M6" s="100" t="n">
        <f aca="false">IF($F$2&lt;7,"-",IFERROR(F6/L6-1,"-"))</f>
        <v>-0.303466745746367</v>
      </c>
      <c r="N6" s="99" t="n">
        <f aca="false">IF($F$2&lt;7,"-",IFERROR(F6-L6,"-"))</f>
        <v>-1843541.633</v>
      </c>
    </row>
    <row r="7" customFormat="false" ht="15" hidden="false" customHeight="true" outlineLevel="0" collapsed="false">
      <c r="A7" s="97" t="n">
        <v>7</v>
      </c>
      <c r="B7" s="98" t="str">
        <f aca="false">נתונים_שטוחים!A7</f>
        <v>BE</v>
      </c>
      <c r="C7" s="98" t="str">
        <f aca="false">נתונים_שטוחים!B7</f>
        <v>ישראל</v>
      </c>
      <c r="D7" s="99" t="n">
        <f aca="false">SUMIFS(נתונים_שטוחים!C7:N7,נתונים_שטוחים!$C$3:$N$3,"&lt;="&amp;$F$2)</f>
        <v>1089803.806</v>
      </c>
      <c r="E7" s="99" t="n">
        <f aca="false">SUMIFS(נתונים_שטוחים!O7:Z7,נתונים_שטוחים!$O$3:$Z$3,"&lt;="&amp;$F$2)</f>
        <v>828689.86</v>
      </c>
      <c r="F7" s="99" t="n">
        <f aca="false">SUMIFS(נתונים_שטוחים!AA7:AL7,נתונים_שטוחים!$AA$3:$AL$3,"&lt;="&amp;$F$2)</f>
        <v>651059.045</v>
      </c>
      <c r="G7" s="100" t="n">
        <f aca="false">IFERROR(F7/E7-1,"-")</f>
        <v>-0.214351379899834</v>
      </c>
      <c r="H7" s="99" t="n">
        <f aca="false">F7-E7</f>
        <v>-177630.815</v>
      </c>
      <c r="I7" s="99" t="n">
        <f aca="false">IFERROR(INDEX('תקציב  '!$A:$AW,MATCH($B7,'תקציב  '!$C:$C,0),INDEX(נתונים_שטוחים!$AP$2:$AP$13,$F$2)),"-")</f>
        <v>900000</v>
      </c>
      <c r="J7" s="100" t="n">
        <f aca="false">IFERROR(F7/I7-1,"-")</f>
        <v>-0.276601061111111</v>
      </c>
      <c r="K7" s="99" t="n">
        <f aca="false">IFERROR(F7-I7,"-")</f>
        <v>-248940.955</v>
      </c>
      <c r="L7" s="99" t="n">
        <f aca="false">IF($F$2&lt;7,"-",IFERROR(INDEX('תקציב  '!$A:$AW,MATCH($B7,'תקציב  '!$C:$C,0),INDEX(נתונים_שטוחים!$AQ$2:$AQ$13,$F$2)),"-"))</f>
        <v>1037274.565</v>
      </c>
      <c r="M7" s="100" t="n">
        <f aca="false">IF($F$2&lt;7,"-",IFERROR(F7/L7-1,"-"))</f>
        <v>-0.372336826749434</v>
      </c>
      <c r="N7" s="99" t="n">
        <f aca="false">IF($F$2&lt;7,"-",IFERROR(F7-L7,"-"))</f>
        <v>-386215.52</v>
      </c>
    </row>
    <row r="8" customFormat="false" ht="15" hidden="false" customHeight="true" outlineLevel="0" collapsed="false">
      <c r="A8" s="97" t="n">
        <v>4</v>
      </c>
      <c r="B8" s="98" t="str">
        <f aca="false">נתונים_שטוחים!A8</f>
        <v>בתי מרקחת</v>
      </c>
      <c r="C8" s="98" t="str">
        <f aca="false">נתונים_שטוחים!B8</f>
        <v>ישראל</v>
      </c>
      <c r="D8" s="99" t="n">
        <f aca="false">SUMIFS(נתונים_שטוחים!C8:N8,נתונים_שטוחים!$C$3:$N$3,"&lt;="&amp;$F$2)</f>
        <v>1835959.53</v>
      </c>
      <c r="E8" s="99" t="n">
        <f aca="false">SUMIFS(נתונים_שטוחים!O8:Z8,נתונים_שטוחים!$O$3:$Z$3,"&lt;="&amp;$F$2)</f>
        <v>1941001.5794</v>
      </c>
      <c r="F8" s="99" t="n">
        <f aca="false">SUMIFS(נתונים_שטוחים!AA8:AL8,נתונים_שטוחים!$AA$3:$AL$3,"&lt;="&amp;$F$2)</f>
        <v>1409547.845</v>
      </c>
      <c r="G8" s="100" t="n">
        <f aca="false">IFERROR(F8/E8-1,"-")</f>
        <v>-0.273803864994424</v>
      </c>
      <c r="H8" s="99" t="n">
        <f aca="false">F8-E8</f>
        <v>-531453.734400002</v>
      </c>
      <c r="I8" s="99" t="n">
        <f aca="false">IFERROR(INDEX('תקציב  '!$A:$AW,MATCH($B8,'תקציב  '!$C:$C,0),INDEX(נתונים_שטוחים!$AP$2:$AP$13,$F$2)),"-")</f>
        <v>1947000</v>
      </c>
      <c r="J8" s="100" t="n">
        <f aca="false">IFERROR(F8/I8-1,"-")</f>
        <v>-0.276041168464304</v>
      </c>
      <c r="K8" s="99" t="n">
        <f aca="false">IFERROR(F8-I8,"-")</f>
        <v>-537452.154999999</v>
      </c>
      <c r="L8" s="99" t="n">
        <f aca="false">IF($F$2&lt;7,"-",IFERROR(INDEX('תקציב  '!$A:$AW,MATCH($B8,'תקציב  '!$C:$C,0),INDEX(נתונים_שטוחים!$AQ$2:$AQ$13,$F$2)),"-"))</f>
        <v>2118523.978</v>
      </c>
      <c r="M8" s="100" t="n">
        <f aca="false">IF($F$2&lt;7,"-",IFERROR(F8/L8-1,"-"))</f>
        <v>-0.334655703859114</v>
      </c>
      <c r="N8" s="99" t="n">
        <f aca="false">IF($F$2&lt;7,"-",IFERROR(F8-L8,"-"))</f>
        <v>-708976.133</v>
      </c>
    </row>
    <row r="9" customFormat="false" ht="15" hidden="false" customHeight="true" outlineLevel="0" collapsed="false">
      <c r="A9" s="97" t="n">
        <v>112</v>
      </c>
      <c r="B9" s="98" t="str">
        <f aca="false">נתונים_שטוחים!A9</f>
        <v>כללית</v>
      </c>
      <c r="C9" s="98" t="str">
        <f aca="false">נתונים_שטוחים!B9</f>
        <v>ישראל</v>
      </c>
      <c r="D9" s="99" t="n">
        <f aca="false">SUMIFS(נתונים_שטוחים!C9:N9,נתונים_שטוחים!$C$3:$N$3,"&lt;="&amp;$F$2)</f>
        <v>4118466.1</v>
      </c>
      <c r="E9" s="99" t="n">
        <f aca="false">SUMIFS(נתונים_שטוחים!O9:Z9,נתונים_שטוחים!$O$3:$Z$3,"&lt;="&amp;$F$2)</f>
        <v>3809616.42</v>
      </c>
      <c r="F9" s="99" t="n">
        <f aca="false">SUMIFS(נתונים_שטוחים!AA9:AL9,נתונים_שטוחים!$AA$3:$AL$3,"&lt;="&amp;$F$2)</f>
        <v>2727663.25</v>
      </c>
      <c r="G9" s="100" t="n">
        <f aca="false">IFERROR(F9/E9-1,"-")</f>
        <v>-0.284005802872931</v>
      </c>
      <c r="H9" s="99" t="n">
        <f aca="false">F9-E9</f>
        <v>-1081953.17</v>
      </c>
      <c r="I9" s="99" t="n">
        <f aca="false">IFERROR(INDEX('תקציב  '!$A:$AW,MATCH($B9,'תקציב  '!$C:$C,0),INDEX(נתונים_שטוחים!$AP$2:$AP$13,$F$2)),"-")</f>
        <v>4381000</v>
      </c>
      <c r="J9" s="100" t="n">
        <f aca="false">IFERROR(F9/I9-1,"-")</f>
        <v>-0.377387982195846</v>
      </c>
      <c r="K9" s="99" t="n">
        <f aca="false">IFERROR(F9-I9,"-")</f>
        <v>-1653336.75</v>
      </c>
      <c r="L9" s="99" t="n">
        <f aca="false">IF($F$2&lt;7,"-",IFERROR(INDEX('תקציב  '!$A:$AW,MATCH($B9,'תקציב  '!$C:$C,0),INDEX(נתונים_שטוחים!$AQ$2:$AQ$13,$F$2)),"-"))</f>
        <v>3722410.85</v>
      </c>
      <c r="M9" s="100" t="n">
        <f aca="false">IF($F$2&lt;7,"-",IFERROR(F9/L9-1,"-"))</f>
        <v>-0.267232081595722</v>
      </c>
      <c r="N9" s="99" t="n">
        <f aca="false">IF($F$2&lt;7,"-",IFERROR(F9-L9,"-"))</f>
        <v>-994747.6</v>
      </c>
    </row>
    <row r="10" customFormat="false" ht="15" hidden="false" customHeight="true" outlineLevel="0" collapsed="false">
      <c r="A10" s="97" t="n">
        <v>113</v>
      </c>
      <c r="B10" s="98" t="str">
        <f aca="false">נתונים_שטוחים!A10</f>
        <v>מאוחדת</v>
      </c>
      <c r="C10" s="98" t="str">
        <f aca="false">נתונים_שטוחים!B10</f>
        <v>ישראל</v>
      </c>
      <c r="D10" s="99" t="n">
        <f aca="false">SUMIFS(נתונים_שטוחים!C10:N10,נתונים_שטוחים!$C$3:$N$3,"&lt;="&amp;$F$2)</f>
        <v>797978.25</v>
      </c>
      <c r="E10" s="99" t="n">
        <f aca="false">SUMIFS(נתונים_שטוחים!O10:Z10,נתונים_שטוחים!$O$3:$Z$3,"&lt;="&amp;$F$2)</f>
        <v>892626.19</v>
      </c>
      <c r="F10" s="99" t="n">
        <f aca="false">SUMIFS(נתונים_שטוחים!AA10:AL10,נתונים_שטוחים!$AA$3:$AL$3,"&lt;="&amp;$F$2)</f>
        <v>520254.741</v>
      </c>
      <c r="G10" s="100" t="n">
        <f aca="false">IFERROR(F10/E10-1,"-")</f>
        <v>-0.417163929505586</v>
      </c>
      <c r="H10" s="99" t="n">
        <f aca="false">F10-E10</f>
        <v>-372371.449</v>
      </c>
      <c r="I10" s="99" t="n">
        <f aca="false">IFERROR(INDEX('תקציב  '!$A:$AW,MATCH($B10,'תקציב  '!$C:$C,0),INDEX(נתונים_שטוחים!$AP$2:$AP$13,$F$2)),"-")</f>
        <v>1220000</v>
      </c>
      <c r="J10" s="100" t="n">
        <f aca="false">IFERROR(F10/I10-1,"-")</f>
        <v>-0.573561687704917</v>
      </c>
      <c r="K10" s="99" t="n">
        <f aca="false">IFERROR(F10-I10,"-")</f>
        <v>-699745.258999998</v>
      </c>
      <c r="L10" s="99" t="n">
        <f aca="false">IF($F$2&lt;7,"-",IFERROR(INDEX('תקציב  '!$A:$AW,MATCH($B10,'תקציב  '!$C:$C,0),INDEX(נתונים_שטוחים!$AQ$2:$AQ$13,$F$2)),"-"))</f>
        <v>943097.611</v>
      </c>
      <c r="M10" s="100" t="n">
        <f aca="false">IF($F$2&lt;7,"-",IFERROR(F10/L10-1,"-"))</f>
        <v>-0.448355361171623</v>
      </c>
      <c r="N10" s="99" t="n">
        <f aca="false">IF($F$2&lt;7,"-",IFERROR(F10-L10,"-"))</f>
        <v>-422842.87</v>
      </c>
    </row>
    <row r="11" customFormat="false" ht="15" hidden="false" customHeight="true" outlineLevel="0" collapsed="false">
      <c r="A11" s="97"/>
      <c r="B11" s="98" t="str">
        <f aca="false">נתונים_שטוחים!A11</f>
        <v>מכבי</v>
      </c>
      <c r="C11" s="98" t="str">
        <f aca="false">נתונים_שטוחים!B11</f>
        <v>ישראל</v>
      </c>
      <c r="D11" s="99" t="n">
        <f aca="false">SUMIFS(נתונים_שטוחים!C11:N11,נתונים_שטוחים!$C$3:$N$3,"&lt;="&amp;$F$2)</f>
        <v>0</v>
      </c>
      <c r="E11" s="99" t="n">
        <f aca="false">SUMIFS(נתונים_שטוחים!O11:Z11,נתונים_שטוחים!$O$3:$Z$3,"&lt;="&amp;$F$2)</f>
        <v>0</v>
      </c>
      <c r="F11" s="99" t="n">
        <f aca="false">SUMIFS(נתונים_שטוחים!AA11:AL11,נתונים_שטוחים!$AA$3:$AL$3,"&lt;="&amp;$F$2)</f>
        <v>0</v>
      </c>
      <c r="G11" s="100" t="str">
        <f aca="false">IFERROR(F11/E11-1,"-")</f>
        <v>-</v>
      </c>
      <c r="H11" s="99" t="n">
        <f aca="false">F11-E11</f>
        <v>0</v>
      </c>
      <c r="I11" s="99" t="str">
        <f aca="false">IFERROR(INDEX('תקציב  '!$A:$AW,MATCH($B11,'תקציב  '!$C:$C,0),INDEX(נתונים_שטוחים!$AP$2:$AP$13,$F$2)),"-")</f>
        <v>-</v>
      </c>
      <c r="J11" s="100" t="str">
        <f aca="false">IFERROR(F11/I11-1,"-")</f>
        <v>-</v>
      </c>
      <c r="K11" s="99" t="str">
        <f aca="false">IFERROR(F11-I11,"-")</f>
        <v>-</v>
      </c>
      <c r="L11" s="99" t="str">
        <f aca="false">IF($F$2&lt;7,"-",IFERROR(INDEX('תקציב  '!$A:$AW,MATCH($B11,'תקציב  '!$C:$C,0),INDEX(נתונים_שטוחים!$AQ$2:$AQ$13,$F$2)),"-"))</f>
        <v>-</v>
      </c>
      <c r="M11" s="100" t="str">
        <f aca="false">IF($F$2&lt;7,"-",IFERROR(F11/L11-1,"-"))</f>
        <v>-</v>
      </c>
      <c r="N11" s="99" t="str">
        <f aca="false">IF($F$2&lt;7,"-",IFERROR(F11-L11,"-"))</f>
        <v>-</v>
      </c>
    </row>
    <row r="12" customFormat="false" ht="15" hidden="false" customHeight="true" outlineLevel="0" collapsed="false">
      <c r="A12" s="97" t="n">
        <v>102</v>
      </c>
      <c r="B12" s="98" t="str">
        <f aca="false">נתונים_שטוחים!A12</f>
        <v>מכוני אורטופדיה</v>
      </c>
      <c r="C12" s="98" t="str">
        <f aca="false">נתונים_שטוחים!B12</f>
        <v>ישראל</v>
      </c>
      <c r="D12" s="99" t="n">
        <f aca="false">SUMIFS(נתונים_שטוחים!C12:N12,נתונים_שטוחים!$C$3:$N$3,"&lt;="&amp;$F$2)</f>
        <v>901019.25</v>
      </c>
      <c r="E12" s="99" t="n">
        <f aca="false">SUMIFS(נתונים_שטוחים!O12:Z12,נתונים_שטוחים!$O$3:$Z$3,"&lt;="&amp;$F$2)</f>
        <v>854818.94</v>
      </c>
      <c r="F12" s="99" t="n">
        <f aca="false">SUMIFS(נתונים_שטוחים!AA12:AL12,נתונים_שטוחים!$AA$3:$AL$3,"&lt;="&amp;$F$2)</f>
        <v>678114.16</v>
      </c>
      <c r="G12" s="100" t="n">
        <f aca="false">IFERROR(F12/E12-1,"-")</f>
        <v>-0.206716032754258</v>
      </c>
      <c r="H12" s="99" t="n">
        <f aca="false">F12-E12</f>
        <v>-176704.78</v>
      </c>
      <c r="I12" s="99" t="n">
        <f aca="false">IFERROR(INDEX('תקציב  '!$A:$AW,MATCH($B12,'תקציב  '!$C:$C,0),INDEX(נתונים_שטוחים!$AP$2:$AP$13,$F$2)),"-")</f>
        <v>1979000</v>
      </c>
      <c r="J12" s="100" t="n">
        <f aca="false">IFERROR(F12/I12-1,"-")</f>
        <v>-0.657345042950986</v>
      </c>
      <c r="K12" s="99" t="n">
        <f aca="false">IFERROR(F12-I12,"-")</f>
        <v>-1300885.84</v>
      </c>
      <c r="L12" s="99" t="n">
        <f aca="false">IF($F$2&lt;7,"-",IFERROR(INDEX('תקציב  '!$A:$AW,MATCH($B12,'תקציב  '!$C:$C,0),INDEX(נתונים_שטוחים!$AQ$2:$AQ$13,$F$2)),"-"))</f>
        <v>1075277.57</v>
      </c>
      <c r="M12" s="100" t="n">
        <f aca="false">IF($F$2&lt;7,"-",IFERROR(F12/L12-1,"-"))</f>
        <v>-0.369358964681092</v>
      </c>
      <c r="N12" s="99" t="n">
        <f aca="false">IF($F$2&lt;7,"-",IFERROR(F12-L12,"-"))</f>
        <v>-397163.41</v>
      </c>
    </row>
    <row r="13" customFormat="false" ht="15" hidden="false" customHeight="true" outlineLevel="0" collapsed="false">
      <c r="A13" s="97" t="n">
        <v>101</v>
      </c>
      <c r="B13" s="98" t="str">
        <f aca="false">נתונים_שטוחים!A13</f>
        <v>לקוחות מפעל</v>
      </c>
      <c r="C13" s="98" t="str">
        <f aca="false">נתונים_שטוחים!B13</f>
        <v>ישראל</v>
      </c>
      <c r="D13" s="99" t="n">
        <f aca="false">SUMIFS(נתונים_שטוחים!C13:N13,נתונים_שטוחים!$C$3:$N$3,"&lt;="&amp;$F$2)</f>
        <v>187203.67</v>
      </c>
      <c r="E13" s="99" t="n">
        <f aca="false">SUMIFS(נתונים_שטוחים!O13:Z13,נתונים_שטוחים!$O$3:$Z$3,"&lt;="&amp;$F$2)</f>
        <v>185250.51</v>
      </c>
      <c r="F13" s="99" t="n">
        <f aca="false">SUMIFS(נתונים_שטוחים!AA13:AL13,נתונים_שטוחים!$AA$3:$AL$3,"&lt;="&amp;$F$2)</f>
        <v>79418.59</v>
      </c>
      <c r="G13" s="100" t="n">
        <f aca="false">IFERROR(F13/E13-1,"-")</f>
        <v>-0.571290842870014</v>
      </c>
      <c r="H13" s="99" t="n">
        <f aca="false">F13-E13</f>
        <v>-105831.92</v>
      </c>
      <c r="I13" s="99" t="n">
        <f aca="false">IFERROR(INDEX('תקציב  '!$A:$AW,MATCH($B13,'תקציב  '!$C:$C,0),INDEX(נתונים_שטוחים!$AP$2:$AP$13,$F$2)),"-")</f>
        <v>190000</v>
      </c>
      <c r="J13" s="100" t="n">
        <f aca="false">IFERROR(F13/I13-1,"-")</f>
        <v>-0.582007421052631</v>
      </c>
      <c r="K13" s="99" t="n">
        <f aca="false">IFERROR(F13-I13,"-")</f>
        <v>-110581.41</v>
      </c>
      <c r="L13" s="99" t="n">
        <f aca="false">IF($F$2&lt;7,"-",IFERROR(INDEX('תקציב  '!$A:$AW,MATCH($B13,'תקציב  '!$C:$C,0),INDEX(נתונים_שטוחים!$AQ$2:$AQ$13,$F$2)),"-"))</f>
        <v>151235.08</v>
      </c>
      <c r="M13" s="100" t="n">
        <f aca="false">IF($F$2&lt;7,"-",IFERROR(F13/L13-1,"-"))</f>
        <v>-0.474866611635343</v>
      </c>
      <c r="N13" s="99" t="n">
        <f aca="false">IF($F$2&lt;7,"-",IFERROR(F13-L13,"-"))</f>
        <v>-71816.49</v>
      </c>
    </row>
    <row r="14" customFormat="false" ht="15" hidden="false" customHeight="true" outlineLevel="0" collapsed="false">
      <c r="A14" s="97" t="n">
        <v>109</v>
      </c>
      <c r="B14" s="98" t="str">
        <f aca="false">נתונים_שטוחים!A14</f>
        <v>חנויות פרטיות</v>
      </c>
      <c r="C14" s="98" t="str">
        <f aca="false">נתונים_שטוחים!B14</f>
        <v>ישראל</v>
      </c>
      <c r="D14" s="99" t="n">
        <f aca="false">SUMIFS(נתונים_שטוחים!C14:N14,נתונים_שטוחים!$C$3:$N$3,"&lt;="&amp;$F$2)</f>
        <v>92204.35</v>
      </c>
      <c r="E14" s="99" t="n">
        <f aca="false">SUMIFS(נתונים_שטוחים!O14:Z14,נתונים_שטוחים!$O$3:$Z$3,"&lt;="&amp;$F$2)</f>
        <v>57359.72</v>
      </c>
      <c r="F14" s="99" t="n">
        <f aca="false">SUMIFS(נתונים_שטוחים!AA14:AL14,נתונים_שטוחים!$AA$3:$AL$3,"&lt;="&amp;$F$2)</f>
        <v>45013.96</v>
      </c>
      <c r="G14" s="100" t="n">
        <f aca="false">IFERROR(F14/E14-1,"-")</f>
        <v>-0.215233965577238</v>
      </c>
      <c r="H14" s="99" t="n">
        <f aca="false">F14-E14</f>
        <v>-12345.76</v>
      </c>
      <c r="I14" s="99" t="n">
        <f aca="false">IFERROR(INDEX('תקציב  '!$A:$AW,MATCH($B14,'תקציב  '!$C:$C,0),INDEX(נתונים_שטוחים!$AP$2:$AP$13,$F$2)),"-")</f>
        <v>100000</v>
      </c>
      <c r="J14" s="100" t="n">
        <f aca="false">IFERROR(F14/I14-1,"-")</f>
        <v>-0.5498604</v>
      </c>
      <c r="K14" s="99" t="n">
        <f aca="false">IFERROR(F14-I14,"-")</f>
        <v>-54986.04</v>
      </c>
      <c r="L14" s="99" t="n">
        <f aca="false">IF($F$2&lt;7,"-",IFERROR(INDEX('תקציב  '!$A:$AW,MATCH($B14,'תקציב  '!$C:$C,0),INDEX(נתונים_שטוחים!$AQ$2:$AQ$13,$F$2)),"-"))</f>
        <v>94015.41</v>
      </c>
      <c r="M14" s="100" t="n">
        <f aca="false">IF($F$2&lt;7,"-",IFERROR(F14/L14-1,"-"))</f>
        <v>-0.521206576666527</v>
      </c>
      <c r="N14" s="99" t="n">
        <f aca="false">IF($F$2&lt;7,"-",IFERROR(F14-L14,"-"))</f>
        <v>-49001.45</v>
      </c>
    </row>
    <row r="15" customFormat="false" ht="15" hidden="false" customHeight="true" outlineLevel="0" collapsed="false">
      <c r="A15" s="97" t="n">
        <v>105</v>
      </c>
      <c r="B15" s="98" t="str">
        <f aca="false">נתונים_שטוחים!A15</f>
        <v>מכוני פדיקור</v>
      </c>
      <c r="C15" s="98" t="str">
        <f aca="false">נתונים_שטוחים!B15</f>
        <v>ישראל</v>
      </c>
      <c r="D15" s="99" t="n">
        <f aca="false">SUMIFS(נתונים_שטוחים!C15:N15,נתונים_שטוחים!$C$3:$N$3,"&lt;="&amp;$F$2)</f>
        <v>3230.5</v>
      </c>
      <c r="E15" s="99" t="n">
        <f aca="false">SUMIFS(נתונים_שטוחים!O15:Z15,נתונים_שטוחים!$O$3:$Z$3,"&lt;="&amp;$F$2)</f>
        <v>4145.68</v>
      </c>
      <c r="F15" s="99" t="n">
        <f aca="false">SUMIFS(נתונים_שטוחים!AA15:AL15,נתונים_שטוחים!$AA$3:$AL$3,"&lt;="&amp;$F$2)</f>
        <v>4305.02</v>
      </c>
      <c r="G15" s="100" t="n">
        <f aca="false">IFERROR(F15/E15-1,"-")</f>
        <v>0.0384351903668396</v>
      </c>
      <c r="H15" s="99" t="n">
        <f aca="false">F15-E15</f>
        <v>159.34</v>
      </c>
      <c r="I15" s="99" t="n">
        <f aca="false">IFERROR(INDEX('תקציב  '!$A:$AW,MATCH($B15,'תקציב  '!$C:$C,0),INDEX(נתונים_שטוחים!$AP$2:$AP$13,$F$2)),"-")</f>
        <v>0</v>
      </c>
      <c r="J15" s="100" t="str">
        <f aca="false">IFERROR(F15/I15-1,"-")</f>
        <v>-</v>
      </c>
      <c r="K15" s="99" t="n">
        <f aca="false">IFERROR(F15-I15,"-")</f>
        <v>4305.02</v>
      </c>
      <c r="L15" s="99" t="n">
        <f aca="false">IF($F$2&lt;7,"-",IFERROR(INDEX('תקציב  '!$A:$AW,MATCH($B15,'תקציב  '!$C:$C,0),INDEX(נתונים_שטוחים!$AQ$2:$AQ$13,$F$2)),"-"))</f>
        <v>33576.15</v>
      </c>
      <c r="M15" s="100" t="n">
        <f aca="false">IF($F$2&lt;7,"-",IFERROR(F15/L15-1,"-"))</f>
        <v>-0.871783393867373</v>
      </c>
      <c r="N15" s="99" t="n">
        <f aca="false">IF($F$2&lt;7,"-",IFERROR(F15-L15,"-"))</f>
        <v>-29271.13</v>
      </c>
    </row>
    <row r="16" customFormat="false" ht="15" hidden="false" customHeight="true" outlineLevel="0" collapsed="false">
      <c r="A16" s="97" t="n">
        <v>104</v>
      </c>
      <c r="B16" s="98" t="str">
        <f aca="false">נתונים_שטוחים!A16</f>
        <v>חנויות נעליים</v>
      </c>
      <c r="C16" s="98" t="str">
        <f aca="false">נתונים_שטוחים!B16</f>
        <v>ישראל</v>
      </c>
      <c r="D16" s="99" t="n">
        <f aca="false">SUMIFS(נתונים_שטוחים!C16:N16,נתונים_שטוחים!$C$3:$N$3,"&lt;="&amp;$F$2)</f>
        <v>1583.18</v>
      </c>
      <c r="E16" s="99" t="n">
        <f aca="false">SUMIFS(נתונים_שטוחים!O16:Z16,נתונים_שטוחים!$O$3:$Z$3,"&lt;="&amp;$F$2)</f>
        <v>514.2</v>
      </c>
      <c r="F16" s="99" t="n">
        <f aca="false">SUMIFS(נתונים_שטוחים!AA16:AL16,נתונים_שטוחים!$AA$3:$AL$3,"&lt;="&amp;$F$2)</f>
        <v>1896.82</v>
      </c>
      <c r="G16" s="100" t="n">
        <f aca="false">IFERROR(F16/E16-1,"-")</f>
        <v>2.68887592376507</v>
      </c>
      <c r="H16" s="99" t="n">
        <f aca="false">F16-E16</f>
        <v>1382.62</v>
      </c>
      <c r="I16" s="99" t="n">
        <f aca="false">IFERROR(INDEX('תקציב  '!$A:$AW,MATCH($B16,'תקציב  '!$C:$C,0),INDEX(נתונים_שטוחים!$AP$2:$AP$13,$F$2)),"-")</f>
        <v>25000</v>
      </c>
      <c r="J16" s="100" t="n">
        <f aca="false">IFERROR(F16/I16-1,"-")</f>
        <v>-0.9241272</v>
      </c>
      <c r="K16" s="99" t="n">
        <f aca="false">IFERROR(F16-I16,"-")</f>
        <v>-23103.18</v>
      </c>
      <c r="L16" s="99" t="n">
        <f aca="false">IF($F$2&lt;7,"-",IFERROR(INDEX('תקציב  '!$A:$AW,MATCH($B16,'תקציב  '!$C:$C,0),INDEX(נתונים_שטוחים!$AQ$2:$AQ$13,$F$2)),"-"))</f>
        <v>31896.82</v>
      </c>
      <c r="M16" s="100" t="n">
        <f aca="false">IF($F$2&lt;7,"-",IFERROR(F16/L16-1,"-"))</f>
        <v>-0.940532629898529</v>
      </c>
      <c r="N16" s="99" t="n">
        <f aca="false">IF($F$2&lt;7,"-",IFERROR(F16-L16,"-"))</f>
        <v>-30000</v>
      </c>
    </row>
    <row r="17" customFormat="false" ht="15" hidden="false" customHeight="true" outlineLevel="0" collapsed="false">
      <c r="A17" s="97" t="n">
        <v>106</v>
      </c>
      <c r="B17" s="98" t="str">
        <f aca="false">נתונים_שטוחים!A17</f>
        <v>בתי חולים ושרות</v>
      </c>
      <c r="C17" s="98" t="str">
        <f aca="false">נתונים_שטוחים!B17</f>
        <v>ישראל</v>
      </c>
      <c r="D17" s="99" t="n">
        <f aca="false">SUMIFS(נתונים_שטוחים!C17:N17,נתונים_שטוחים!$C$3:$N$3,"&lt;="&amp;$F$2)</f>
        <v>9577.5</v>
      </c>
      <c r="E17" s="99" t="n">
        <f aca="false">SUMIFS(נתונים_שטוחים!O17:Z17,נתונים_שטוחים!$O$3:$Z$3,"&lt;="&amp;$F$2)</f>
        <v>13532.23</v>
      </c>
      <c r="F17" s="99" t="n">
        <f aca="false">SUMIFS(נתונים_שטוחים!AA17:AL17,נתונים_שטוחים!$AA$3:$AL$3,"&lt;="&amp;$F$2)</f>
        <v>14953.48</v>
      </c>
      <c r="G17" s="100" t="n">
        <f aca="false">IFERROR(F17/E17-1,"-")</f>
        <v>0.105027035455354</v>
      </c>
      <c r="H17" s="99" t="n">
        <f aca="false">F17-E17</f>
        <v>1421.25</v>
      </c>
      <c r="I17" s="99" t="n">
        <f aca="false">IFERROR(INDEX('תקציב  '!$A:$AW,MATCH($B17,'תקציב  '!$C:$C,0),INDEX(נתונים_שטוחים!$AP$2:$AP$13,$F$2)),"-")</f>
        <v>400000</v>
      </c>
      <c r="J17" s="100" t="n">
        <f aca="false">IFERROR(F17/I17-1,"-")</f>
        <v>-0.9626163</v>
      </c>
      <c r="K17" s="99" t="n">
        <f aca="false">IFERROR(F17-I17,"-")</f>
        <v>-385046.52</v>
      </c>
      <c r="L17" s="99" t="n">
        <f aca="false">IF($F$2&lt;7,"-",IFERROR(INDEX('תקציב  '!$A:$AW,MATCH($B17,'תקציב  '!$C:$C,0),INDEX(נתונים_שטוחים!$AQ$2:$AQ$13,$F$2)),"-"))</f>
        <v>37748.72</v>
      </c>
      <c r="M17" s="100" t="n">
        <f aca="false">IF($F$2&lt;7,"-",IFERROR(F17/L17-1,"-"))</f>
        <v>-0.603867892739145</v>
      </c>
      <c r="N17" s="99" t="n">
        <f aca="false">IF($F$2&lt;7,"-",IFERROR(F17-L17,"-"))</f>
        <v>-22795.24</v>
      </c>
    </row>
    <row r="18" customFormat="false" ht="15" hidden="false" customHeight="true" outlineLevel="0" collapsed="false">
      <c r="A18" s="97" t="n">
        <v>103</v>
      </c>
      <c r="B18" s="98" t="str">
        <f aca="false">נתונים_שטוחים!A18</f>
        <v>מכוני פיזיותרפיה</v>
      </c>
      <c r="C18" s="98" t="str">
        <f aca="false">נתונים_שטוחים!B18</f>
        <v>ישראל</v>
      </c>
      <c r="D18" s="99" t="n">
        <f aca="false">SUMIFS(נתונים_שטוחים!C18:N18,נתונים_שטוחים!$C$3:$N$3,"&lt;="&amp;$F$2)</f>
        <v>72915.81</v>
      </c>
      <c r="E18" s="99" t="n">
        <f aca="false">SUMIFS(נתונים_שטוחים!O18:Z18,נתונים_שטוחים!$O$3:$Z$3,"&lt;="&amp;$F$2)</f>
        <v>94701.6</v>
      </c>
      <c r="F18" s="99" t="n">
        <f aca="false">SUMIFS(נתונים_שטוחים!AA18:AL18,נתונים_שטוחים!$AA$3:$AL$3,"&lt;="&amp;$F$2)</f>
        <v>118677.26</v>
      </c>
      <c r="G18" s="100" t="n">
        <f aca="false">IFERROR(F18/E18-1,"-")</f>
        <v>0.253170590570803</v>
      </c>
      <c r="H18" s="99" t="n">
        <f aca="false">F18-E18</f>
        <v>23975.66</v>
      </c>
      <c r="I18" s="99" t="n">
        <f aca="false">IFERROR(INDEX('תקציב  '!$A:$AW,MATCH($B18,'תקציב  '!$C:$C,0),INDEX(נתונים_שטוחים!$AP$2:$AP$13,$F$2)),"-")</f>
        <v>200000</v>
      </c>
      <c r="J18" s="100" t="n">
        <f aca="false">IFERROR(F18/I18-1,"-")</f>
        <v>-0.406613700000001</v>
      </c>
      <c r="K18" s="99" t="n">
        <f aca="false">IFERROR(F18-I18,"-")</f>
        <v>-81322.7400000004</v>
      </c>
      <c r="L18" s="99" t="n">
        <f aca="false">IF($F$2&lt;7,"-",IFERROR(INDEX('תקציב  '!$A:$AW,MATCH($B18,'תקציב  '!$C:$C,0),INDEX(נתונים_שטוחים!$AQ$2:$AQ$13,$F$2)),"-"))</f>
        <v>239111.1</v>
      </c>
      <c r="M18" s="100" t="n">
        <f aca="false">IF($F$2&lt;7,"-",IFERROR(F18/L18-1,"-"))</f>
        <v>-0.503673146081466</v>
      </c>
      <c r="N18" s="99" t="n">
        <f aca="false">IF($F$2&lt;7,"-",IFERROR(F18-L18,"-"))</f>
        <v>-120433.84</v>
      </c>
    </row>
    <row r="19" customFormat="false" ht="15" hidden="false" customHeight="true" outlineLevel="0" collapsed="false">
      <c r="A19" s="101"/>
      <c r="B19" s="102" t="s">
        <v>119</v>
      </c>
      <c r="C19" s="102"/>
      <c r="D19" s="103" t="n">
        <f aca="false">SUM(D5:D18)</f>
        <v>16644964.924</v>
      </c>
      <c r="E19" s="103" t="n">
        <f aca="false">SUM(E5:E18)</f>
        <v>16462691.402</v>
      </c>
      <c r="F19" s="103" t="n">
        <f aca="false">SUM(F5:F18)</f>
        <v>11811070.981</v>
      </c>
      <c r="G19" s="104" t="n">
        <f aca="false">IFERROR(F19/E19-1,"-")</f>
        <v>-0.282555282572746</v>
      </c>
      <c r="H19" s="103" t="n">
        <f aca="false">SUM(H5:H18)</f>
        <v>-4651620.42100004</v>
      </c>
      <c r="I19" s="103" t="n">
        <f aca="false">SUM(I5:I18)</f>
        <v>20641000</v>
      </c>
      <c r="J19" s="104" t="n">
        <f aca="false">IFERROR(F19/I19-1,"-")</f>
        <v>-0.427785912455792</v>
      </c>
      <c r="K19" s="103" t="n">
        <f aca="false">IFERROR(F19-I19,"-")</f>
        <v>-8829929.01900001</v>
      </c>
      <c r="L19" s="103" t="n">
        <f aca="false">IF($F$2&lt;7,"-",SUMIF(L5:L18,"&lt;&gt;-"))</f>
        <v>17499549.047</v>
      </c>
      <c r="M19" s="104" t="n">
        <f aca="false">IF($F$2&lt;7,"-",IFERROR(F19/L19-1,"-"))</f>
        <v>-0.325064265983197</v>
      </c>
      <c r="N19" s="103" t="n">
        <f aca="false">IF($F$2&lt;7,"-",IFERROR(F19-L19,"-"))</f>
        <v>-5688478.066</v>
      </c>
    </row>
    <row r="20" customFormat="false" ht="15" hidden="false" customHeight="true" outlineLevel="0" collapsed="false">
      <c r="A20" s="97" t="n">
        <v>114</v>
      </c>
      <c r="B20" s="98" t="str">
        <f aca="false">נתונים_שטוחים!A19</f>
        <v>לקוחות אינטרנט</v>
      </c>
      <c r="C20" s="98" t="str">
        <f aca="false">נתונים_שטוחים!B19</f>
        <v>ישראל</v>
      </c>
      <c r="D20" s="99" t="n">
        <f aca="false">SUMIFS(נתונים_שטוחים!C19:N19,נתונים_שטוחים!$C$3:$N$3,"&lt;="&amp;$F$2)</f>
        <v>683558.5</v>
      </c>
      <c r="E20" s="99" t="n">
        <f aca="false">SUMIFS(נתונים_שטוחים!O19:Z19,נתונים_שטוחים!$O$3:$Z$3,"&lt;="&amp;$F$2)</f>
        <v>1656258.29</v>
      </c>
      <c r="F20" s="99" t="n">
        <f aca="false">SUMIFS(נתונים_שטוחים!AA19:AL19,נתונים_שטוחים!$AA$3:$AL$3,"&lt;="&amp;$F$2)</f>
        <v>3368003.31000003</v>
      </c>
      <c r="G20" s="100" t="n">
        <f aca="false">IFERROR(F20/E20-1,"-")</f>
        <v>1.03350125420356</v>
      </c>
      <c r="H20" s="99" t="n">
        <f aca="false">F20-E20</f>
        <v>1711745.02000003</v>
      </c>
      <c r="I20" s="99" t="n">
        <f aca="false">IFERROR(INDEX('תקציב  '!$A:$AW,MATCH($B20,'תקציב  '!$C:$C,0),INDEX(נתונים_שטוחים!$AP$2:$AP$13,$F$2)),"-")</f>
        <v>10788663.559322</v>
      </c>
      <c r="J20" s="100" t="n">
        <f aca="false">IFERROR(F20/I20-1,"-")</f>
        <v>-0.687820155714294</v>
      </c>
      <c r="K20" s="99" t="n">
        <f aca="false">IFERROR(F20-I20,"-")</f>
        <v>-7420660.24932201</v>
      </c>
      <c r="L20" s="99" t="n">
        <f aca="false">IF($F$2&lt;7,"-",IFERROR(INDEX('תקציב  '!$A:$AW,MATCH($B20,'תקציב  '!$C:$C,0),INDEX(נתונים_שטוחים!$AQ$2:$AQ$13,$F$2)),"-"))</f>
        <v>7612717.01355936</v>
      </c>
      <c r="M20" s="100" t="n">
        <f aca="false">IF($F$2&lt;7,"-",IFERROR(F20/L20-1,"-"))</f>
        <v>-0.557581963968827</v>
      </c>
      <c r="N20" s="99" t="n">
        <f aca="false">IF($F$2&lt;7,"-",IFERROR(F20-L20,"-"))</f>
        <v>-4244713.70355933</v>
      </c>
    </row>
    <row r="21" customFormat="false" ht="15" hidden="false" customHeight="true" outlineLevel="0" collapsed="false">
      <c r="A21" s="97" t="n">
        <v>115</v>
      </c>
      <c r="B21" s="98" t="str">
        <f aca="false">נתונים_שטוחים!A20</f>
        <v>סופר פארם מרקט פלייס</v>
      </c>
      <c r="C21" s="98" t="str">
        <f aca="false">נתונים_שטוחים!B20</f>
        <v>ישראל</v>
      </c>
      <c r="D21" s="99" t="n">
        <f aca="false">SUMIFS(נתונים_שטוחים!C20:N20,נתונים_שטוחים!$C$3:$N$3,"&lt;="&amp;$F$2)</f>
        <v>35758.89</v>
      </c>
      <c r="E21" s="99" t="n">
        <f aca="false">SUMIFS(נתונים_שטוחים!O20:Z20,נתונים_שטוחים!$O$3:$Z$3,"&lt;="&amp;$F$2)</f>
        <v>27325.74</v>
      </c>
      <c r="F21" s="99" t="n">
        <f aca="false">SUMIFS(נתונים_שטוחים!AA20:AL20,נתונים_שטוחים!$AA$3:$AL$3,"&lt;="&amp;$F$2)</f>
        <v>13580.48</v>
      </c>
      <c r="G21" s="100" t="n">
        <f aca="false">IFERROR(F21/E21-1,"-")</f>
        <v>-0.503015105903811</v>
      </c>
      <c r="H21" s="99" t="n">
        <f aca="false">F21-E21</f>
        <v>-13745.26</v>
      </c>
      <c r="I21" s="99" t="n">
        <f aca="false">IFERROR(INDEX('תקציב  '!$A:$AW,MATCH($B21,'תקציב  '!$C:$C,0),INDEX(נתונים_שטוחים!$AP$2:$AP$13,$F$2)),"-")</f>
        <v>30443.14</v>
      </c>
      <c r="J21" s="100" t="n">
        <f aca="false">IFERROR(F21/I21-1,"-")</f>
        <v>-0.553906725784528</v>
      </c>
      <c r="K21" s="99" t="n">
        <f aca="false">IFERROR(F21-I21,"-")</f>
        <v>-16862.66</v>
      </c>
      <c r="L21" s="99" t="n">
        <f aca="false">IF($F$2&lt;7,"-",IFERROR(INDEX('תקציב  '!$A:$AW,MATCH($B21,'תקציב  '!$C:$C,0),INDEX(נתונים_שטוחים!$AQ$2:$AQ$13,$F$2)),"-"))</f>
        <v>39807.02</v>
      </c>
      <c r="M21" s="100" t="n">
        <f aca="false">IF($F$2&lt;7,"-",IFERROR(F21/L21-1,"-"))</f>
        <v>-0.658842083632485</v>
      </c>
      <c r="N21" s="99" t="n">
        <f aca="false">IF($F$2&lt;7,"-",IFERROR(F21-L21,"-"))</f>
        <v>-26226.54</v>
      </c>
    </row>
    <row r="22" customFormat="false" ht="15" hidden="false" customHeight="true" outlineLevel="0" collapsed="false">
      <c r="A22" s="101"/>
      <c r="B22" s="102" t="s">
        <v>48</v>
      </c>
      <c r="C22" s="102"/>
      <c r="D22" s="103" t="n">
        <f aca="false">SUM(D5:D18)+SUM(D20:D21)</f>
        <v>17364282.314</v>
      </c>
      <c r="E22" s="103" t="n">
        <f aca="false">SUM(E5:E18)+SUM(E20:E21)</f>
        <v>18146275.432</v>
      </c>
      <c r="F22" s="103" t="n">
        <f aca="false">SUM(F5:F18)+SUM(F20:F21)</f>
        <v>15192654.771</v>
      </c>
      <c r="G22" s="104" t="n">
        <f aca="false">IFERROR(F22/E22-1,"-")</f>
        <v>-0.162767322256745</v>
      </c>
      <c r="H22" s="103" t="n">
        <f aca="false">SUM(H5:H18)+SUM(H20:H21)</f>
        <v>-2953620.66100001</v>
      </c>
      <c r="I22" s="103" t="n">
        <f aca="false">SUM(I5:I18)+SUM(I20:I21)</f>
        <v>31460106.699322</v>
      </c>
      <c r="J22" s="104" t="n">
        <f aca="false">IFERROR(F22/I22-1,"-")</f>
        <v>-0.51708190578618</v>
      </c>
      <c r="K22" s="103" t="n">
        <f aca="false">IFERROR(F22-I22,"-")</f>
        <v>-16267451.928322</v>
      </c>
      <c r="L22" s="103" t="n">
        <f aca="false">IF($F$2&lt;7,"-",SUMIF(L5:L18,"&lt;&gt;-")+SUMIF(L20:L21,"&lt;&gt;-"))</f>
        <v>25152073.0805594</v>
      </c>
      <c r="M22" s="104" t="n">
        <f aca="false">IF($F$2&lt;7,"-",IFERROR(F22/L22-1,"-"))</f>
        <v>-0.39596808889909</v>
      </c>
      <c r="N22" s="103" t="n">
        <f aca="false">IF($F$2&lt;7,"-",IFERROR(F22-L22,"-"))</f>
        <v>-9959418.30955933</v>
      </c>
    </row>
    <row r="23" customFormat="false" ht="15" hidden="false" customHeight="true" outlineLevel="0" collapsed="false">
      <c r="A23" s="97" t="n">
        <v>301</v>
      </c>
      <c r="B23" s="98" t="str">
        <f aca="false">נתונים_שטוחים!A21</f>
        <v>AMAZON</v>
      </c>
      <c r="C23" s="98" t="str">
        <f aca="false">נתונים_שטוחים!B21</f>
        <v>יצוא</v>
      </c>
      <c r="D23" s="99" t="n">
        <f aca="false">SUMIFS(נתונים_שטוחים!C21:N21,נתונים_שטוחים!$C$3:$N$3,"&lt;="&amp;$F$2)</f>
        <v>3501494.53</v>
      </c>
      <c r="E23" s="99" t="n">
        <f aca="false">SUMIFS(נתונים_שטוחים!O21:Z21,נתונים_שטוחים!$O$3:$Z$3,"&lt;="&amp;$F$2)</f>
        <v>2705391.22</v>
      </c>
      <c r="F23" s="99" t="n">
        <f aca="false">SUMIFS(נתונים_שטוחים!AA21:AL21,נתונים_שטוחים!$AA$3:$AL$3,"&lt;="&amp;$F$2)</f>
        <v>1879662.74</v>
      </c>
      <c r="G23" s="100" t="n">
        <f aca="false">IFERROR(F23/E23-1,"-")</f>
        <v>-0.305215923632664</v>
      </c>
      <c r="H23" s="99" t="n">
        <f aca="false">F23-E23</f>
        <v>-825728.48</v>
      </c>
      <c r="I23" s="99" t="n">
        <f aca="false">IFERROR(INDEX('תקציב  '!$A:$AW,MATCH($B23,'תקציב  '!$C:$C,0),INDEX(נתונים_שטוחים!$AP$2:$AP$13,$F$2)),"-")</f>
        <v>4776579.3532875</v>
      </c>
      <c r="J23" s="100" t="n">
        <f aca="false">IFERROR(F23/I23-1,"-")</f>
        <v>-0.606483510274709</v>
      </c>
      <c r="K23" s="99" t="n">
        <f aca="false">IFERROR(F23-I23,"-")</f>
        <v>-2896916.6132875</v>
      </c>
      <c r="L23" s="99" t="n">
        <f aca="false">IF($F$2&lt;7,"-",IFERROR(INDEX('תקציב  '!$A:$AW,MATCH($B23,'תקציב  '!$C:$C,0),INDEX(נתונים_שטוחים!$AQ$2:$AQ$13,$F$2)),"-"))</f>
        <v>3098024.51</v>
      </c>
      <c r="M23" s="100" t="n">
        <f aca="false">IF($F$2&lt;7,"-",IFERROR(F23/L23-1,"-"))</f>
        <v>-0.393270539360581</v>
      </c>
      <c r="N23" s="99" t="n">
        <f aca="false">IF($F$2&lt;7,"-",IFERROR(F23-L23,"-"))</f>
        <v>-1218361.77</v>
      </c>
    </row>
    <row r="24" customFormat="false" ht="15" hidden="false" customHeight="true" outlineLevel="0" collapsed="false">
      <c r="A24" s="97" t="n">
        <v>202</v>
      </c>
      <c r="B24" s="98" t="str">
        <f aca="false">נתונים_שטוחים!A22</f>
        <v>SUPER PHARM POLAND</v>
      </c>
      <c r="C24" s="98" t="str">
        <f aca="false">נתונים_שטוחים!B22</f>
        <v>יצוא</v>
      </c>
      <c r="D24" s="99" t="n">
        <f aca="false">SUMIFS(נתונים_שטוחים!C22:N22,נתונים_שטוחים!$C$3:$N$3,"&lt;="&amp;$F$2)</f>
        <v>879383.45</v>
      </c>
      <c r="E24" s="99" t="n">
        <f aca="false">SUMIFS(נתונים_שטוחים!O22:Z22,נתונים_שטוחים!$O$3:$Z$3,"&lt;="&amp;$F$2)</f>
        <v>902537.64</v>
      </c>
      <c r="F24" s="99" t="n">
        <f aca="false">SUMIFS(נתונים_שטוחים!AA22:AL22,נתונים_שטוחים!$AA$3:$AL$3,"&lt;="&amp;$F$2)</f>
        <v>474182.59</v>
      </c>
      <c r="G24" s="100" t="n">
        <f aca="false">IFERROR(F24/E24-1,"-")</f>
        <v>-0.474611840011459</v>
      </c>
      <c r="H24" s="99" t="n">
        <f aca="false">F24-E24</f>
        <v>-428355.05</v>
      </c>
      <c r="I24" s="99" t="n">
        <f aca="false">IFERROR(INDEX('תקציב  '!$A:$AW,MATCH($B24,'תקציב  '!$C:$C,0),INDEX(נתונים_שטוחים!$AP$2:$AP$13,$F$2)),"-")</f>
        <v>980000</v>
      </c>
      <c r="J24" s="100" t="n">
        <f aca="false">IFERROR(F24/I24-1,"-")</f>
        <v>-0.516140214285714</v>
      </c>
      <c r="K24" s="99" t="n">
        <f aca="false">IFERROR(F24-I24,"-")</f>
        <v>-505817.41</v>
      </c>
      <c r="L24" s="99" t="n">
        <f aca="false">IF($F$2&lt;7,"-",IFERROR(INDEX('תקציב  '!$A:$AW,MATCH($B24,'תקציב  '!$C:$C,0),INDEX(נתונים_שטוחים!$AQ$2:$AQ$13,$F$2)),"-"))</f>
        <v>922081.02</v>
      </c>
      <c r="M24" s="100" t="n">
        <f aca="false">IF($F$2&lt;7,"-",IFERROR(F24/L24-1,"-"))</f>
        <v>-0.485747369574964</v>
      </c>
      <c r="N24" s="99" t="n">
        <f aca="false">IF($F$2&lt;7,"-",IFERROR(F24-L24,"-"))</f>
        <v>-447898.43</v>
      </c>
    </row>
    <row r="25" customFormat="false" ht="15" hidden="false" customHeight="true" outlineLevel="0" collapsed="false">
      <c r="A25" s="97" t="n">
        <v>203</v>
      </c>
      <c r="B25" s="98" t="str">
        <f aca="false">נתונים_שטוחים!A23</f>
        <v>ORTHO- PARTNER AG.</v>
      </c>
      <c r="C25" s="98" t="str">
        <f aca="false">נתונים_שטוחים!B23</f>
        <v>יצוא</v>
      </c>
      <c r="D25" s="99" t="n">
        <f aca="false">SUMIFS(נתונים_שטוחים!C23:N23,נתונים_שטוחים!$C$3:$N$3,"&lt;="&amp;$F$2)</f>
        <v>633752.75</v>
      </c>
      <c r="E25" s="99" t="n">
        <f aca="false">SUMIFS(נתונים_שטוחים!O23:Z23,נתונים_שטוחים!$O$3:$Z$3,"&lt;="&amp;$F$2)</f>
        <v>405920.85</v>
      </c>
      <c r="F25" s="99" t="n">
        <f aca="false">SUMIFS(נתונים_שטוחים!AA23:AL23,נתונים_שטוחים!$AA$3:$AL$3,"&lt;="&amp;$F$2)</f>
        <v>344263.09</v>
      </c>
      <c r="G25" s="100" t="n">
        <f aca="false">IFERROR(F25/E25-1,"-")</f>
        <v>-0.15189601618148</v>
      </c>
      <c r="H25" s="99" t="n">
        <f aca="false">F25-E25</f>
        <v>-61657.7600000001</v>
      </c>
      <c r="I25" s="99" t="n">
        <f aca="false">IFERROR(INDEX('תקציב  '!$A:$AW,MATCH($B25,'תקציב  '!$C:$C,0),INDEX(נתונים_שטוחים!$AP$2:$AP$13,$F$2)),"-")</f>
        <v>650000.27</v>
      </c>
      <c r="J25" s="100" t="n">
        <f aca="false">IFERROR(F25/I25-1,"-")</f>
        <v>-0.470364696925434</v>
      </c>
      <c r="K25" s="99" t="n">
        <f aca="false">IFERROR(F25-I25,"-")</f>
        <v>-305737.18</v>
      </c>
      <c r="L25" s="99" t="n">
        <f aca="false">IF($F$2&lt;7,"-",IFERROR(INDEX('תקציב  '!$A:$AW,MATCH($B25,'תקציב  '!$C:$C,0),INDEX(נתונים_שטוחים!$AQ$2:$AQ$13,$F$2)),"-"))</f>
        <v>613276.52</v>
      </c>
      <c r="M25" s="100" t="n">
        <f aca="false">IF($F$2&lt;7,"-",IFERROR(F25/L25-1,"-"))</f>
        <v>-0.438649485553434</v>
      </c>
      <c r="N25" s="99" t="n">
        <f aca="false">IF($F$2&lt;7,"-",IFERROR(F25-L25,"-"))</f>
        <v>-269013.43</v>
      </c>
    </row>
    <row r="26" customFormat="false" ht="15" hidden="false" customHeight="true" outlineLevel="0" collapsed="false">
      <c r="A26" s="97" t="n">
        <v>204</v>
      </c>
      <c r="B26" s="98" t="str">
        <f aca="false">נתונים_שטוחים!A24</f>
        <v>SANAFLEX ANATOMIC</v>
      </c>
      <c r="C26" s="98" t="str">
        <f aca="false">נתונים_שטוחים!B24</f>
        <v>יצוא</v>
      </c>
      <c r="D26" s="99" t="n">
        <f aca="false">SUMIFS(נתונים_שטוחים!C24:N24,נתונים_שטוחים!$C$3:$N$3,"&lt;="&amp;$F$2)</f>
        <v>489809</v>
      </c>
      <c r="E26" s="99" t="n">
        <f aca="false">SUMIFS(נתונים_שטוחים!O24:Z24,נתונים_שטוחים!$O$3:$Z$3,"&lt;="&amp;$F$2)</f>
        <v>414072.64</v>
      </c>
      <c r="F26" s="99" t="n">
        <f aca="false">SUMIFS(נתונים_שטוחים!AA24:AL24,נתונים_שטוחים!$AA$3:$AL$3,"&lt;="&amp;$F$2)</f>
        <v>358276.36</v>
      </c>
      <c r="G26" s="100" t="n">
        <f aca="false">IFERROR(F26/E26-1,"-")</f>
        <v>-0.13474998010011</v>
      </c>
      <c r="H26" s="99" t="n">
        <f aca="false">F26-E26</f>
        <v>-55796.28</v>
      </c>
      <c r="I26" s="99" t="n">
        <f aca="false">IFERROR(INDEX('תקציב  '!$A:$AW,MATCH($B26,'תקציב  '!$C:$C,0),INDEX(נתונים_שטוחים!$AP$2:$AP$13,$F$2)),"-")</f>
        <v>499999.97</v>
      </c>
      <c r="J26" s="100" t="n">
        <f aca="false">IFERROR(F26/I26-1,"-")</f>
        <v>-0.283447237006834</v>
      </c>
      <c r="K26" s="99" t="n">
        <f aca="false">IFERROR(F26-I26,"-")</f>
        <v>-141723.61</v>
      </c>
      <c r="L26" s="99" t="n">
        <f aca="false">IF($F$2&lt;7,"-",IFERROR(INDEX('תקציב  '!$A:$AW,MATCH($B26,'תקציב  '!$C:$C,0),INDEX(נתונים_שטוחים!$AQ$2:$AQ$13,$F$2)),"-"))</f>
        <v>457053.13</v>
      </c>
      <c r="M26" s="100" t="n">
        <f aca="false">IF($F$2&lt;7,"-",IFERROR(F26/L26-1,"-"))</f>
        <v>-0.216116603336684</v>
      </c>
      <c r="N26" s="99" t="n">
        <f aca="false">IF($F$2&lt;7,"-",IFERROR(F26-L26,"-"))</f>
        <v>-98776.77</v>
      </c>
    </row>
    <row r="27" customFormat="false" ht="15" hidden="false" customHeight="true" outlineLevel="0" collapsed="false">
      <c r="A27" s="97" t="n">
        <v>205</v>
      </c>
      <c r="B27" s="98" t="str">
        <f aca="false">נתונים_שטוחים!A25</f>
        <v>HEALTH CARE PROD. GMBH</v>
      </c>
      <c r="C27" s="98" t="str">
        <f aca="false">נתונים_שטוחים!B25</f>
        <v>יצוא</v>
      </c>
      <c r="D27" s="99" t="n">
        <f aca="false">SUMIFS(נתונים_שטוחים!C25:N25,נתונים_שטוחים!$C$3:$N$3,"&lt;="&amp;$F$2)</f>
        <v>128758.9</v>
      </c>
      <c r="E27" s="99" t="n">
        <f aca="false">SUMIFS(נתונים_שטוחים!O25:Z25,נתונים_שטוחים!$O$3:$Z$3,"&lt;="&amp;$F$2)</f>
        <v>122339</v>
      </c>
      <c r="F27" s="99" t="n">
        <f aca="false">SUMIFS(נתונים_שטוחים!AA25:AL25,נתונים_שטוחים!$AA$3:$AL$3,"&lt;="&amp;$F$2)</f>
        <v>111290.53</v>
      </c>
      <c r="G27" s="100" t="n">
        <f aca="false">IFERROR(F27/E27-1,"-")</f>
        <v>-0.0903102853546294</v>
      </c>
      <c r="H27" s="99" t="n">
        <f aca="false">F27-E27</f>
        <v>-11048.47</v>
      </c>
      <c r="I27" s="99" t="n">
        <f aca="false">IFERROR(INDEX('תקציב  '!$A:$AW,MATCH($B27,'תקציב  '!$C:$C,0),INDEX(נתונים_שטוחים!$AP$2:$AP$13,$F$2)),"-")</f>
        <v>139999.92</v>
      </c>
      <c r="J27" s="100" t="n">
        <f aca="false">IFERROR(F27/I27-1,"-")</f>
        <v>-0.205067188609822</v>
      </c>
      <c r="K27" s="99" t="n">
        <f aca="false">IFERROR(F27-I27,"-")</f>
        <v>-28709.39</v>
      </c>
      <c r="L27" s="99" t="n">
        <f aca="false">IF($F$2&lt;7,"-",IFERROR(INDEX('תקציב  '!$A:$AW,MATCH($B27,'תקציב  '!$C:$C,0),INDEX(נתונים_שטוחים!$AQ$2:$AQ$13,$F$2)),"-"))</f>
        <v>131678.59</v>
      </c>
      <c r="M27" s="100" t="n">
        <f aca="false">IF($F$2&lt;7,"-",IFERROR(F27/L27-1,"-"))</f>
        <v>-0.154832004200531</v>
      </c>
      <c r="N27" s="99" t="n">
        <f aca="false">IF($F$2&lt;7,"-",IFERROR(F27-L27,"-"))</f>
        <v>-20388.06</v>
      </c>
    </row>
    <row r="28" customFormat="false" ht="15" hidden="false" customHeight="true" outlineLevel="0" collapsed="false">
      <c r="A28" s="97" t="n">
        <v>206</v>
      </c>
      <c r="B28" s="98" t="str">
        <f aca="false">נתונים_שטוחים!A26</f>
        <v>ORTHOMED  LTD</v>
      </c>
      <c r="C28" s="98" t="str">
        <f aca="false">נתונים_שטוחים!B26</f>
        <v>יצוא</v>
      </c>
      <c r="D28" s="99" t="n">
        <f aca="false">SUMIFS(נתונים_שטוחים!C26:N26,נתונים_שטוחים!$C$3:$N$3,"&lt;="&amp;$F$2)</f>
        <v>160712.5</v>
      </c>
      <c r="E28" s="99" t="n">
        <f aca="false">SUMIFS(נתונים_שטוחים!O26:Z26,נתונים_שטוחים!$O$3:$Z$3,"&lt;="&amp;$F$2)</f>
        <v>52899.82</v>
      </c>
      <c r="F28" s="99" t="n">
        <f aca="false">SUMIFS(נתונים_שטוחים!AA26:AL26,נתונים_שטוחים!$AA$3:$AL$3,"&lt;="&amp;$F$2)</f>
        <v>0</v>
      </c>
      <c r="G28" s="100" t="n">
        <f aca="false">IFERROR(F28/E28-1,"-")</f>
        <v>-1</v>
      </c>
      <c r="H28" s="99" t="n">
        <f aca="false">F28-E28</f>
        <v>-52899.82</v>
      </c>
      <c r="I28" s="99" t="n">
        <f aca="false">IFERROR(INDEX('תקציב  '!$A:$AW,MATCH($B28,'תקציב  '!$C:$C,0),INDEX(נתונים_שטוחים!$AP$2:$AP$13,$F$2)),"-")</f>
        <v>50000</v>
      </c>
      <c r="J28" s="100" t="n">
        <f aca="false">IFERROR(F28/I28-1,"-")</f>
        <v>-1</v>
      </c>
      <c r="K28" s="99" t="n">
        <f aca="false">IFERROR(F28-I28,"-")</f>
        <v>-50000</v>
      </c>
      <c r="L28" s="99" t="n">
        <f aca="false">IF($F$2&lt;7,"-",IFERROR(INDEX('תקציב  '!$A:$AW,MATCH($B28,'תקציב  '!$C:$C,0),INDEX(נתונים_שטוחים!$AQ$2:$AQ$13,$F$2)),"-"))</f>
        <v>0</v>
      </c>
      <c r="M28" s="100" t="str">
        <f aca="false">IF($F$2&lt;7,"-",IFERROR(F28/L28-1,"-"))</f>
        <v>-</v>
      </c>
      <c r="N28" s="99" t="n">
        <f aca="false">IF($F$2&lt;7,"-",IFERROR(F28-L28,"-"))</f>
        <v>0</v>
      </c>
    </row>
    <row r="29" customFormat="false" ht="15" hidden="false" customHeight="true" outlineLevel="0" collapsed="false">
      <c r="A29" s="97" t="n">
        <v>207</v>
      </c>
      <c r="B29" s="98" t="str">
        <f aca="false">נתונים_שטוחים!A27</f>
        <v>SALUS</v>
      </c>
      <c r="C29" s="98" t="str">
        <f aca="false">נתונים_שטוחים!B27</f>
        <v>יצוא</v>
      </c>
      <c r="D29" s="99" t="n">
        <f aca="false">SUMIFS(נתונים_שטוחים!C27:N27,נתונים_שטוחים!$C$3:$N$3,"&lt;="&amp;$F$2)</f>
        <v>471280.16</v>
      </c>
      <c r="E29" s="99" t="n">
        <f aca="false">SUMIFS(נתונים_שטוחים!O27:Z27,נתונים_שטוחים!$O$3:$Z$3,"&lt;="&amp;$F$2)</f>
        <v>319558.55</v>
      </c>
      <c r="F29" s="99" t="n">
        <f aca="false">SUMIFS(נתונים_שטוחים!AA27:AL27,נתונים_שטוחים!$AA$3:$AL$3,"&lt;="&amp;$F$2)</f>
        <v>365555.25</v>
      </c>
      <c r="G29" s="100" t="n">
        <f aca="false">IFERROR(F29/E29-1,"-")</f>
        <v>0.143938254820595</v>
      </c>
      <c r="H29" s="99" t="n">
        <f aca="false">F29-E29</f>
        <v>45996.7</v>
      </c>
      <c r="I29" s="99" t="n">
        <f aca="false">IFERROR(INDEX('תקציב  '!$A:$AW,MATCH($B29,'תקציב  '!$C:$C,0),INDEX(נתונים_שטוחים!$AP$2:$AP$13,$F$2)),"-")</f>
        <v>450000</v>
      </c>
      <c r="J29" s="100" t="n">
        <f aca="false">IFERROR(F29/I29-1,"-")</f>
        <v>-0.187655</v>
      </c>
      <c r="K29" s="99" t="n">
        <f aca="false">IFERROR(F29-I29,"-")</f>
        <v>-84444.75</v>
      </c>
      <c r="L29" s="99" t="n">
        <f aca="false">IF($F$2&lt;7,"-",IFERROR(INDEX('תקציב  '!$A:$AW,MATCH($B29,'תקציב  '!$C:$C,0),INDEX(נתונים_שטוחים!$AQ$2:$AQ$13,$F$2)),"-"))</f>
        <v>524147.47</v>
      </c>
      <c r="M29" s="100" t="n">
        <f aca="false">IF($F$2&lt;7,"-",IFERROR(F29/L29-1,"-"))</f>
        <v>-0.30257175523522</v>
      </c>
      <c r="N29" s="99" t="n">
        <f aca="false">IF($F$2&lt;7,"-",IFERROR(F29-L29,"-"))</f>
        <v>-158592.22</v>
      </c>
    </row>
    <row r="30" customFormat="false" ht="15" hidden="false" customHeight="true" outlineLevel="0" collapsed="false">
      <c r="A30" s="97" t="n">
        <v>216</v>
      </c>
      <c r="B30" s="98" t="str">
        <f aca="false">נתונים_שטוחים!A28</f>
        <v>MAX KONNARIS LTD</v>
      </c>
      <c r="C30" s="98" t="str">
        <f aca="false">נתונים_שטוחים!B28</f>
        <v>יצוא</v>
      </c>
      <c r="D30" s="99" t="n">
        <f aca="false">SUMIFS(נתונים_שטוחים!C28:N28,נתונים_שטוחים!$C$3:$N$3,"&lt;="&amp;$F$2)</f>
        <v>162967.91</v>
      </c>
      <c r="E30" s="99" t="n">
        <f aca="false">SUMIFS(נתונים_שטוחים!O28:Z28,נתונים_שטוחים!$O$3:$Z$3,"&lt;="&amp;$F$2)</f>
        <v>86855.65</v>
      </c>
      <c r="F30" s="99" t="n">
        <f aca="false">SUMIFS(נתונים_שטוחים!AA28:AL28,נתונים_שטוחים!$AA$3:$AL$3,"&lt;="&amp;$F$2)</f>
        <v>60694.01</v>
      </c>
      <c r="G30" s="100" t="n">
        <f aca="false">IFERROR(F30/E30-1,"-")</f>
        <v>-0.301208269122389</v>
      </c>
      <c r="H30" s="99" t="n">
        <f aca="false">F30-E30</f>
        <v>-26161.64</v>
      </c>
      <c r="I30" s="99" t="n">
        <f aca="false">IFERROR(INDEX('תקציב  '!$A:$AW,MATCH($B30,'תקציב  '!$C:$C,0),INDEX(נתונים_שטוחים!$AP$2:$AP$13,$F$2)),"-")</f>
        <v>200000</v>
      </c>
      <c r="J30" s="100" t="n">
        <f aca="false">IFERROR(F30/I30-1,"-")</f>
        <v>-0.69652995</v>
      </c>
      <c r="K30" s="99" t="n">
        <f aca="false">IFERROR(F30-I30,"-")</f>
        <v>-139305.99</v>
      </c>
      <c r="L30" s="99" t="n">
        <f aca="false">IF($F$2&lt;7,"-",IFERROR(INDEX('תקציב  '!$A:$AW,MATCH($B30,'תקציב  '!$C:$C,0),INDEX(נתונים_שטוחים!$AQ$2:$AQ$13,$F$2)),"-"))</f>
        <v>100694.01</v>
      </c>
      <c r="M30" s="100" t="n">
        <f aca="false">IF($F$2&lt;7,"-",IFERROR(F30/L30-1,"-"))</f>
        <v>-0.397243093208822</v>
      </c>
      <c r="N30" s="99" t="n">
        <f aca="false">IF($F$2&lt;7,"-",IFERROR(F30-L30,"-"))</f>
        <v>-40000</v>
      </c>
    </row>
    <row r="31" customFormat="false" ht="15" hidden="false" customHeight="true" outlineLevel="0" collapsed="false">
      <c r="A31" s="97" t="n">
        <v>208</v>
      </c>
      <c r="B31" s="98" t="str">
        <f aca="false">נתונים_שטוחים!A29</f>
        <v>MEDIPAL COMPANY</v>
      </c>
      <c r="C31" s="98" t="str">
        <f aca="false">נתונים_שטוחים!B29</f>
        <v>יצוא</v>
      </c>
      <c r="D31" s="99" t="n">
        <f aca="false">SUMIFS(נתונים_שטוחים!C29:N29,נתונים_שטוחים!$C$3:$N$3,"&lt;="&amp;$F$2)</f>
        <v>370614.64</v>
      </c>
      <c r="E31" s="99" t="n">
        <f aca="false">SUMIFS(נתונים_שטוחים!O29:Z29,נתונים_שטוחים!$O$3:$Z$3,"&lt;="&amp;$F$2)</f>
        <v>256772.1</v>
      </c>
      <c r="F31" s="99" t="n">
        <f aca="false">SUMIFS(נתונים_שטוחים!AA29:AL29,נתונים_שטוחים!$AA$3:$AL$3,"&lt;="&amp;$F$2)</f>
        <v>0</v>
      </c>
      <c r="G31" s="100" t="n">
        <f aca="false">IFERROR(F31/E31-1,"-")</f>
        <v>-1</v>
      </c>
      <c r="H31" s="99" t="n">
        <f aca="false">F31-E31</f>
        <v>-256772.1</v>
      </c>
      <c r="I31" s="99" t="n">
        <f aca="false">IFERROR(INDEX('תקציב  '!$A:$AW,MATCH($B31,'תקציב  '!$C:$C,0),INDEX(נתונים_שטוחים!$AP$2:$AP$13,$F$2)),"-")</f>
        <v>250000</v>
      </c>
      <c r="J31" s="100" t="n">
        <f aca="false">IFERROR(F31/I31-1,"-")</f>
        <v>-1</v>
      </c>
      <c r="K31" s="99" t="n">
        <f aca="false">IFERROR(F31-I31,"-")</f>
        <v>-250000</v>
      </c>
      <c r="L31" s="99" t="n">
        <f aca="false">IF($F$2&lt;7,"-",IFERROR(INDEX('תקציב  '!$A:$AW,MATCH($B31,'תקציב  '!$C:$C,0),INDEX(נתונים_שטוחים!$AQ$2:$AQ$13,$F$2)),"-"))</f>
        <v>250000</v>
      </c>
      <c r="M31" s="100" t="n">
        <f aca="false">IF($F$2&lt;7,"-",IFERROR(F31/L31-1,"-"))</f>
        <v>-1</v>
      </c>
      <c r="N31" s="99" t="n">
        <f aca="false">IF($F$2&lt;7,"-",IFERROR(F31-L31,"-"))</f>
        <v>-250000</v>
      </c>
    </row>
    <row r="32" customFormat="false" ht="15" hidden="false" customHeight="true" outlineLevel="0" collapsed="false">
      <c r="A32" s="97" t="n">
        <v>209</v>
      </c>
      <c r="B32" s="98" t="str">
        <f aca="false">נתונים_שטוחים!A30</f>
        <v>ORTOPROFIL PROD. ROMANIA</v>
      </c>
      <c r="C32" s="98" t="str">
        <f aca="false">נתונים_שטוחים!B30</f>
        <v>יצוא</v>
      </c>
      <c r="D32" s="99" t="n">
        <f aca="false">SUMIFS(נתונים_שטוחים!C30:N30,נתונים_שטוחים!$C$3:$N$3,"&lt;="&amp;$F$2)</f>
        <v>348874.04</v>
      </c>
      <c r="E32" s="99" t="n">
        <f aca="false">SUMIFS(נתונים_שטוחים!O30:Z30,נתונים_שטוחים!$O$3:$Z$3,"&lt;="&amp;$F$2)</f>
        <v>405953.63</v>
      </c>
      <c r="F32" s="99" t="n">
        <f aca="false">SUMIFS(נתונים_שטוחים!AA30:AL30,נתונים_שטוחים!$AA$3:$AL$3,"&lt;="&amp;$F$2)</f>
        <v>300835.11</v>
      </c>
      <c r="G32" s="100" t="n">
        <f aca="false">IFERROR(F32/E32-1,"-")</f>
        <v>-0.258942185096362</v>
      </c>
      <c r="H32" s="99" t="n">
        <f aca="false">F32-E32</f>
        <v>-105118.52</v>
      </c>
      <c r="I32" s="99" t="n">
        <f aca="false">IFERROR(INDEX('תקציב  '!$A:$AW,MATCH($B32,'תקציב  '!$C:$C,0),INDEX(נתונים_שטוחים!$AP$2:$AP$13,$F$2)),"-")</f>
        <v>450000</v>
      </c>
      <c r="J32" s="100" t="n">
        <f aca="false">IFERROR(F32/I32-1,"-")</f>
        <v>-0.331477533333333</v>
      </c>
      <c r="K32" s="99" t="n">
        <f aca="false">IFERROR(F32-I32,"-")</f>
        <v>-149164.89</v>
      </c>
      <c r="L32" s="99" t="n">
        <f aca="false">IF($F$2&lt;7,"-",IFERROR(INDEX('תקציב  '!$A:$AW,MATCH($B32,'תקציב  '!$C:$C,0),INDEX(נתונים_שטוחים!$AQ$2:$AQ$13,$F$2)),"-"))</f>
        <v>378207.09</v>
      </c>
      <c r="M32" s="100" t="n">
        <f aca="false">IF($F$2&lt;7,"-",IFERROR(F32/L32-1,"-"))</f>
        <v>-0.204575699519541</v>
      </c>
      <c r="N32" s="99" t="n">
        <f aca="false">IF($F$2&lt;7,"-",IFERROR(F32-L32,"-"))</f>
        <v>-77371.98</v>
      </c>
    </row>
    <row r="33" customFormat="false" ht="15" hidden="false" customHeight="true" outlineLevel="0" collapsed="false">
      <c r="A33" s="97" t="n">
        <v>210</v>
      </c>
      <c r="B33" s="98" t="str">
        <f aca="false">נתונים_שטוחים!A31</f>
        <v>OY. EA. AB.</v>
      </c>
      <c r="C33" s="98" t="str">
        <f aca="false">נתונים_שטוחים!B31</f>
        <v>יצוא</v>
      </c>
      <c r="D33" s="99" t="n">
        <f aca="false">SUMIFS(נתונים_שטוחים!C31:N31,נתונים_שטוחים!$C$3:$N$3,"&lt;="&amp;$F$2)</f>
        <v>107690.85</v>
      </c>
      <c r="E33" s="99" t="n">
        <f aca="false">SUMIFS(נתונים_שטוחים!O31:Z31,נתונים_שטוחים!$O$3:$Z$3,"&lt;="&amp;$F$2)</f>
        <v>64554.59</v>
      </c>
      <c r="F33" s="99" t="n">
        <f aca="false">SUMIFS(נתונים_שטוחים!AA31:AL31,נתונים_שטוחים!$AA$3:$AL$3,"&lt;="&amp;$F$2)</f>
        <v>43116.44</v>
      </c>
      <c r="G33" s="100" t="n">
        <f aca="false">IFERROR(F33/E33-1,"-")</f>
        <v>-0.332093349210335</v>
      </c>
      <c r="H33" s="99" t="n">
        <f aca="false">F33-E33</f>
        <v>-21438.15</v>
      </c>
      <c r="I33" s="99" t="n">
        <f aca="false">IFERROR(INDEX('תקציב  '!$A:$AW,MATCH($B33,'תקציב  '!$C:$C,0),INDEX(נתונים_שטוחים!$AP$2:$AP$13,$F$2)),"-")</f>
        <v>70000</v>
      </c>
      <c r="J33" s="100" t="n">
        <f aca="false">IFERROR(F33/I33-1,"-")</f>
        <v>-0.384050857142857</v>
      </c>
      <c r="K33" s="99" t="n">
        <f aca="false">IFERROR(F33-I33,"-")</f>
        <v>-26883.56</v>
      </c>
      <c r="L33" s="99" t="n">
        <f aca="false">IF($F$2&lt;7,"-",IFERROR(INDEX('תקציב  '!$A:$AW,MATCH($B33,'תקציב  '!$C:$C,0),INDEX(נתונים_שטוחים!$AQ$2:$AQ$13,$F$2)),"-"))</f>
        <v>73116.44</v>
      </c>
      <c r="M33" s="100" t="n">
        <f aca="false">IF($F$2&lt;7,"-",IFERROR(F33/L33-1,"-"))</f>
        <v>-0.410304440424069</v>
      </c>
      <c r="N33" s="99" t="n">
        <f aca="false">IF($F$2&lt;7,"-",IFERROR(F33-L33,"-"))</f>
        <v>-30000</v>
      </c>
    </row>
    <row r="34" customFormat="false" ht="15" hidden="false" customHeight="true" outlineLevel="0" collapsed="false">
      <c r="A34" s="97" t="n">
        <v>201</v>
      </c>
      <c r="B34" s="98" t="str">
        <f aca="false">נתונים_שטוחים!A32</f>
        <v>SEVEN GEAR</v>
      </c>
      <c r="C34" s="98" t="str">
        <f aca="false">נתונים_שטוחים!B32</f>
        <v>יצוא</v>
      </c>
      <c r="D34" s="99" t="n">
        <f aca="false">SUMIFS(נתונים_שטוחים!C32:N32,נתונים_שטוחים!$C$3:$N$3,"&lt;="&amp;$F$2)</f>
        <v>41028.36</v>
      </c>
      <c r="E34" s="99" t="n">
        <f aca="false">SUMIFS(נתונים_שטוחים!O32:Z32,נתונים_שטוחים!$O$3:$Z$3,"&lt;="&amp;$F$2)</f>
        <v>60908.2</v>
      </c>
      <c r="F34" s="99" t="n">
        <f aca="false">SUMIFS(נתונים_שטוחים!AA32:AL32,נתונים_שטוחים!$AA$3:$AL$3,"&lt;="&amp;$F$2)</f>
        <v>39400.13</v>
      </c>
      <c r="G34" s="100" t="n">
        <f aca="false">IFERROR(F34/E34-1,"-")</f>
        <v>-0.353122732242949</v>
      </c>
      <c r="H34" s="99" t="n">
        <f aca="false">F34-E34</f>
        <v>-21508.07</v>
      </c>
      <c r="I34" s="99" t="n">
        <f aca="false">IFERROR(INDEX('תקציב  '!$A:$AW,MATCH($B34,'תקציב  '!$C:$C,0),INDEX(נתונים_שטוחים!$AP$2:$AP$13,$F$2)),"-")</f>
        <v>59793</v>
      </c>
      <c r="J34" s="100" t="n">
        <f aca="false">IFERROR(F34/I34-1,"-")</f>
        <v>-0.341057816132323</v>
      </c>
      <c r="K34" s="99" t="n">
        <f aca="false">IFERROR(F34-I34,"-")</f>
        <v>-20392.87</v>
      </c>
      <c r="L34" s="99" t="n">
        <f aca="false">IF($F$2&lt;7,"-",IFERROR(INDEX('תקציב  '!$A:$AW,MATCH($B34,'תקציב  '!$C:$C,0),INDEX(נתונים_שטוחים!$AQ$2:$AQ$13,$F$2)),"-"))</f>
        <v>42809.5</v>
      </c>
      <c r="M34" s="100" t="n">
        <f aca="false">IF($F$2&lt;7,"-",IFERROR(F34/L34-1,"-"))</f>
        <v>-0.0796405003562293</v>
      </c>
      <c r="N34" s="99" t="n">
        <f aca="false">IF($F$2&lt;7,"-",IFERROR(F34-L34,"-"))</f>
        <v>-3409.37</v>
      </c>
    </row>
    <row r="35" customFormat="false" ht="15" hidden="false" customHeight="true" outlineLevel="0" collapsed="false">
      <c r="A35" s="97" t="n">
        <v>211</v>
      </c>
      <c r="B35" s="98" t="str">
        <f aca="false">נתונים_שטוחים!A33</f>
        <v>PHARMAG LACHMAIR GES. MBH</v>
      </c>
      <c r="C35" s="98" t="str">
        <f aca="false">נתונים_שטוחים!B33</f>
        <v>יצוא</v>
      </c>
      <c r="D35" s="99" t="n">
        <f aca="false">SUMIFS(נתונים_שטוחים!C33:N33,נתונים_שטוחים!$C$3:$N$3,"&lt;="&amp;$F$2)</f>
        <v>31722.98</v>
      </c>
      <c r="E35" s="99" t="n">
        <f aca="false">SUMIFS(נתונים_שטוחים!O33:Z33,נתונים_שטוחים!$O$3:$Z$3,"&lt;="&amp;$F$2)</f>
        <v>81786.57</v>
      </c>
      <c r="F35" s="99" t="n">
        <f aca="false">SUMIFS(נתונים_שטוחים!AA33:AL33,נתונים_שטוחים!$AA$3:$AL$3,"&lt;="&amp;$F$2)</f>
        <v>10037.15</v>
      </c>
      <c r="G35" s="100" t="n">
        <f aca="false">IFERROR(F35/E35-1,"-")</f>
        <v>-0.877276305877603</v>
      </c>
      <c r="H35" s="99" t="n">
        <f aca="false">F35-E35</f>
        <v>-71749.42</v>
      </c>
      <c r="I35" s="99" t="n">
        <f aca="false">IFERROR(INDEX('תקציב  '!$A:$AW,MATCH($B35,'תקציב  '!$C:$C,0),INDEX(נתונים_שטוחים!$AP$2:$AP$13,$F$2)),"-")</f>
        <v>85000</v>
      </c>
      <c r="J35" s="100" t="n">
        <f aca="false">IFERROR(F35/I35-1,"-")</f>
        <v>-0.881915882352941</v>
      </c>
      <c r="K35" s="99" t="n">
        <f aca="false">IFERROR(F35-I35,"-")</f>
        <v>-74962.85</v>
      </c>
      <c r="L35" s="99" t="n">
        <f aca="false">IF($F$2&lt;7,"-",IFERROR(INDEX('תקציב  '!$A:$AW,MATCH($B35,'תקציב  '!$C:$C,0),INDEX(נתונים_שטוחים!$AQ$2:$AQ$13,$F$2)),"-"))</f>
        <v>17500</v>
      </c>
      <c r="M35" s="100" t="n">
        <f aca="false">IF($F$2&lt;7,"-",IFERROR(F35/L35-1,"-"))</f>
        <v>-0.426448571428571</v>
      </c>
      <c r="N35" s="99" t="n">
        <f aca="false">IF($F$2&lt;7,"-",IFERROR(F35-L35,"-"))</f>
        <v>-7462.85</v>
      </c>
    </row>
    <row r="36" customFormat="false" ht="15" hidden="false" customHeight="true" outlineLevel="0" collapsed="false">
      <c r="A36" s="97"/>
      <c r="B36" s="98" t="str">
        <f aca="false">נתונים_שטוחים!A34</f>
        <v>REMEDICARE B.V.</v>
      </c>
      <c r="C36" s="98" t="str">
        <f aca="false">נתונים_שטוחים!B34</f>
        <v>יצוא</v>
      </c>
      <c r="D36" s="99" t="n">
        <f aca="false">SUMIFS(נתונים_שטוחים!C34:N34,נתונים_שטוחים!$C$3:$N$3,"&lt;="&amp;$F$2)</f>
        <v>0</v>
      </c>
      <c r="E36" s="99" t="n">
        <f aca="false">SUMIFS(נתונים_שטוחים!O34:Z34,נתונים_שטוחים!$O$3:$Z$3,"&lt;="&amp;$F$2)</f>
        <v>0</v>
      </c>
      <c r="F36" s="99" t="n">
        <f aca="false">SUMIFS(נתונים_שטוחים!AA34:AL34,נתונים_שטוחים!$AA$3:$AL$3,"&lt;="&amp;$F$2)</f>
        <v>0</v>
      </c>
      <c r="G36" s="100" t="str">
        <f aca="false">IFERROR(F36/E36-1,"-")</f>
        <v>-</v>
      </c>
      <c r="H36" s="99" t="n">
        <f aca="false">F36-E36</f>
        <v>0</v>
      </c>
      <c r="I36" s="99" t="str">
        <f aca="false">IFERROR(INDEX('תקציב  '!$A:$AW,MATCH($B36,'תקציב  '!$C:$C,0),INDEX(נתונים_שטוחים!$AP$2:$AP$13,$F$2)),"-")</f>
        <v>-</v>
      </c>
      <c r="J36" s="100" t="str">
        <f aca="false">IFERROR(F36/I36-1,"-")</f>
        <v>-</v>
      </c>
      <c r="K36" s="99" t="str">
        <f aca="false">IFERROR(F36-I36,"-")</f>
        <v>-</v>
      </c>
      <c r="L36" s="99" t="str">
        <f aca="false">IF($F$2&lt;7,"-",IFERROR(INDEX('תקציב  '!$A:$AW,MATCH($B36,'תקציב  '!$C:$C,0),INDEX(נתונים_שטוחים!$AQ$2:$AQ$13,$F$2)),"-"))</f>
        <v>-</v>
      </c>
      <c r="M36" s="100" t="str">
        <f aca="false">IF($F$2&lt;7,"-",IFERROR(F36/L36-1,"-"))</f>
        <v>-</v>
      </c>
      <c r="N36" s="99" t="str">
        <f aca="false">IF($F$2&lt;7,"-",IFERROR(F36-L36,"-"))</f>
        <v>-</v>
      </c>
    </row>
    <row r="37" customFormat="false" ht="15" hidden="false" customHeight="true" outlineLevel="0" collapsed="false">
      <c r="A37" s="97" t="n">
        <v>213</v>
      </c>
      <c r="B37" s="98" t="str">
        <f aca="false">נתונים_שטוחים!A35</f>
        <v>E.F.M.O.</v>
      </c>
      <c r="C37" s="98" t="str">
        <f aca="false">נתונים_שטוחים!B35</f>
        <v>יצוא</v>
      </c>
      <c r="D37" s="99" t="n">
        <f aca="false">SUMIFS(נתונים_שטוחים!C35:N35,נתונים_שטוחים!$C$3:$N$3,"&lt;="&amp;$F$2)</f>
        <v>35826.78</v>
      </c>
      <c r="E37" s="99" t="n">
        <f aca="false">SUMIFS(נתונים_שטוחים!O35:Z35,נתונים_שטוחים!$O$3:$Z$3,"&lt;="&amp;$F$2)</f>
        <v>39713.57</v>
      </c>
      <c r="F37" s="99" t="n">
        <f aca="false">SUMIFS(נתונים_שטוחים!AA35:AL35,נתונים_שטוחים!$AA$3:$AL$3,"&lt;="&amp;$F$2)</f>
        <v>37142.71</v>
      </c>
      <c r="G37" s="100" t="n">
        <f aca="false">IFERROR(F37/E37-1,"-")</f>
        <v>-0.0647350515201731</v>
      </c>
      <c r="H37" s="99" t="n">
        <f aca="false">F37-E37</f>
        <v>-2570.86</v>
      </c>
      <c r="I37" s="99" t="n">
        <f aca="false">IFERROR(INDEX('תקציב  '!$A:$AW,MATCH($B37,'תקציב  '!$C:$C,0),INDEX(נתונים_שטוחים!$AP$2:$AP$13,$F$2)),"-")</f>
        <v>40000</v>
      </c>
      <c r="J37" s="100" t="n">
        <f aca="false">IFERROR(F37/I37-1,"-")</f>
        <v>-0.07143225</v>
      </c>
      <c r="K37" s="99" t="n">
        <f aca="false">IFERROR(F37-I37,"-")</f>
        <v>-2857.29</v>
      </c>
      <c r="L37" s="99" t="n">
        <f aca="false">IF($F$2&lt;7,"-",IFERROR(INDEX('תקציב  '!$A:$AW,MATCH($B37,'תקציב  '!$C:$C,0),INDEX(נתונים_שטוחים!$AQ$2:$AQ$13,$F$2)),"-"))</f>
        <v>38792.66</v>
      </c>
      <c r="M37" s="100" t="n">
        <f aca="false">IF($F$2&lt;7,"-",IFERROR(F37/L37-1,"-"))</f>
        <v>-0.0425325306385281</v>
      </c>
      <c r="N37" s="99" t="n">
        <f aca="false">IF($F$2&lt;7,"-",IFERROR(F37-L37,"-"))</f>
        <v>-1649.95</v>
      </c>
    </row>
    <row r="38" customFormat="false" ht="15" hidden="false" customHeight="true" outlineLevel="0" collapsed="false">
      <c r="A38" s="97" t="n">
        <v>214</v>
      </c>
      <c r="B38" s="98" t="str">
        <f aca="false">נתונים_שטוחים!A36</f>
        <v>ALFRED GERA</v>
      </c>
      <c r="C38" s="98" t="str">
        <f aca="false">נתונים_שטוחים!B36</f>
        <v>יצוא</v>
      </c>
      <c r="D38" s="99" t="n">
        <f aca="false">SUMIFS(נתונים_שטוחים!C36:N36,נתונים_שטוחים!$C$3:$N$3,"&lt;="&amp;$F$2)</f>
        <v>59175.03</v>
      </c>
      <c r="E38" s="99" t="n">
        <f aca="false">SUMIFS(נתונים_שטוחים!O36:Z36,נתונים_שטוחים!$O$3:$Z$3,"&lt;="&amp;$F$2)</f>
        <v>53863.18</v>
      </c>
      <c r="F38" s="99" t="n">
        <f aca="false">SUMIFS(נתונים_שטוחים!AA36:AL36,נתונים_שטוחים!$AA$3:$AL$3,"&lt;="&amp;$F$2)</f>
        <v>26105.72</v>
      </c>
      <c r="G38" s="100" t="n">
        <f aca="false">IFERROR(F38/E38-1,"-")</f>
        <v>-0.515332737502687</v>
      </c>
      <c r="H38" s="99" t="n">
        <f aca="false">F38-E38</f>
        <v>-27757.46</v>
      </c>
      <c r="I38" s="99" t="n">
        <f aca="false">IFERROR(INDEX('תקציב  '!$A:$AW,MATCH($B38,'תקציב  '!$C:$C,0),INDEX(נתונים_שטוחים!$AP$2:$AP$13,$F$2)),"-")</f>
        <v>80000</v>
      </c>
      <c r="J38" s="100" t="n">
        <f aca="false">IFERROR(F38/I38-1,"-")</f>
        <v>-0.6736785</v>
      </c>
      <c r="K38" s="99" t="n">
        <f aca="false">IFERROR(F38-I38,"-")</f>
        <v>-53894.28</v>
      </c>
      <c r="L38" s="99" t="n">
        <f aca="false">IF($F$2&lt;7,"-",IFERROR(INDEX('תקציב  '!$A:$AW,MATCH($B38,'תקציב  '!$C:$C,0),INDEX(נתונים_שטוחים!$AQ$2:$AQ$13,$F$2)),"-"))</f>
        <v>25000</v>
      </c>
      <c r="M38" s="100" t="n">
        <f aca="false">IF($F$2&lt;7,"-",IFERROR(F38/L38-1,"-"))</f>
        <v>0.0442288</v>
      </c>
      <c r="N38" s="99" t="n">
        <f aca="false">IF($F$2&lt;7,"-",IFERROR(F38-L38,"-"))</f>
        <v>1105.72</v>
      </c>
    </row>
    <row r="39" customFormat="false" ht="15" hidden="false" customHeight="true" outlineLevel="0" collapsed="false">
      <c r="A39" s="97" t="n">
        <v>212</v>
      </c>
      <c r="B39" s="98" t="str">
        <f aca="false">נתונים_שטוחים!A37</f>
        <v>QUADRIFOGLIO MEDICAL</v>
      </c>
      <c r="C39" s="98" t="str">
        <f aca="false">נתונים_שטוחים!B37</f>
        <v>יצוא</v>
      </c>
      <c r="D39" s="99" t="n">
        <f aca="false">SUMIFS(נתונים_שטוחים!C37:N37,נתונים_שטוחים!$C$3:$N$3,"&lt;="&amp;$F$2)</f>
        <v>41531.96</v>
      </c>
      <c r="E39" s="99" t="n">
        <f aca="false">SUMIFS(נתונים_שטוחים!O37:Z37,נתונים_שטוחים!$O$3:$Z$3,"&lt;="&amp;$F$2)</f>
        <v>0</v>
      </c>
      <c r="F39" s="99" t="n">
        <f aca="false">SUMIFS(נתונים_שטוחים!AA37:AL37,נתונים_שטוחים!$AA$3:$AL$3,"&lt;="&amp;$F$2)</f>
        <v>0</v>
      </c>
      <c r="G39" s="100" t="str">
        <f aca="false">IFERROR(F39/E39-1,"-")</f>
        <v>-</v>
      </c>
      <c r="H39" s="99" t="n">
        <f aca="false">F39-E39</f>
        <v>0</v>
      </c>
      <c r="I39" s="99" t="str">
        <f aca="false">IFERROR(INDEX('תקציב  '!$A:$AW,MATCH($B39,'תקציב  '!$C:$C,0),INDEX(נתונים_שטוחים!$AP$2:$AP$13,$F$2)),"-")</f>
        <v>-</v>
      </c>
      <c r="J39" s="100" t="str">
        <f aca="false">IFERROR(F39/I39-1,"-")</f>
        <v>-</v>
      </c>
      <c r="K39" s="99" t="str">
        <f aca="false">IFERROR(F39-I39,"-")</f>
        <v>-</v>
      </c>
      <c r="L39" s="99" t="str">
        <f aca="false">IF($F$2&lt;7,"-",IFERROR(INDEX('תקציב  '!$A:$AW,MATCH($B39,'תקציב  '!$C:$C,0),INDEX(נתונים_שטוחים!$AQ$2:$AQ$13,$F$2)),"-"))</f>
        <v>-</v>
      </c>
      <c r="M39" s="100" t="str">
        <f aca="false">IF($F$2&lt;7,"-",IFERROR(F39/L39-1,"-"))</f>
        <v>-</v>
      </c>
      <c r="N39" s="99" t="str">
        <f aca="false">IF($F$2&lt;7,"-",IFERROR(F39-L39,"-"))</f>
        <v>-</v>
      </c>
    </row>
    <row r="40" customFormat="false" ht="15" hidden="false" customHeight="true" outlineLevel="0" collapsed="false">
      <c r="A40" s="97" t="n">
        <v>215</v>
      </c>
      <c r="B40" s="98" t="str">
        <f aca="false">נתונים_שטוחים!A38</f>
        <v>YOUNG IN HEALTHCARE CO.,</v>
      </c>
      <c r="C40" s="98" t="str">
        <f aca="false">נתונים_שטוחים!B38</f>
        <v>יצוא</v>
      </c>
      <c r="D40" s="99" t="n">
        <f aca="false">SUMIFS(נתונים_שטוחים!C38:N38,נתונים_שטוחים!$C$3:$N$3,"&lt;="&amp;$F$2)</f>
        <v>22310.96</v>
      </c>
      <c r="E40" s="99" t="n">
        <f aca="false">SUMIFS(נתונים_שטוחים!O38:Z38,נתונים_שטוחים!$O$3:$Z$3,"&lt;="&amp;$F$2)</f>
        <v>0</v>
      </c>
      <c r="F40" s="99" t="n">
        <f aca="false">SUMIFS(נתונים_שטוחים!AA38:AL38,נתונים_שטוחים!$AA$3:$AL$3,"&lt;="&amp;$F$2)</f>
        <v>0</v>
      </c>
      <c r="G40" s="100" t="str">
        <f aca="false">IFERROR(F40/E40-1,"-")</f>
        <v>-</v>
      </c>
      <c r="H40" s="99" t="n">
        <f aca="false">F40-E40</f>
        <v>0</v>
      </c>
      <c r="I40" s="99" t="n">
        <f aca="false">IFERROR(INDEX('תקציב  '!$A:$AW,MATCH($B40,'תקציב  '!$C:$C,0),INDEX(נתונים_שטוחים!$AP$2:$AP$13,$F$2)),"-")</f>
        <v>0</v>
      </c>
      <c r="J40" s="100" t="str">
        <f aca="false">IFERROR(F40/I40-1,"-")</f>
        <v>-</v>
      </c>
      <c r="K40" s="99" t="n">
        <f aca="false">IFERROR(F40-I40,"-")</f>
        <v>0</v>
      </c>
      <c r="L40" s="99" t="n">
        <f aca="false">IF($F$2&lt;7,"-",IFERROR(INDEX('תקציב  '!$A:$AW,MATCH($B40,'תקציב  '!$C:$C,0),INDEX(נתונים_שטוחים!$AQ$2:$AQ$13,$F$2)),"-"))</f>
        <v>0</v>
      </c>
      <c r="M40" s="100" t="str">
        <f aca="false">IF($F$2&lt;7,"-",IFERROR(F40/L40-1,"-"))</f>
        <v>-</v>
      </c>
      <c r="N40" s="99" t="n">
        <f aca="false">IF($F$2&lt;7,"-",IFERROR(F40-L40,"-"))</f>
        <v>0</v>
      </c>
    </row>
    <row r="41" customFormat="false" ht="15" hidden="false" customHeight="true" outlineLevel="0" collapsed="false">
      <c r="A41" s="97" t="n">
        <v>217</v>
      </c>
      <c r="B41" s="98" t="str">
        <f aca="false">נתונים_שטוחים!A39</f>
        <v>HANS</v>
      </c>
      <c r="C41" s="98" t="str">
        <f aca="false">נתונים_שטוחים!B39</f>
        <v>יצוא</v>
      </c>
      <c r="D41" s="99" t="n">
        <f aca="false">SUMIFS(נתונים_שטוחים!C39:N39,נתונים_שטוחים!$C$3:$N$3,"&lt;="&amp;$F$2)</f>
        <v>161574.82</v>
      </c>
      <c r="E41" s="99" t="n">
        <f aca="false">SUMIFS(נתונים_שטוחים!O39:Z39,נתונים_שטוחים!$O$3:$Z$3,"&lt;="&amp;$F$2)</f>
        <v>248.59</v>
      </c>
      <c r="F41" s="99" t="n">
        <f aca="false">SUMIFS(נתונים_שטוחים!AA39:AL39,נתונים_שטוחים!$AA$3:$AL$3,"&lt;="&amp;$F$2)</f>
        <v>0</v>
      </c>
      <c r="G41" s="100" t="n">
        <f aca="false">IFERROR(F41/E41-1,"-")</f>
        <v>-1</v>
      </c>
      <c r="H41" s="99" t="n">
        <f aca="false">F41-E41</f>
        <v>-248.59</v>
      </c>
      <c r="I41" s="99" t="n">
        <f aca="false">IFERROR(INDEX('תקציב  '!$A:$AW,MATCH($B41,'תקציב  '!$C:$C,0),INDEX(נתונים_שטוחים!$AP$2:$AP$13,$F$2)),"-")</f>
        <v>600000</v>
      </c>
      <c r="J41" s="100" t="n">
        <f aca="false">IFERROR(F41/I41-1,"-")</f>
        <v>-1</v>
      </c>
      <c r="K41" s="99" t="n">
        <f aca="false">IFERROR(F41-I41,"-")</f>
        <v>-600000</v>
      </c>
      <c r="L41" s="99" t="n">
        <f aca="false">IF($F$2&lt;7,"-",IFERROR(INDEX('תקציב  '!$A:$AW,MATCH($B41,'תקציב  '!$C:$C,0),INDEX(נתונים_שטוחים!$AQ$2:$AQ$13,$F$2)),"-"))</f>
        <v>0</v>
      </c>
      <c r="M41" s="100" t="str">
        <f aca="false">IF($F$2&lt;7,"-",IFERROR(F41/L41-1,"-"))</f>
        <v>-</v>
      </c>
      <c r="N41" s="99" t="n">
        <f aca="false">IF($F$2&lt;7,"-",IFERROR(F41-L41,"-"))</f>
        <v>0</v>
      </c>
    </row>
    <row r="42" customFormat="false" ht="15" hidden="false" customHeight="true" outlineLevel="0" collapsed="false">
      <c r="A42" s="97" t="n">
        <v>36</v>
      </c>
      <c r="B42" s="98" t="str">
        <f aca="false">נתונים_שטוחים!A40</f>
        <v>NEW DISTRIBUTORS</v>
      </c>
      <c r="C42" s="98" t="str">
        <f aca="false">נתונים_שטוחים!B40</f>
        <v>יצוא</v>
      </c>
      <c r="D42" s="99" t="n">
        <f aca="false">SUMIFS(נתונים_שטוחים!C40:N40,נתונים_שטוחים!$C$3:$N$3,"&lt;="&amp;$F$2)</f>
        <v>0</v>
      </c>
      <c r="E42" s="99" t="n">
        <f aca="false">SUMIFS(נתונים_שטוחים!O40:Z40,נתונים_שטוחים!$O$3:$Z$3,"&lt;="&amp;$F$2)</f>
        <v>0</v>
      </c>
      <c r="F42" s="99" t="n">
        <f aca="false">SUMIFS(נתונים_שטוחים!AA40:AL40,נתונים_שטוחים!$AA$3:$AL$3,"&lt;="&amp;$F$2)</f>
        <v>0</v>
      </c>
      <c r="G42" s="100" t="str">
        <f aca="false">IFERROR(F42/E42-1,"-")</f>
        <v>-</v>
      </c>
      <c r="H42" s="99" t="n">
        <f aca="false">F42-E42</f>
        <v>0</v>
      </c>
      <c r="I42" s="99" t="n">
        <f aca="false">IFERROR(INDEX('תקציב  '!$A:$AW,MATCH($B42,'תקציב  '!$C:$C,0),INDEX(נתונים_שטוחים!$AP$2:$AP$13,$F$2)),"-")</f>
        <v>400000</v>
      </c>
      <c r="J42" s="100" t="n">
        <f aca="false">IFERROR(F42/I42-1,"-")</f>
        <v>-1</v>
      </c>
      <c r="K42" s="99" t="n">
        <f aca="false">IFERROR(F42-I42,"-")</f>
        <v>-400000</v>
      </c>
      <c r="L42" s="99" t="n">
        <f aca="false">IF($F$2&lt;7,"-",IFERROR(INDEX('תקציב  '!$A:$AW,MATCH($B42,'תקציב  '!$C:$C,0),INDEX(נתונים_שטוחים!$AQ$2:$AQ$13,$F$2)),"-"))</f>
        <v>100000</v>
      </c>
      <c r="M42" s="100" t="n">
        <f aca="false">IF($F$2&lt;7,"-",IFERROR(F42/L42-1,"-"))</f>
        <v>-1</v>
      </c>
      <c r="N42" s="99" t="n">
        <f aca="false">IF($F$2&lt;7,"-",IFERROR(F42-L42,"-"))</f>
        <v>-100000</v>
      </c>
    </row>
    <row r="43" customFormat="false" ht="15" hidden="false" customHeight="true" outlineLevel="0" collapsed="false">
      <c r="A43" s="97"/>
      <c r="B43" s="98" t="str">
        <f aca="false">נתונים_שטוחים!A41</f>
        <v>BAKU</v>
      </c>
      <c r="C43" s="98" t="str">
        <f aca="false">נתונים_שטוחים!B41</f>
        <v>יצוא</v>
      </c>
      <c r="D43" s="99" t="n">
        <f aca="false">SUMIFS(נתונים_שטוחים!C41:N41,נתונים_שטוחים!$C$3:$N$3,"&lt;="&amp;$F$2)</f>
        <v>0</v>
      </c>
      <c r="E43" s="99" t="n">
        <f aca="false">SUMIFS(נתונים_שטוחים!O41:Z41,נתונים_שטוחים!$O$3:$Z$3,"&lt;="&amp;$F$2)</f>
        <v>0</v>
      </c>
      <c r="F43" s="99" t="n">
        <f aca="false">SUMIFS(נתונים_שטוחים!AA41:AL41,נתונים_שטוחים!$AA$3:$AL$3,"&lt;="&amp;$F$2)</f>
        <v>0</v>
      </c>
      <c r="G43" s="100" t="str">
        <f aca="false">IFERROR(F43/E43-1,"-")</f>
        <v>-</v>
      </c>
      <c r="H43" s="99" t="n">
        <f aca="false">F43-E43</f>
        <v>0</v>
      </c>
      <c r="I43" s="99" t="str">
        <f aca="false">IFERROR(INDEX('תקציב  '!$A:$AW,MATCH($B43,'תקציב  '!$C:$C,0),INDEX(נתונים_שטוחים!$AP$2:$AP$13,$F$2)),"-")</f>
        <v>-</v>
      </c>
      <c r="J43" s="100" t="str">
        <f aca="false">IFERROR(F43/I43-1,"-")</f>
        <v>-</v>
      </c>
      <c r="K43" s="99" t="str">
        <f aca="false">IFERROR(F43-I43,"-")</f>
        <v>-</v>
      </c>
      <c r="L43" s="99" t="str">
        <f aca="false">IF($F$2&lt;7,"-",IFERROR(INDEX('תקציב  '!$A:$AW,MATCH($B43,'תקציב  '!$C:$C,0),INDEX(נתונים_שטוחים!$AQ$2:$AQ$13,$F$2)),"-"))</f>
        <v>-</v>
      </c>
      <c r="M43" s="100" t="str">
        <f aca="false">IF($F$2&lt;7,"-",IFERROR(F43/L43-1,"-"))</f>
        <v>-</v>
      </c>
      <c r="N43" s="99" t="str">
        <f aca="false">IF($F$2&lt;7,"-",IFERROR(F43-L43,"-"))</f>
        <v>-</v>
      </c>
    </row>
    <row r="44" customFormat="false" ht="15" hidden="false" customHeight="true" outlineLevel="0" collapsed="false">
      <c r="A44" s="97"/>
      <c r="B44" s="98" t="str">
        <f aca="false">נתונים_שטוחים!A42</f>
        <v>MEXICO</v>
      </c>
      <c r="C44" s="98" t="str">
        <f aca="false">נתונים_שטוחים!B42</f>
        <v>יצוא</v>
      </c>
      <c r="D44" s="99" t="n">
        <f aca="false">SUMIFS(נתונים_שטוחים!C42:N42,נתונים_שטוחים!$C$3:$N$3,"&lt;="&amp;$F$2)</f>
        <v>0</v>
      </c>
      <c r="E44" s="99" t="n">
        <f aca="false">SUMIFS(נתונים_שטוחים!O42:Z42,נתונים_שטוחים!$O$3:$Z$3,"&lt;="&amp;$F$2)</f>
        <v>0</v>
      </c>
      <c r="F44" s="99" t="n">
        <f aca="false">SUMIFS(נתונים_שטוחים!AA42:AL42,נתונים_שטוחים!$AA$3:$AL$3,"&lt;="&amp;$F$2)</f>
        <v>0</v>
      </c>
      <c r="G44" s="100" t="str">
        <f aca="false">IFERROR(F44/E44-1,"-")</f>
        <v>-</v>
      </c>
      <c r="H44" s="99" t="n">
        <f aca="false">F44-E44</f>
        <v>0</v>
      </c>
      <c r="I44" s="99" t="str">
        <f aca="false">IFERROR(INDEX('תקציב  '!$A:$AW,MATCH($B44,'תקציב  '!$C:$C,0),INDEX(נתונים_שטוחים!$AP$2:$AP$13,$F$2)),"-")</f>
        <v>-</v>
      </c>
      <c r="J44" s="100" t="str">
        <f aca="false">IFERROR(F44/I44-1,"-")</f>
        <v>-</v>
      </c>
      <c r="K44" s="99" t="str">
        <f aca="false">IFERROR(F44-I44,"-")</f>
        <v>-</v>
      </c>
      <c r="L44" s="99" t="str">
        <f aca="false">IF($F$2&lt;7,"-",IFERROR(INDEX('תקציב  '!$A:$AW,MATCH($B44,'תקציב  '!$C:$C,0),INDEX(נתונים_שטוחים!$AQ$2:$AQ$13,$F$2)),"-"))</f>
        <v>-</v>
      </c>
      <c r="M44" s="100" t="str">
        <f aca="false">IF($F$2&lt;7,"-",IFERROR(F44/L44-1,"-"))</f>
        <v>-</v>
      </c>
      <c r="N44" s="99" t="str">
        <f aca="false">IF($F$2&lt;7,"-",IFERROR(F44-L44,"-"))</f>
        <v>-</v>
      </c>
    </row>
    <row r="45" customFormat="false" ht="15" hidden="false" customHeight="true" outlineLevel="0" collapsed="false">
      <c r="A45" s="101"/>
      <c r="B45" s="102" t="s">
        <v>98</v>
      </c>
      <c r="C45" s="102"/>
      <c r="D45" s="103" t="n">
        <f aca="false">SUM(D23:D44)</f>
        <v>7648509.62</v>
      </c>
      <c r="E45" s="103" t="n">
        <f aca="false">SUM(E23:E44)</f>
        <v>5973375.8</v>
      </c>
      <c r="F45" s="103" t="n">
        <f aca="false">SUM(F23:F44)</f>
        <v>4050561.83</v>
      </c>
      <c r="G45" s="104" t="n">
        <f aca="false">IFERROR(F45/E45-1,"-")</f>
        <v>-0.321897371667123</v>
      </c>
      <c r="H45" s="103" t="n">
        <f aca="false">SUM(H23:H44)</f>
        <v>-1922813.97</v>
      </c>
      <c r="I45" s="103" t="n">
        <f aca="false">SUM(I23:I44)</f>
        <v>9781372.5132875</v>
      </c>
      <c r="J45" s="104" t="n">
        <f aca="false">IFERROR(F45/I45-1,"-")</f>
        <v>-0.585890239381282</v>
      </c>
      <c r="K45" s="103" t="n">
        <f aca="false">IFERROR(F45-I45,"-")</f>
        <v>-5730810.6832875</v>
      </c>
      <c r="L45" s="103" t="n">
        <f aca="false">IF($F$2&lt;7,"-",SUMIF(L23:L44,"&lt;&gt;-"))</f>
        <v>6772380.94</v>
      </c>
      <c r="M45" s="104" t="n">
        <f aca="false">IF($F$2&lt;7,"-",IFERROR(F45/L45-1,"-"))</f>
        <v>-0.401899883381339</v>
      </c>
      <c r="N45" s="103" t="n">
        <f aca="false">IF($F$2&lt;7,"-",IFERROR(F45-L45,"-"))</f>
        <v>-2721819.11</v>
      </c>
    </row>
    <row r="46" customFormat="false" ht="15" hidden="false" customHeight="true" outlineLevel="0" collapsed="false">
      <c r="A46" s="105"/>
      <c r="B46" s="106" t="s">
        <v>120</v>
      </c>
      <c r="C46" s="106"/>
      <c r="D46" s="107" t="n">
        <f aca="false">SUM(D5:D18)+SUM(D20:D21)+SUM(D23:D44)</f>
        <v>25012791.934</v>
      </c>
      <c r="E46" s="107" t="n">
        <f aca="false">SUM(E5:E18)+SUM(E20:E21)+SUM(E23:E44)</f>
        <v>24119651.232</v>
      </c>
      <c r="F46" s="107" t="n">
        <f aca="false">SUM(F5:F18)+SUM(F20:F21)+SUM(F23:F44)</f>
        <v>19243216.601</v>
      </c>
      <c r="G46" s="108" t="n">
        <f aca="false">IFERROR(F46/E46-1,"-")</f>
        <v>-0.202176830174491</v>
      </c>
      <c r="H46" s="107" t="n">
        <f aca="false">SUM(H5:H18)+SUM(H20:H21)+SUM(H23:H44)</f>
        <v>-4876434.63100001</v>
      </c>
      <c r="I46" s="107" t="n">
        <f aca="false">SUM(I5:I18)+SUM(I20:I21)+SUM(I23:I44)</f>
        <v>41241479.2126095</v>
      </c>
      <c r="J46" s="108" t="n">
        <f aca="false">IFERROR(F46/I46-1,"-")</f>
        <v>-0.533401396642523</v>
      </c>
      <c r="K46" s="107" t="n">
        <f aca="false">IFERROR(F46-I46,"-")</f>
        <v>-21998262.6116095</v>
      </c>
      <c r="L46" s="107" t="n">
        <f aca="false">IF($F$2&lt;7,"-",SUMIF(L5:L18,"&lt;&gt;-")+SUMIF(L20:L21,"&lt;&gt;-")+SUMIF(L23:L44,"&lt;&gt;-"))</f>
        <v>31924454.0205594</v>
      </c>
      <c r="M46" s="108" t="n">
        <f aca="false">IF($F$2&lt;7,"-",IFERROR(F46/L46-1,"-"))</f>
        <v>-0.397226446265694</v>
      </c>
      <c r="N46" s="107" t="n">
        <f aca="false">IF($F$2&lt;7,"-",IFERROR(F46-L46,"-"))</f>
        <v>-12681237.4195593</v>
      </c>
    </row>
    <row r="47" customFormat="false" ht="15" hidden="false" customHeight="true" outlineLevel="0" collapsed="false">
      <c r="A47" s="109"/>
      <c r="B47" s="91" t="s">
        <v>121</v>
      </c>
      <c r="D47" s="110" t="n">
        <f aca="false">D45/D46</f>
        <v>0.305783922090015</v>
      </c>
      <c r="E47" s="110" t="n">
        <f aca="false">E45/E46</f>
        <v>0.247655977383081</v>
      </c>
      <c r="F47" s="110" t="n">
        <f aca="false">F45/F46</f>
        <v>0.2104929707952</v>
      </c>
    </row>
  </sheetData>
  <mergeCells count="1">
    <mergeCell ref="A1:N1"/>
  </mergeCells>
  <dataValidations count="1">
    <dataValidation allowBlank="false" error="בחר חודש מהרשימה" errorStyle="stop" operator="between" prompt="בחר חודש (ינואר עד דצמבר)" showDropDown="false" showErrorMessage="false" showInputMessage="false" sqref="D2" type="list">
      <formula1>"ינואר,פברואר,מרץ,אפריל,מאי,יוני,יולי,אוגוסט,ספטמבר,אוקטובר,נובמבר,דצמבר"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3" min="13" style="1" width="11"/>
    <col collapsed="false" customWidth="true" hidden="false" outlineLevel="0" max="14" min="14" style="1" width="14"/>
  </cols>
  <sheetData>
    <row r="1" customFormat="false" ht="16.5" hidden="false" customHeight="true" outlineLevel="0" collapsed="false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customFormat="false" ht="15" hidden="false" customHeight="true" outlineLevel="0" collapsed="false">
      <c r="B2" s="91" t="s">
        <v>122</v>
      </c>
      <c r="D2" s="92" t="s">
        <v>123</v>
      </c>
      <c r="E2" s="93" t="s">
        <v>124</v>
      </c>
      <c r="F2" s="93" t="n">
        <f aca="false">VALUE(MID($D$2,2,1))</f>
        <v>4</v>
      </c>
      <c r="G2" s="91" t="s">
        <v>103</v>
      </c>
      <c r="H2" s="94" t="n">
        <v>46296</v>
      </c>
    </row>
    <row r="3" customFormat="false" ht="15" hidden="false" customHeight="true" outlineLevel="0" collapsed="false">
      <c r="B3" s="95" t="s">
        <v>125</v>
      </c>
    </row>
    <row r="4" customFormat="false" ht="15" hidden="false" customHeight="true" outlineLevel="0" collapsed="false">
      <c r="A4" s="96" t="s">
        <v>105</v>
      </c>
      <c r="B4" s="96" t="s">
        <v>106</v>
      </c>
      <c r="C4" s="96" t="s">
        <v>107</v>
      </c>
      <c r="D4" s="96" t="s">
        <v>126</v>
      </c>
      <c r="E4" s="96" t="s">
        <v>127</v>
      </c>
      <c r="F4" s="96" t="s">
        <v>128</v>
      </c>
      <c r="G4" s="96" t="s">
        <v>111</v>
      </c>
      <c r="H4" s="96" t="s">
        <v>112</v>
      </c>
      <c r="I4" s="96" t="s">
        <v>129</v>
      </c>
      <c r="J4" s="96" t="s">
        <v>114</v>
      </c>
      <c r="K4" s="96" t="s">
        <v>115</v>
      </c>
      <c r="L4" s="96" t="s">
        <v>130</v>
      </c>
      <c r="M4" s="96" t="s">
        <v>117</v>
      </c>
      <c r="N4" s="96" t="s">
        <v>118</v>
      </c>
    </row>
    <row r="5" customFormat="false" ht="15" hidden="false" customHeight="true" outlineLevel="0" collapsed="false">
      <c r="A5" s="97" t="n">
        <v>111</v>
      </c>
      <c r="B5" s="98" t="str">
        <f aca="false">נתונים_שטוחים!A5</f>
        <v>סופר פארם לייף</v>
      </c>
      <c r="C5" s="98" t="str">
        <f aca="false">נתונים_שטוחים!B5</f>
        <v>ישראל</v>
      </c>
      <c r="D5" s="99" t="n">
        <f aca="false">SUMIFS(נתונים_שטוחים!C5:N5,נתונים_שטוחים!$C$4:$N$4,$F$2)</f>
        <v>501891.94</v>
      </c>
      <c r="E5" s="99" t="n">
        <f aca="false">SUMIFS(נתונים_שטוחים!O5:Z5,נתונים_שטוחים!$O$4:$Z$4,$F$2)</f>
        <v>397235.16</v>
      </c>
      <c r="F5" s="99" t="n">
        <f aca="false">SUMIFS(נתונים_שטוחים!AA5:AL5,נתונים_שטוחים!$AA$4:$AL$4,$F$2)</f>
        <v>20995.2</v>
      </c>
      <c r="G5" s="100" t="n">
        <f aca="false">IFERROR(F5/E5-1,"-")</f>
        <v>-0.947146672515092</v>
      </c>
      <c r="H5" s="99" t="n">
        <f aca="false">F5-E5</f>
        <v>-376239.96</v>
      </c>
      <c r="I5" s="99" t="n">
        <f aca="false">IFERROR(INDEX('תקציב  '!$A:$P,MATCH($B5,'תקציב  '!$C:$C,0),5+3*($F$2-1))+INDEX('תקציב  '!$A:$P,MATCH($B5,'תקציב  '!$C:$C,0),6+3*($F$2-1))+INDEX('תקציב  '!$A:$P,MATCH($B5,'תקציב  '!$C:$C,0),7+3*($F$2-1)),"-")</f>
        <v>705238.095238096</v>
      </c>
      <c r="J5" s="100" t="n">
        <f aca="false">IFERROR(F5/I5-1,"-")</f>
        <v>-0.970229628629305</v>
      </c>
      <c r="K5" s="99" t="n">
        <f aca="false">IFERROR(F5-I5,"-")</f>
        <v>-684242.895238096</v>
      </c>
      <c r="L5" s="99" t="n">
        <f aca="false">IF($F$2&lt;3,"-",IFERROR(INDEX('תקציב  '!$A:$AN,MATCH($B5,'תקציב  '!$C:$C,0),35+3*($F$2-3))+INDEX('תקציב  '!$A:$AN,MATCH($B5,'תקציב  '!$C:$C,0),36+3*($F$2-3))+INDEX('תקציב  '!$A:$AN,MATCH($B5,'תקציב  '!$C:$C,0),37+3*($F$2-3)),"-"))</f>
        <v>600000</v>
      </c>
      <c r="M5" s="100" t="n">
        <f aca="false">IF($F$2&lt;3,"-",IFERROR(F5/L5-1,"-"))</f>
        <v>-0.965008</v>
      </c>
      <c r="N5" s="99" t="n">
        <f aca="false">IF($F$2&lt;3,"-",IFERROR(F5-L5,"-"))</f>
        <v>-579004.8</v>
      </c>
    </row>
    <row r="6" customFormat="false" ht="15" hidden="false" customHeight="true" outlineLevel="0" collapsed="false">
      <c r="A6" s="97" t="n">
        <v>1</v>
      </c>
      <c r="B6" s="98" t="str">
        <f aca="false">נתונים_שטוחים!A6</f>
        <v>סופרפארם</v>
      </c>
      <c r="C6" s="98" t="str">
        <f aca="false">נתונים_שטוחים!B6</f>
        <v>ישראל</v>
      </c>
      <c r="D6" s="99" t="n">
        <f aca="false">SUMIFS(נתונים_שטוחים!C6:N6,נתונים_שטוחים!$C$4:$N$4,$F$2)</f>
        <v>1256467.849</v>
      </c>
      <c r="E6" s="99" t="n">
        <f aca="false">SUMIFS(נתונים_שטוחים!O6:Z6,נתונים_שטוחים!$O$4:$Z$4,$F$2)</f>
        <v>1377947.48</v>
      </c>
      <c r="F6" s="99" t="n">
        <f aca="false">SUMIFS(נתונים_שטוחים!AA6:AL6,נתונים_שטוחים!$AA$4:$AL$4,$F$2)</f>
        <v>0</v>
      </c>
      <c r="G6" s="100" t="n">
        <f aca="false">IFERROR(F6/E6-1,"-")</f>
        <v>-1</v>
      </c>
      <c r="H6" s="99" t="n">
        <f aca="false">F6-E6</f>
        <v>-1377947.48</v>
      </c>
      <c r="I6" s="99" t="n">
        <f aca="false">IFERROR(INDEX('תקציב  '!$A:$P,MATCH($B6,'תקציב  '!$C:$C,0),5+3*($F$2-1))+INDEX('תקציב  '!$A:$P,MATCH($B6,'תקציב  '!$C:$C,0),6+3*($F$2-1))+INDEX('תקציב  '!$A:$P,MATCH($B6,'תקציב  '!$C:$C,0),7+3*($F$2-1)),"-")</f>
        <v>1720095.23809524</v>
      </c>
      <c r="J6" s="100" t="n">
        <f aca="false">IFERROR(F6/I6-1,"-")</f>
        <v>-1</v>
      </c>
      <c r="K6" s="99" t="n">
        <f aca="false">IFERROR(F6-I6,"-")</f>
        <v>-1720095.23809524</v>
      </c>
      <c r="L6" s="99" t="n">
        <f aca="false">IF($F$2&lt;3,"-",IFERROR(INDEX('תקציב  '!$A:$AN,MATCH($B6,'תקציב  '!$C:$C,0),35+3*($F$2-3))+INDEX('תקציב  '!$A:$AN,MATCH($B6,'תקציב  '!$C:$C,0),36+3*($F$2-3))+INDEX('תקציב  '!$A:$AN,MATCH($B6,'תקציב  '!$C:$C,0),37+3*($F$2-3)),"-"))</f>
        <v>1650000</v>
      </c>
      <c r="M6" s="100" t="n">
        <f aca="false">IF($F$2&lt;3,"-",IFERROR(F6/L6-1,"-"))</f>
        <v>-1</v>
      </c>
      <c r="N6" s="99" t="n">
        <f aca="false">IF($F$2&lt;3,"-",IFERROR(F6-L6,"-"))</f>
        <v>-1650000</v>
      </c>
    </row>
    <row r="7" customFormat="false" ht="15" hidden="false" customHeight="true" outlineLevel="0" collapsed="false">
      <c r="A7" s="97" t="n">
        <v>7</v>
      </c>
      <c r="B7" s="98" t="str">
        <f aca="false">נתונים_שטוחים!A7</f>
        <v>BE</v>
      </c>
      <c r="C7" s="98" t="str">
        <f aca="false">נתונים_שטוחים!B7</f>
        <v>ישראל</v>
      </c>
      <c r="D7" s="99" t="n">
        <f aca="false">SUMIFS(נתונים_שטוחים!C7:N7,נתונים_שטוחים!$C$4:$N$4,$F$2)</f>
        <v>249549.937</v>
      </c>
      <c r="E7" s="99" t="n">
        <f aca="false">SUMIFS(נתונים_שטוחים!O7:Z7,נתונים_שטוחים!$O$4:$Z$4,$F$2)</f>
        <v>208571.09</v>
      </c>
      <c r="F7" s="99" t="n">
        <f aca="false">SUMIFS(נתונים_שטוחים!AA7:AL7,נתונים_שטוחים!$AA$4:$AL$4,$F$2)</f>
        <v>0</v>
      </c>
      <c r="G7" s="100" t="n">
        <f aca="false">IFERROR(F7/E7-1,"-")</f>
        <v>-1</v>
      </c>
      <c r="H7" s="99" t="n">
        <f aca="false">F7-E7</f>
        <v>-208571.09</v>
      </c>
      <c r="I7" s="99" t="n">
        <f aca="false">IFERROR(INDEX('תקציב  '!$A:$P,MATCH($B7,'תקציב  '!$C:$C,0),5+3*($F$2-1))+INDEX('תקציב  '!$A:$P,MATCH($B7,'תקציב  '!$C:$C,0),6+3*($F$2-1))+INDEX('תקציב  '!$A:$P,MATCH($B7,'תקציב  '!$C:$C,0),7+3*($F$2-1)),"-")</f>
        <v>235714.285714286</v>
      </c>
      <c r="J7" s="100" t="n">
        <f aca="false">IFERROR(F7/I7-1,"-")</f>
        <v>-1</v>
      </c>
      <c r="K7" s="99" t="n">
        <f aca="false">IFERROR(F7-I7,"-")</f>
        <v>-235714.285714286</v>
      </c>
      <c r="L7" s="99" t="n">
        <f aca="false">IF($F$2&lt;3,"-",IFERROR(INDEX('תקציב  '!$A:$AN,MATCH($B7,'תקציב  '!$C:$C,0),35+3*($F$2-3))+INDEX('תקציב  '!$A:$AN,MATCH($B7,'תקציב  '!$C:$C,0),36+3*($F$2-3))+INDEX('תקציב  '!$A:$AN,MATCH($B7,'תקציב  '!$C:$C,0),37+3*($F$2-3)),"-"))</f>
        <v>300000</v>
      </c>
      <c r="M7" s="100" t="n">
        <f aca="false">IF($F$2&lt;3,"-",IFERROR(F7/L7-1,"-"))</f>
        <v>-1</v>
      </c>
      <c r="N7" s="99" t="n">
        <f aca="false">IF($F$2&lt;3,"-",IFERROR(F7-L7,"-"))</f>
        <v>-300000</v>
      </c>
    </row>
    <row r="8" customFormat="false" ht="15" hidden="false" customHeight="true" outlineLevel="0" collapsed="false">
      <c r="A8" s="97" t="n">
        <v>4</v>
      </c>
      <c r="B8" s="98" t="str">
        <f aca="false">נתונים_שטוחים!A8</f>
        <v>בתי מרקחת</v>
      </c>
      <c r="C8" s="98" t="str">
        <f aca="false">נתונים_שטוחים!B8</f>
        <v>ישראל</v>
      </c>
      <c r="D8" s="99" t="n">
        <f aca="false">SUMIFS(נתונים_שטוחים!C8:N8,נתונים_שטוחים!$C$4:$N$4,$F$2)</f>
        <v>423029.488</v>
      </c>
      <c r="E8" s="99" t="n">
        <f aca="false">SUMIFS(נתונים_שטוחים!O8:Z8,נתונים_שטוחים!$O$4:$Z$4,$F$2)</f>
        <v>462437.99</v>
      </c>
      <c r="F8" s="99" t="n">
        <f aca="false">SUMIFS(נתונים_שטוחים!AA8:AL8,נתונים_שטוחים!$AA$4:$AL$4,$F$2)</f>
        <v>0</v>
      </c>
      <c r="G8" s="100" t="n">
        <f aca="false">IFERROR(F8/E8-1,"-")</f>
        <v>-1</v>
      </c>
      <c r="H8" s="99" t="n">
        <f aca="false">F8-E8</f>
        <v>-462437.99</v>
      </c>
      <c r="I8" s="99" t="n">
        <f aca="false">IFERROR(INDEX('תקציב  '!$A:$P,MATCH($B8,'תקציב  '!$C:$C,0),5+3*($F$2-1))+INDEX('תקציב  '!$A:$P,MATCH($B8,'תקציב  '!$C:$C,0),6+3*($F$2-1))+INDEX('תקציב  '!$A:$P,MATCH($B8,'תקציב  '!$C:$C,0),7+3*($F$2-1)),"-")</f>
        <v>506619.047619047</v>
      </c>
      <c r="J8" s="100" t="n">
        <f aca="false">IFERROR(F8/I8-1,"-")</f>
        <v>-1</v>
      </c>
      <c r="K8" s="99" t="n">
        <f aca="false">IFERROR(F8-I8,"-")</f>
        <v>-506619.047619047</v>
      </c>
      <c r="L8" s="99" t="n">
        <f aca="false">IF($F$2&lt;3,"-",IFERROR(INDEX('תקציב  '!$A:$AN,MATCH($B8,'תקציב  '!$C:$C,0),35+3*($F$2-3))+INDEX('תקציב  '!$A:$AN,MATCH($B8,'תקציב  '!$C:$C,0),36+3*($F$2-3))+INDEX('תקציב  '!$A:$AN,MATCH($B8,'תקציב  '!$C:$C,0),37+3*($F$2-3)),"-"))</f>
        <v>600000</v>
      </c>
      <c r="M8" s="100" t="n">
        <f aca="false">IF($F$2&lt;3,"-",IFERROR(F8/L8-1,"-"))</f>
        <v>-1</v>
      </c>
      <c r="N8" s="99" t="n">
        <f aca="false">IF($F$2&lt;3,"-",IFERROR(F8-L8,"-"))</f>
        <v>-600000</v>
      </c>
    </row>
    <row r="9" customFormat="false" ht="15" hidden="false" customHeight="true" outlineLevel="0" collapsed="false">
      <c r="A9" s="97" t="n">
        <v>112</v>
      </c>
      <c r="B9" s="98" t="str">
        <f aca="false">נתונים_שטוחים!A9</f>
        <v>כללית</v>
      </c>
      <c r="C9" s="98" t="str">
        <f aca="false">נתונים_שטוחים!B9</f>
        <v>ישראל</v>
      </c>
      <c r="D9" s="99" t="n">
        <f aca="false">SUMIFS(נתונים_שטוחים!C9:N9,נתונים_שטוחים!$C$4:$N$4,$F$2)</f>
        <v>988830.3</v>
      </c>
      <c r="E9" s="99" t="n">
        <f aca="false">SUMIFS(נתונים_שטוחים!O9:Z9,נתונים_שטוחים!$O$4:$Z$4,$F$2)</f>
        <v>860724.67</v>
      </c>
      <c r="F9" s="99" t="n">
        <f aca="false">SUMIFS(נתונים_שטוחים!AA9:AL9,נתונים_שטוחים!$AA$4:$AL$4,$F$2)</f>
        <v>0</v>
      </c>
      <c r="G9" s="100" t="n">
        <f aca="false">IFERROR(F9/E9-1,"-")</f>
        <v>-1</v>
      </c>
      <c r="H9" s="99" t="n">
        <f aca="false">F9-E9</f>
        <v>-860724.67</v>
      </c>
      <c r="I9" s="99" t="n">
        <f aca="false">IFERROR(INDEX('תקציב  '!$A:$P,MATCH($B9,'תקציב  '!$C:$C,0),5+3*($F$2-1))+INDEX('תקציב  '!$A:$P,MATCH($B9,'תקציב  '!$C:$C,0),6+3*($F$2-1))+INDEX('תקציב  '!$A:$P,MATCH($B9,'תקציב  '!$C:$C,0),7+3*($F$2-1)),"-")</f>
        <v>1096000</v>
      </c>
      <c r="J9" s="100" t="n">
        <f aca="false">IFERROR(F9/I9-1,"-")</f>
        <v>-1</v>
      </c>
      <c r="K9" s="99" t="n">
        <f aca="false">IFERROR(F9-I9,"-")</f>
        <v>-1096000</v>
      </c>
      <c r="L9" s="99" t="n">
        <f aca="false">IF($F$2&lt;3,"-",IFERROR(INDEX('תקציב  '!$A:$AN,MATCH($B9,'תקציב  '!$C:$C,0),35+3*($F$2-3))+INDEX('תקציב  '!$A:$AN,MATCH($B9,'תקציב  '!$C:$C,0),36+3*($F$2-3))+INDEX('תקציב  '!$A:$AN,MATCH($B9,'תקציב  '!$C:$C,0),37+3*($F$2-3)),"-"))</f>
        <v>990000</v>
      </c>
      <c r="M9" s="100" t="n">
        <f aca="false">IF($F$2&lt;3,"-",IFERROR(F9/L9-1,"-"))</f>
        <v>-1</v>
      </c>
      <c r="N9" s="99" t="n">
        <f aca="false">IF($F$2&lt;3,"-",IFERROR(F9-L9,"-"))</f>
        <v>-990000</v>
      </c>
    </row>
    <row r="10" customFormat="false" ht="15" hidden="false" customHeight="true" outlineLevel="0" collapsed="false">
      <c r="A10" s="97" t="n">
        <v>113</v>
      </c>
      <c r="B10" s="98" t="str">
        <f aca="false">נתונים_שטוחים!A10</f>
        <v>מאוחדת</v>
      </c>
      <c r="C10" s="98" t="str">
        <f aca="false">נתונים_שטוחים!B10</f>
        <v>ישראל</v>
      </c>
      <c r="D10" s="99" t="n">
        <f aca="false">SUMIFS(נתונים_שטוחים!C10:N10,נתונים_שטוחים!$C$4:$N$4,$F$2)</f>
        <v>175743.18</v>
      </c>
      <c r="E10" s="99" t="n">
        <f aca="false">SUMIFS(נתונים_שטוחים!O10:Z10,נתונים_שטוחים!$O$4:$Z$4,$F$2)</f>
        <v>198828.06</v>
      </c>
      <c r="F10" s="99" t="n">
        <f aca="false">SUMIFS(נתונים_שטוחים!AA10:AL10,נתונים_שטוחים!$AA$4:$AL$4,$F$2)</f>
        <v>0</v>
      </c>
      <c r="G10" s="100" t="n">
        <f aca="false">IFERROR(F10/E10-1,"-")</f>
        <v>-1</v>
      </c>
      <c r="H10" s="99" t="n">
        <f aca="false">F10-E10</f>
        <v>-198828.06</v>
      </c>
      <c r="I10" s="99" t="n">
        <f aca="false">IFERROR(INDEX('תקציב  '!$A:$P,MATCH($B10,'תקציב  '!$C:$C,0),5+3*($F$2-1))+INDEX('תקציב  '!$A:$P,MATCH($B10,'תקציב  '!$C:$C,0),6+3*($F$2-1))+INDEX('תקציב  '!$A:$P,MATCH($B10,'תקציב  '!$C:$C,0),7+3*($F$2-1)),"-")</f>
        <v>301904.761904761</v>
      </c>
      <c r="J10" s="100" t="n">
        <f aca="false">IFERROR(F10/I10-1,"-")</f>
        <v>-1</v>
      </c>
      <c r="K10" s="99" t="n">
        <f aca="false">IFERROR(F10-I10,"-")</f>
        <v>-301904.761904761</v>
      </c>
      <c r="L10" s="99" t="n">
        <f aca="false">IF($F$2&lt;3,"-",IFERROR(INDEX('תקציב  '!$A:$AN,MATCH($B10,'תקציב  '!$C:$C,0),35+3*($F$2-3))+INDEX('תקציב  '!$A:$AN,MATCH($B10,'תקציב  '!$C:$C,0),36+3*($F$2-3))+INDEX('תקציב  '!$A:$AN,MATCH($B10,'תקציב  '!$C:$C,0),37+3*($F$2-3)),"-"))</f>
        <v>300000</v>
      </c>
      <c r="M10" s="100" t="n">
        <f aca="false">IF($F$2&lt;3,"-",IFERROR(F10/L10-1,"-"))</f>
        <v>-1</v>
      </c>
      <c r="N10" s="99" t="n">
        <f aca="false">IF($F$2&lt;3,"-",IFERROR(F10-L10,"-"))</f>
        <v>-300000</v>
      </c>
    </row>
    <row r="11" customFormat="false" ht="15" hidden="false" customHeight="true" outlineLevel="0" collapsed="false">
      <c r="A11" s="97"/>
      <c r="B11" s="98" t="str">
        <f aca="false">נתונים_שטוחים!A11</f>
        <v>מכבי</v>
      </c>
      <c r="C11" s="98" t="str">
        <f aca="false">נתונים_שטוחים!B11</f>
        <v>ישראל</v>
      </c>
      <c r="D11" s="99" t="n">
        <f aca="false">SUMIFS(נתונים_שטוחים!C11:N11,נתונים_שטוחים!$C$4:$N$4,$F$2)</f>
        <v>0</v>
      </c>
      <c r="E11" s="99" t="n">
        <f aca="false">SUMIFS(נתונים_שטוחים!O11:Z11,נתונים_שטוחים!$O$4:$Z$4,$F$2)</f>
        <v>0</v>
      </c>
      <c r="F11" s="99" t="n">
        <f aca="false">SUMIFS(נתונים_שטוחים!AA11:AL11,נתונים_שטוחים!$AA$4:$AL$4,$F$2)</f>
        <v>0</v>
      </c>
      <c r="G11" s="100" t="str">
        <f aca="false">IFERROR(F11/E11-1,"-")</f>
        <v>-</v>
      </c>
      <c r="H11" s="99" t="n">
        <f aca="false">F11-E11</f>
        <v>0</v>
      </c>
      <c r="I11" s="99" t="str">
        <f aca="false">IFERROR(INDEX('תקציב  '!$A:$P,MATCH($B11,'תקציב  '!$C:$C,0),5+3*($F$2-1))+INDEX('תקציב  '!$A:$P,MATCH($B11,'תקציב  '!$C:$C,0),6+3*($F$2-1))+INDEX('תקציב  '!$A:$P,MATCH($B11,'תקציב  '!$C:$C,0),7+3*($F$2-1)),"-")</f>
        <v>-</v>
      </c>
      <c r="J11" s="100" t="str">
        <f aca="false">IFERROR(F11/I11-1,"-")</f>
        <v>-</v>
      </c>
      <c r="K11" s="99" t="str">
        <f aca="false">IFERROR(F11-I11,"-")</f>
        <v>-</v>
      </c>
      <c r="L11" s="99" t="str">
        <f aca="false">IF($F$2&lt;3,"-",IFERROR(INDEX('תקציב  '!$A:$AN,MATCH($B11,'תקציב  '!$C:$C,0),35+3*($F$2-3))+INDEX('תקציב  '!$A:$AN,MATCH($B11,'תקציב  '!$C:$C,0),36+3*($F$2-3))+INDEX('תקציב  '!$A:$AN,MATCH($B11,'תקציב  '!$C:$C,0),37+3*($F$2-3)),"-"))</f>
        <v>-</v>
      </c>
      <c r="M11" s="100" t="str">
        <f aca="false">IF($F$2&lt;3,"-",IFERROR(F11/L11-1,"-"))</f>
        <v>-</v>
      </c>
      <c r="N11" s="99" t="str">
        <f aca="false">IF($F$2&lt;3,"-",IFERROR(F11-L11,"-"))</f>
        <v>-</v>
      </c>
    </row>
    <row r="12" customFormat="false" ht="15" hidden="false" customHeight="true" outlineLevel="0" collapsed="false">
      <c r="A12" s="97" t="n">
        <v>102</v>
      </c>
      <c r="B12" s="98" t="str">
        <f aca="false">נתונים_שטוחים!A12</f>
        <v>מכוני אורטופדיה</v>
      </c>
      <c r="C12" s="98" t="str">
        <f aca="false">נתונים_שטוחים!B12</f>
        <v>ישראל</v>
      </c>
      <c r="D12" s="99" t="n">
        <f aca="false">SUMIFS(נתונים_שטוחים!C12:N12,נתונים_שטוחים!$C$4:$N$4,$F$2)</f>
        <v>184800.08</v>
      </c>
      <c r="E12" s="99" t="n">
        <f aca="false">SUMIFS(נתונים_שטוחים!O12:Z12,נתונים_שטוחים!$O$4:$Z$4,$F$2)</f>
        <v>223581.68</v>
      </c>
      <c r="F12" s="99" t="n">
        <f aca="false">SUMIFS(נתונים_שטוחים!AA12:AL12,נתונים_שטוחים!$AA$4:$AL$4,$F$2)</f>
        <v>0</v>
      </c>
      <c r="G12" s="100" t="n">
        <f aca="false">IFERROR(F12/E12-1,"-")</f>
        <v>-1</v>
      </c>
      <c r="H12" s="99" t="n">
        <f aca="false">F12-E12</f>
        <v>-223581.68</v>
      </c>
      <c r="I12" s="99" t="n">
        <f aca="false">IFERROR(INDEX('תקציב  '!$A:$P,MATCH($B12,'תקציב  '!$C:$C,0),5+3*($F$2-1))+INDEX('תקציב  '!$A:$P,MATCH($B12,'תקציב  '!$C:$C,0),6+3*($F$2-1))+INDEX('תקציב  '!$A:$P,MATCH($B12,'תקציב  '!$C:$C,0),7+3*($F$2-1)),"-")</f>
        <v>528261.904761905</v>
      </c>
      <c r="J12" s="100" t="n">
        <f aca="false">IFERROR(F12/I12-1,"-")</f>
        <v>-1</v>
      </c>
      <c r="K12" s="99" t="n">
        <f aca="false">IFERROR(F12-I12,"-")</f>
        <v>-528261.904761905</v>
      </c>
      <c r="L12" s="99" t="n">
        <f aca="false">IF($F$2&lt;3,"-",IFERROR(INDEX('תקציב  '!$A:$AN,MATCH($B12,'תקציב  '!$C:$C,0),35+3*($F$2-3))+INDEX('תקציב  '!$A:$AN,MATCH($B12,'תקציב  '!$C:$C,0),36+3*($F$2-3))+INDEX('תקציב  '!$A:$AN,MATCH($B12,'תקציב  '!$C:$C,0),37+3*($F$2-3)),"-"))</f>
        <v>300000</v>
      </c>
      <c r="M12" s="100" t="n">
        <f aca="false">IF($F$2&lt;3,"-",IFERROR(F12/L12-1,"-"))</f>
        <v>-1</v>
      </c>
      <c r="N12" s="99" t="n">
        <f aca="false">IF($F$2&lt;3,"-",IFERROR(F12-L12,"-"))</f>
        <v>-300000</v>
      </c>
    </row>
    <row r="13" customFormat="false" ht="15" hidden="false" customHeight="true" outlineLevel="0" collapsed="false">
      <c r="A13" s="97" t="n">
        <v>101</v>
      </c>
      <c r="B13" s="98" t="str">
        <f aca="false">נתונים_שטוחים!A13</f>
        <v>לקוחות מפעל</v>
      </c>
      <c r="C13" s="98" t="str">
        <f aca="false">נתונים_שטוחים!B13</f>
        <v>ישראל</v>
      </c>
      <c r="D13" s="99" t="n">
        <f aca="false">SUMIFS(נתונים_שטוחים!C13:N13,נתונים_שטוחים!$C$4:$N$4,$F$2)</f>
        <v>38609.45</v>
      </c>
      <c r="E13" s="99" t="n">
        <f aca="false">SUMIFS(נתונים_שטוחים!O13:Z13,נתונים_שטוחים!$O$4:$Z$4,$F$2)</f>
        <v>48810.03</v>
      </c>
      <c r="F13" s="99" t="n">
        <f aca="false">SUMIFS(נתונים_שטוחים!AA13:AL13,נתונים_שטוחים!$AA$4:$AL$4,$F$2)</f>
        <v>0</v>
      </c>
      <c r="G13" s="100" t="n">
        <f aca="false">IFERROR(F13/E13-1,"-")</f>
        <v>-1</v>
      </c>
      <c r="H13" s="99" t="n">
        <f aca="false">F13-E13</f>
        <v>-48810.03</v>
      </c>
      <c r="I13" s="99" t="n">
        <f aca="false">IFERROR(INDEX('תקציב  '!$A:$P,MATCH($B13,'תקציב  '!$C:$C,0),5+3*($F$2-1))+INDEX('תקציב  '!$A:$P,MATCH($B13,'תקציב  '!$C:$C,0),6+3*($F$2-1))+INDEX('תקציב  '!$A:$P,MATCH($B13,'תקציב  '!$C:$C,0),7+3*($F$2-1)),"-")</f>
        <v>49761.9047619047</v>
      </c>
      <c r="J13" s="100" t="n">
        <f aca="false">IFERROR(F13/I13-1,"-")</f>
        <v>-1</v>
      </c>
      <c r="K13" s="99" t="n">
        <f aca="false">IFERROR(F13-I13,"-")</f>
        <v>-49761.9047619047</v>
      </c>
      <c r="L13" s="99" t="n">
        <f aca="false">IF($F$2&lt;3,"-",IFERROR(INDEX('תקציב  '!$A:$AN,MATCH($B13,'תקציב  '!$C:$C,0),35+3*($F$2-3))+INDEX('תקציב  '!$A:$AN,MATCH($B13,'תקציב  '!$C:$C,0),36+3*($F$2-3))+INDEX('תקציב  '!$A:$AN,MATCH($B13,'תקציב  '!$C:$C,0),37+3*($F$2-3)),"-"))</f>
        <v>45000</v>
      </c>
      <c r="M13" s="100" t="n">
        <f aca="false">IF($F$2&lt;3,"-",IFERROR(F13/L13-1,"-"))</f>
        <v>-1</v>
      </c>
      <c r="N13" s="99" t="n">
        <f aca="false">IF($F$2&lt;3,"-",IFERROR(F13-L13,"-"))</f>
        <v>-45000</v>
      </c>
    </row>
    <row r="14" customFormat="false" ht="15" hidden="false" customHeight="true" outlineLevel="0" collapsed="false">
      <c r="A14" s="97" t="n">
        <v>109</v>
      </c>
      <c r="B14" s="98" t="str">
        <f aca="false">נתונים_שטוחים!A14</f>
        <v>חנויות פרטיות</v>
      </c>
      <c r="C14" s="98" t="str">
        <f aca="false">נתונים_שטוחים!B14</f>
        <v>ישראל</v>
      </c>
      <c r="D14" s="99" t="n">
        <f aca="false">SUMIFS(נתונים_שטוחים!C14:N14,נתונים_שטוחים!$C$4:$N$4,$F$2)</f>
        <v>39179.29</v>
      </c>
      <c r="E14" s="99" t="n">
        <f aca="false">SUMIFS(נתונים_שטוחים!O14:Z14,נתונים_שטוחים!$O$4:$Z$4,$F$2)</f>
        <v>11043.34</v>
      </c>
      <c r="F14" s="99" t="n">
        <f aca="false">SUMIFS(נתונים_שטוחים!AA14:AL14,נתונים_שטוחים!$AA$4:$AL$4,$F$2)</f>
        <v>0</v>
      </c>
      <c r="G14" s="100" t="n">
        <f aca="false">IFERROR(F14/E14-1,"-")</f>
        <v>-1</v>
      </c>
      <c r="H14" s="99" t="n">
        <f aca="false">F14-E14</f>
        <v>-11043.34</v>
      </c>
      <c r="I14" s="99" t="n">
        <f aca="false">IFERROR(INDEX('תקציב  '!$A:$P,MATCH($B14,'תקציב  '!$C:$C,0),5+3*($F$2-1))+INDEX('תקציב  '!$A:$P,MATCH($B14,'תקציב  '!$C:$C,0),6+3*($F$2-1))+INDEX('תקציב  '!$A:$P,MATCH($B14,'תקציב  '!$C:$C,0),7+3*($F$2-1)),"-")</f>
        <v>27190.4761904762</v>
      </c>
      <c r="J14" s="100" t="n">
        <f aca="false">IFERROR(F14/I14-1,"-")</f>
        <v>-1</v>
      </c>
      <c r="K14" s="99" t="n">
        <f aca="false">IFERROR(F14-I14,"-")</f>
        <v>-27190.4761904762</v>
      </c>
      <c r="L14" s="99" t="n">
        <f aca="false">IF($F$2&lt;3,"-",IFERROR(INDEX('תקציב  '!$A:$AN,MATCH($B14,'תקציב  '!$C:$C,0),35+3*($F$2-3))+INDEX('תקציב  '!$A:$AN,MATCH($B14,'תקציב  '!$C:$C,0),36+3*($F$2-3))+INDEX('תקציב  '!$A:$AN,MATCH($B14,'תקציב  '!$C:$C,0),37+3*($F$2-3)),"-"))</f>
        <v>30000</v>
      </c>
      <c r="M14" s="100" t="n">
        <f aca="false">IF($F$2&lt;3,"-",IFERROR(F14/L14-1,"-"))</f>
        <v>-1</v>
      </c>
      <c r="N14" s="99" t="n">
        <f aca="false">IF($F$2&lt;3,"-",IFERROR(F14-L14,"-"))</f>
        <v>-30000</v>
      </c>
    </row>
    <row r="15" customFormat="false" ht="15" hidden="false" customHeight="true" outlineLevel="0" collapsed="false">
      <c r="A15" s="97" t="n">
        <v>105</v>
      </c>
      <c r="B15" s="98" t="str">
        <f aca="false">נתונים_שטוחים!A15</f>
        <v>מכוני פדיקור</v>
      </c>
      <c r="C15" s="98" t="str">
        <f aca="false">נתונים_שטוחים!B15</f>
        <v>ישראל</v>
      </c>
      <c r="D15" s="99" t="n">
        <f aca="false">SUMIFS(נתונים_שטוחים!C15:N15,נתונים_שטוחים!$C$4:$N$4,$F$2)</f>
        <v>850.4</v>
      </c>
      <c r="E15" s="99" t="n">
        <f aca="false">SUMIFS(נתונים_שטוחים!O15:Z15,נתונים_שטוחים!$O$4:$Z$4,$F$2)</f>
        <v>1168.54</v>
      </c>
      <c r="F15" s="99" t="n">
        <f aca="false">SUMIFS(נתונים_שטוחים!AA15:AL15,נתונים_שטוחים!$AA$4:$AL$4,$F$2)</f>
        <v>0</v>
      </c>
      <c r="G15" s="100" t="n">
        <f aca="false">IFERROR(F15/E15-1,"-")</f>
        <v>-1</v>
      </c>
      <c r="H15" s="99" t="n">
        <f aca="false">F15-E15</f>
        <v>-1168.54</v>
      </c>
      <c r="I15" s="99" t="n">
        <f aca="false">IFERROR(INDEX('תקציב  '!$A:$P,MATCH($B15,'תקציב  '!$C:$C,0),5+3*($F$2-1))+INDEX('תקציב  '!$A:$P,MATCH($B15,'תקציב  '!$C:$C,0),6+3*($F$2-1))+INDEX('תקציב  '!$A:$P,MATCH($B15,'תקציב  '!$C:$C,0),7+3*($F$2-1)),"-")</f>
        <v>0</v>
      </c>
      <c r="J15" s="100" t="str">
        <f aca="false">IFERROR(F15/I15-1,"-")</f>
        <v>-</v>
      </c>
      <c r="K15" s="99" t="n">
        <f aca="false">IFERROR(F15-I15,"-")</f>
        <v>0</v>
      </c>
      <c r="L15" s="99" t="n">
        <f aca="false">IF($F$2&lt;3,"-",IFERROR(INDEX('תקציב  '!$A:$AN,MATCH($B15,'תקציב  '!$C:$C,0),35+3*($F$2-3))+INDEX('תקציב  '!$A:$AN,MATCH($B15,'תקציב  '!$C:$C,0),36+3*($F$2-3))+INDEX('תקציב  '!$A:$AN,MATCH($B15,'תקציב  '!$C:$C,0),37+3*($F$2-3)),"-"))</f>
        <v>15000</v>
      </c>
      <c r="M15" s="100" t="n">
        <f aca="false">IF($F$2&lt;3,"-",IFERROR(F15/L15-1,"-"))</f>
        <v>-1</v>
      </c>
      <c r="N15" s="99" t="n">
        <f aca="false">IF($F$2&lt;3,"-",IFERROR(F15-L15,"-"))</f>
        <v>-15000</v>
      </c>
    </row>
    <row r="16" customFormat="false" ht="15" hidden="false" customHeight="true" outlineLevel="0" collapsed="false">
      <c r="A16" s="97" t="n">
        <v>104</v>
      </c>
      <c r="B16" s="98" t="str">
        <f aca="false">נתונים_שטוחים!A16</f>
        <v>חנויות נעליים</v>
      </c>
      <c r="C16" s="98" t="str">
        <f aca="false">נתונים_שטוחים!B16</f>
        <v>ישראל</v>
      </c>
      <c r="D16" s="99" t="n">
        <f aca="false">SUMIFS(נתונים_שטוחים!C16:N16,נתונים_שטוחים!$C$4:$N$4,$F$2)</f>
        <v>-14.28</v>
      </c>
      <c r="E16" s="99" t="n">
        <f aca="false">SUMIFS(נתונים_שטוחים!O16:Z16,נתונים_שטוחים!$O$4:$Z$4,$F$2)</f>
        <v>514.2</v>
      </c>
      <c r="F16" s="99" t="n">
        <f aca="false">SUMIFS(נתונים_שטוחים!AA16:AL16,נתונים_שטוחים!$AA$4:$AL$4,$F$2)</f>
        <v>0</v>
      </c>
      <c r="G16" s="100" t="n">
        <f aca="false">IFERROR(F16/E16-1,"-")</f>
        <v>-1</v>
      </c>
      <c r="H16" s="99" t="n">
        <f aca="false">F16-E16</f>
        <v>-514.2</v>
      </c>
      <c r="I16" s="99" t="n">
        <f aca="false">IFERROR(INDEX('תקציב  '!$A:$P,MATCH($B16,'תקציב  '!$C:$C,0),5+3*($F$2-1))+INDEX('תקציב  '!$A:$P,MATCH($B16,'תקציב  '!$C:$C,0),6+3*($F$2-1))+INDEX('תקציב  '!$A:$P,MATCH($B16,'תקציב  '!$C:$C,0),7+3*($F$2-1)),"-")</f>
        <v>12500</v>
      </c>
      <c r="J16" s="100" t="n">
        <f aca="false">IFERROR(F16/I16-1,"-")</f>
        <v>-1</v>
      </c>
      <c r="K16" s="99" t="n">
        <f aca="false">IFERROR(F16-I16,"-")</f>
        <v>-12500</v>
      </c>
      <c r="L16" s="99" t="n">
        <f aca="false">IF($F$2&lt;3,"-",IFERROR(INDEX('תקציב  '!$A:$AN,MATCH($B16,'תקציב  '!$C:$C,0),35+3*($F$2-3))+INDEX('תקציב  '!$A:$AN,MATCH($B16,'תקציב  '!$C:$C,0),36+3*($F$2-3))+INDEX('תקציב  '!$A:$AN,MATCH($B16,'תקציב  '!$C:$C,0),37+3*($F$2-3)),"-"))</f>
        <v>15000</v>
      </c>
      <c r="M16" s="100" t="n">
        <f aca="false">IF($F$2&lt;3,"-",IFERROR(F16/L16-1,"-"))</f>
        <v>-1</v>
      </c>
      <c r="N16" s="99" t="n">
        <f aca="false">IF($F$2&lt;3,"-",IFERROR(F16-L16,"-"))</f>
        <v>-15000</v>
      </c>
    </row>
    <row r="17" customFormat="false" ht="15" hidden="false" customHeight="true" outlineLevel="0" collapsed="false">
      <c r="A17" s="97" t="n">
        <v>106</v>
      </c>
      <c r="B17" s="98" t="str">
        <f aca="false">נתונים_שטוחים!A17</f>
        <v>בתי חולים ושרות</v>
      </c>
      <c r="C17" s="98" t="str">
        <f aca="false">נתונים_שטוחים!B17</f>
        <v>ישראל</v>
      </c>
      <c r="D17" s="99" t="n">
        <f aca="false">SUMIFS(נתונים_שטוחים!C17:N17,נתונים_שטוחים!$C$4:$N$4,$F$2)</f>
        <v>3722.65</v>
      </c>
      <c r="E17" s="99" t="n">
        <f aca="false">SUMIFS(נתונים_שטוחים!O17:Z17,נתונים_שטוחים!$O$4:$Z$4,$F$2)</f>
        <v>1813.57</v>
      </c>
      <c r="F17" s="99" t="n">
        <f aca="false">SUMIFS(נתונים_שטוחים!AA17:AL17,נתונים_שטוחים!$AA$4:$AL$4,$F$2)</f>
        <v>0</v>
      </c>
      <c r="G17" s="100" t="n">
        <f aca="false">IFERROR(F17/E17-1,"-")</f>
        <v>-1</v>
      </c>
      <c r="H17" s="99" t="n">
        <f aca="false">F17-E17</f>
        <v>-1813.57</v>
      </c>
      <c r="I17" s="99" t="n">
        <f aca="false">IFERROR(INDEX('תקציב  '!$A:$P,MATCH($B17,'תקציב  '!$C:$C,0),5+3*($F$2-1))+INDEX('תקציב  '!$A:$P,MATCH($B17,'תקציב  '!$C:$C,0),6+3*($F$2-1))+INDEX('תקציב  '!$A:$P,MATCH($B17,'תקציב  '!$C:$C,0),7+3*($F$2-1)),"-")</f>
        <v>100000</v>
      </c>
      <c r="J17" s="100" t="n">
        <f aca="false">IFERROR(F17/I17-1,"-")</f>
        <v>-1</v>
      </c>
      <c r="K17" s="99" t="n">
        <f aca="false">IFERROR(F17-I17,"-")</f>
        <v>-100000</v>
      </c>
      <c r="L17" s="99" t="n">
        <f aca="false">IF($F$2&lt;3,"-",IFERROR(INDEX('תקציב  '!$A:$AN,MATCH($B17,'תקציב  '!$C:$C,0),35+3*($F$2-3))+INDEX('תקציב  '!$A:$AN,MATCH($B17,'תקציב  '!$C:$C,0),36+3*($F$2-3))+INDEX('תקציב  '!$A:$AN,MATCH($B17,'תקציב  '!$C:$C,0),37+3*($F$2-3)),"-"))</f>
        <v>15000</v>
      </c>
      <c r="M17" s="100" t="n">
        <f aca="false">IF($F$2&lt;3,"-",IFERROR(F17/L17-1,"-"))</f>
        <v>-1</v>
      </c>
      <c r="N17" s="99" t="n">
        <f aca="false">IF($F$2&lt;3,"-",IFERROR(F17-L17,"-"))</f>
        <v>-15000</v>
      </c>
    </row>
    <row r="18" customFormat="false" ht="15" hidden="false" customHeight="true" outlineLevel="0" collapsed="false">
      <c r="A18" s="97" t="n">
        <v>103</v>
      </c>
      <c r="B18" s="98" t="str">
        <f aca="false">נתונים_שטוחים!A18</f>
        <v>מכוני פיזיותרפיה</v>
      </c>
      <c r="C18" s="98" t="str">
        <f aca="false">נתונים_שטוחים!B18</f>
        <v>ישראל</v>
      </c>
      <c r="D18" s="99" t="n">
        <f aca="false">SUMIFS(נתונים_שטוחים!C18:N18,נתונים_שטוחים!$C$4:$N$4,$F$2)</f>
        <v>11626.65</v>
      </c>
      <c r="E18" s="99" t="n">
        <f aca="false">SUMIFS(נתונים_שטוחים!O18:Z18,נתונים_שטוחים!$O$4:$Z$4,$F$2)</f>
        <v>17330.93</v>
      </c>
      <c r="F18" s="99" t="n">
        <f aca="false">SUMIFS(נתונים_שטוחים!AA18:AL18,נתונים_שטוחים!$AA$4:$AL$4,$F$2)</f>
        <v>0</v>
      </c>
      <c r="G18" s="100" t="n">
        <f aca="false">IFERROR(F18/E18-1,"-")</f>
        <v>-1</v>
      </c>
      <c r="H18" s="99" t="n">
        <f aca="false">F18-E18</f>
        <v>-17330.93</v>
      </c>
      <c r="I18" s="99" t="n">
        <f aca="false">IFERROR(INDEX('תקציב  '!$A:$P,MATCH($B18,'תקציב  '!$C:$C,0),5+3*($F$2-1))+INDEX('תקציב  '!$A:$P,MATCH($B18,'תקציב  '!$C:$C,0),6+3*($F$2-1))+INDEX('תקציב  '!$A:$P,MATCH($B18,'תקציב  '!$C:$C,0),7+3*($F$2-1)),"-")</f>
        <v>52380.9523809525</v>
      </c>
      <c r="J18" s="100" t="n">
        <f aca="false">IFERROR(F18/I18-1,"-")</f>
        <v>-1</v>
      </c>
      <c r="K18" s="99" t="n">
        <f aca="false">IFERROR(F18-I18,"-")</f>
        <v>-52380.9523809525</v>
      </c>
      <c r="L18" s="99" t="n">
        <f aca="false">IF($F$2&lt;3,"-",IFERROR(INDEX('תקציב  '!$A:$AN,MATCH($B18,'תקציב  '!$C:$C,0),35+3*($F$2-3))+INDEX('תקציב  '!$A:$AN,MATCH($B18,'תקציב  '!$C:$C,0),36+3*($F$2-3))+INDEX('תקציב  '!$A:$AN,MATCH($B18,'תקציב  '!$C:$C,0),37+3*($F$2-3)),"-"))</f>
        <v>75000</v>
      </c>
      <c r="M18" s="100" t="n">
        <f aca="false">IF($F$2&lt;3,"-",IFERROR(F18/L18-1,"-"))</f>
        <v>-1</v>
      </c>
      <c r="N18" s="99" t="n">
        <f aca="false">IF($F$2&lt;3,"-",IFERROR(F18-L18,"-"))</f>
        <v>-75000</v>
      </c>
    </row>
    <row r="19" customFormat="false" ht="15" hidden="false" customHeight="true" outlineLevel="0" collapsed="false">
      <c r="A19" s="101"/>
      <c r="B19" s="102" t="s">
        <v>119</v>
      </c>
      <c r="C19" s="102"/>
      <c r="D19" s="103" t="n">
        <f aca="false">SUM(D5:D18)</f>
        <v>3874286.934</v>
      </c>
      <c r="E19" s="103" t="n">
        <f aca="false">SUM(E5:E18)</f>
        <v>3810006.74</v>
      </c>
      <c r="F19" s="103" t="n">
        <f aca="false">SUM(F5:F18)</f>
        <v>20995.2</v>
      </c>
      <c r="G19" s="104" t="n">
        <f aca="false">IFERROR(F19/E19-1,"-")</f>
        <v>-0.994489458567205</v>
      </c>
      <c r="H19" s="103" t="n">
        <f aca="false">SUM(H5:H18)</f>
        <v>-3789011.54</v>
      </c>
      <c r="I19" s="103" t="n">
        <f aca="false">SUM(I5:I18)</f>
        <v>5335666.66666667</v>
      </c>
      <c r="J19" s="104" t="n">
        <f aca="false">IFERROR(F19/I19-1,"-")</f>
        <v>-0.99606512150934</v>
      </c>
      <c r="K19" s="103" t="n">
        <f aca="false">SUM(K5:K18)</f>
        <v>-5314671.46666667</v>
      </c>
      <c r="L19" s="103" t="n">
        <f aca="false">IF($F$2&lt;3,"-",SUM(L5:L18))</f>
        <v>4935000</v>
      </c>
      <c r="M19" s="104" t="n">
        <f aca="false">IF($F$2&lt;3,"-",IFERROR(F19/L19-1,"-"))</f>
        <v>-0.995745653495441</v>
      </c>
      <c r="N19" s="103" t="n">
        <f aca="false">IF($F$2&lt;3,"-",SUM(N5:N18))</f>
        <v>-4914004.8</v>
      </c>
    </row>
    <row r="20" customFormat="false" ht="15" hidden="false" customHeight="true" outlineLevel="0" collapsed="false">
      <c r="A20" s="97" t="n">
        <v>114</v>
      </c>
      <c r="B20" s="98" t="str">
        <f aca="false">נתונים_שטוחים!A19</f>
        <v>לקוחות אינטרנט</v>
      </c>
      <c r="C20" s="98" t="str">
        <f aca="false">נתונים_שטוחים!B19</f>
        <v>ישראל</v>
      </c>
      <c r="D20" s="99" t="n">
        <f aca="false">SUMIFS(נתונים_שטוחים!C19:N19,נתונים_שטוחים!$C$4:$N$4,$F$2)</f>
        <v>253937.589999999</v>
      </c>
      <c r="E20" s="99" t="n">
        <f aca="false">SUMIFS(נתונים_שטוחים!O19:Z19,נתונים_שטוחים!$O$4:$Z$4,$F$2)</f>
        <v>599115.08</v>
      </c>
      <c r="F20" s="99" t="n">
        <f aca="false">SUMIFS(נתונים_שטוחים!AA19:AL19,נתונים_שטוחים!$AA$4:$AL$4,$F$2)</f>
        <v>0</v>
      </c>
      <c r="G20" s="100" t="n">
        <f aca="false">IFERROR(F20/E20-1,"-")</f>
        <v>-1</v>
      </c>
      <c r="H20" s="99" t="n">
        <f aca="false">F20-E20</f>
        <v>-599115.08</v>
      </c>
      <c r="I20" s="99" t="n">
        <f aca="false">IFERROR(INDEX('תקציב  '!$A:$P,MATCH($B20,'תקציב  '!$C:$C,0),5+3*($F$2-1))+INDEX('תקציב  '!$A:$P,MATCH($B20,'תקציב  '!$C:$C,0),6+3*($F$2-1))+INDEX('תקציב  '!$A:$P,MATCH($B20,'תקציב  '!$C:$C,0),7+3*($F$2-1)),"-")</f>
        <v>4474216.10169492</v>
      </c>
      <c r="J20" s="100" t="n">
        <f aca="false">IFERROR(F20/I20-1,"-")</f>
        <v>-1</v>
      </c>
      <c r="K20" s="99" t="n">
        <f aca="false">IFERROR(F20-I20,"-")</f>
        <v>-4474216.10169492</v>
      </c>
      <c r="L20" s="99" t="n">
        <f aca="false">IF($F$2&lt;3,"-",IFERROR(INDEX('תקציב  '!$A:$AN,MATCH($B20,'תקציב  '!$C:$C,0),35+3*($F$2-3))+INDEX('תקציב  '!$A:$AN,MATCH($B20,'תקציב  '!$C:$C,0),36+3*($F$2-3))+INDEX('תקציב  '!$A:$AN,MATCH($B20,'תקציב  '!$C:$C,0),37+3*($F$2-3)),"-"))</f>
        <v>3472877.9661017</v>
      </c>
      <c r="M20" s="100" t="n">
        <f aca="false">IF($F$2&lt;3,"-",IFERROR(F20/L20-1,"-"))</f>
        <v>-1</v>
      </c>
      <c r="N20" s="99" t="n">
        <f aca="false">IF($F$2&lt;3,"-",IFERROR(F20-L20,"-"))</f>
        <v>-3472877.9661017</v>
      </c>
    </row>
    <row r="21" customFormat="false" ht="15" hidden="false" customHeight="true" outlineLevel="0" collapsed="false">
      <c r="A21" s="97" t="n">
        <v>115</v>
      </c>
      <c r="B21" s="98" t="str">
        <f aca="false">נתונים_שטוחים!A20</f>
        <v>סופר פארם מרקט פלייס</v>
      </c>
      <c r="C21" s="98" t="str">
        <f aca="false">נתונים_שטוחים!B20</f>
        <v>ישראל</v>
      </c>
      <c r="D21" s="99" t="n">
        <f aca="false">SUMIFS(נתונים_שטוחים!C20:N20,נתונים_שטוחים!$C$4:$N$4,$F$2)</f>
        <v>10454.96</v>
      </c>
      <c r="E21" s="99" t="n">
        <f aca="false">SUMIFS(נתונים_שטוחים!O20:Z20,נתונים_שטוחים!$O$4:$Z$4,$F$2)</f>
        <v>4382.6</v>
      </c>
      <c r="F21" s="99" t="n">
        <f aca="false">SUMIFS(נתונים_שטוחים!AA20:AL20,נתונים_שטוחים!$AA$4:$AL$4,$F$2)</f>
        <v>0</v>
      </c>
      <c r="G21" s="100" t="n">
        <f aca="false">IFERROR(F21/E21-1,"-")</f>
        <v>-1</v>
      </c>
      <c r="H21" s="99" t="n">
        <f aca="false">F21-E21</f>
        <v>-4382.6</v>
      </c>
      <c r="I21" s="99" t="n">
        <f aca="false">IFERROR(INDEX('תקציב  '!$A:$P,MATCH($B21,'תקציב  '!$C:$C,0),5+3*($F$2-1))+INDEX('תקציב  '!$A:$P,MATCH($B21,'תקציב  '!$C:$C,0),6+3*($F$2-1))+INDEX('תקציב  '!$A:$P,MATCH($B21,'תקציב  '!$C:$C,0),7+3*($F$2-1)),"-")</f>
        <v>7610.78499999999</v>
      </c>
      <c r="J21" s="100" t="n">
        <f aca="false">IFERROR(F21/I21-1,"-")</f>
        <v>-1</v>
      </c>
      <c r="K21" s="99" t="n">
        <f aca="false">IFERROR(F21-I21,"-")</f>
        <v>-7610.78499999999</v>
      </c>
      <c r="L21" s="99" t="n">
        <f aca="false">IF($F$2&lt;3,"-",IFERROR(INDEX('תקציב  '!$A:$AN,MATCH($B21,'תקציב  '!$C:$C,0),35+3*($F$2-3))+INDEX('תקציב  '!$A:$AN,MATCH($B21,'תקציב  '!$C:$C,0),36+3*($F$2-3))+INDEX('תקציב  '!$A:$AN,MATCH($B21,'תקציב  '!$C:$C,0),37+3*($F$2-3)),"-"))</f>
        <v>15000</v>
      </c>
      <c r="M21" s="100" t="n">
        <f aca="false">IF($F$2&lt;3,"-",IFERROR(F21/L21-1,"-"))</f>
        <v>-1</v>
      </c>
      <c r="N21" s="99" t="n">
        <f aca="false">IF($F$2&lt;3,"-",IFERROR(F21-L21,"-"))</f>
        <v>-15000</v>
      </c>
    </row>
    <row r="22" customFormat="false" ht="15" hidden="false" customHeight="true" outlineLevel="0" collapsed="false">
      <c r="A22" s="101"/>
      <c r="B22" s="102" t="s">
        <v>48</v>
      </c>
      <c r="C22" s="102"/>
      <c r="D22" s="103" t="n">
        <f aca="false">SUM(D5:D18)+SUM(D20:D21)</f>
        <v>4138679.484</v>
      </c>
      <c r="E22" s="103" t="n">
        <f aca="false">SUM(E5:E18)+SUM(E20:E21)</f>
        <v>4413504.42</v>
      </c>
      <c r="F22" s="103" t="n">
        <f aca="false">SUM(F5:F18)+SUM(F20:F21)</f>
        <v>20995.2</v>
      </c>
      <c r="G22" s="104" t="n">
        <f aca="false">IFERROR(F22/E22-1,"-")</f>
        <v>-0.995242963866795</v>
      </c>
      <c r="H22" s="103" t="n">
        <f aca="false">SUM(H5:H18)+SUM(H20:H21)</f>
        <v>-4392509.22</v>
      </c>
      <c r="I22" s="103" t="n">
        <f aca="false">SUM(I5:I18)+SUM(I20:I21)</f>
        <v>9817493.55336159</v>
      </c>
      <c r="J22" s="104" t="n">
        <f aca="false">IFERROR(F22/I22-1,"-")</f>
        <v>-0.997861450085413</v>
      </c>
      <c r="K22" s="103" t="n">
        <f aca="false">SUM(K5:K18)+SUM(K20:K21)</f>
        <v>-9796498.35336159</v>
      </c>
      <c r="L22" s="103" t="n">
        <f aca="false">IF($F$2&lt;3,"-",SUM(L5:L18)+SUM(L20:L21))</f>
        <v>8422877.9661017</v>
      </c>
      <c r="M22" s="104" t="n">
        <f aca="false">IF($F$2&lt;3,"-",IFERROR(F22/L22-1,"-"))</f>
        <v>-0.997507360300779</v>
      </c>
      <c r="N22" s="103" t="n">
        <f aca="false">IF($F$2&lt;3,"-",SUM(N5:N18)+SUM(N20:N21))</f>
        <v>-8401882.7661017</v>
      </c>
    </row>
    <row r="23" customFormat="false" ht="15" hidden="false" customHeight="true" outlineLevel="0" collapsed="false">
      <c r="A23" s="97" t="n">
        <v>301</v>
      </c>
      <c r="B23" s="98" t="str">
        <f aca="false">נתונים_שטוחים!A21</f>
        <v>AMAZON</v>
      </c>
      <c r="C23" s="98" t="str">
        <f aca="false">נתונים_שטוחים!B21</f>
        <v>יצוא</v>
      </c>
      <c r="D23" s="99" t="n">
        <f aca="false">SUMIFS(נתונים_שטוחים!C21:N21,נתונים_שטוחים!$C$4:$N$4,$F$2)</f>
        <v>594913.85</v>
      </c>
      <c r="E23" s="99" t="n">
        <f aca="false">SUMIFS(נתונים_שטוחים!O21:Z21,נתונים_שטוחים!$O$4:$Z$4,$F$2)</f>
        <v>676973.71</v>
      </c>
      <c r="F23" s="99" t="n">
        <f aca="false">SUMIFS(נתונים_שטוחים!AA21:AL21,נתונים_שטוחים!$AA$4:$AL$4,$F$2)</f>
        <v>0</v>
      </c>
      <c r="G23" s="100" t="n">
        <f aca="false">IFERROR(F23/E23-1,"-")</f>
        <v>-1</v>
      </c>
      <c r="H23" s="99" t="n">
        <f aca="false">F23-E23</f>
        <v>-676973.71</v>
      </c>
      <c r="I23" s="99" t="n">
        <f aca="false">IFERROR(INDEX('תקציב  '!$A:$P,MATCH($B23,'תקציב  '!$C:$C,0),5+3*($F$2-1))+INDEX('תקציב  '!$A:$P,MATCH($B23,'תקציב  '!$C:$C,0),6+3*($F$2-1))+INDEX('תקציב  '!$A:$P,MATCH($B23,'תקציב  '!$C:$C,0),7+3*($F$2-1)),"-")</f>
        <v>1244673.12915</v>
      </c>
      <c r="J23" s="100" t="n">
        <f aca="false">IFERROR(F23/I23-1,"-")</f>
        <v>-1</v>
      </c>
      <c r="K23" s="99" t="n">
        <f aca="false">IFERROR(F23-I23,"-")</f>
        <v>-1244673.12915</v>
      </c>
      <c r="L23" s="99" t="n">
        <f aca="false">IF($F$2&lt;3,"-",IFERROR(INDEX('תקציב  '!$A:$AN,MATCH($B23,'תקציב  '!$C:$C,0),35+3*($F$2-3))+INDEX('תקציב  '!$A:$AN,MATCH($B23,'תקציב  '!$C:$C,0),36+3*($F$2-3))+INDEX('תקציב  '!$A:$AN,MATCH($B23,'תקציב  '!$C:$C,0),37+3*($F$2-3)),"-"))</f>
        <v>945572.1</v>
      </c>
      <c r="M23" s="100" t="n">
        <f aca="false">IF($F$2&lt;3,"-",IFERROR(F23/L23-1,"-"))</f>
        <v>-1</v>
      </c>
      <c r="N23" s="99" t="n">
        <f aca="false">IF($F$2&lt;3,"-",IFERROR(F23-L23,"-"))</f>
        <v>-945572.1</v>
      </c>
    </row>
    <row r="24" customFormat="false" ht="15" hidden="false" customHeight="true" outlineLevel="0" collapsed="false">
      <c r="A24" s="97" t="n">
        <v>202</v>
      </c>
      <c r="B24" s="98" t="str">
        <f aca="false">נתונים_שטוחים!A22</f>
        <v>SUPER PHARM POLAND</v>
      </c>
      <c r="C24" s="98" t="str">
        <f aca="false">נתונים_שטוחים!B22</f>
        <v>יצוא</v>
      </c>
      <c r="D24" s="99" t="n">
        <f aca="false">SUMIFS(נתונים_שטוחים!C22:N22,נתונים_שטוחים!$C$4:$N$4,$F$2)</f>
        <v>137974.18</v>
      </c>
      <c r="E24" s="99" t="n">
        <f aca="false">SUMIFS(נתונים_שטוחים!O22:Z22,נתונים_שטוחים!$O$4:$Z$4,$F$2)</f>
        <v>284867.18</v>
      </c>
      <c r="F24" s="99" t="n">
        <f aca="false">SUMIFS(נתונים_שטוחים!AA22:AL22,נתונים_שטוחים!$AA$4:$AL$4,$F$2)</f>
        <v>0</v>
      </c>
      <c r="G24" s="100" t="n">
        <f aca="false">IFERROR(F24/E24-1,"-")</f>
        <v>-1</v>
      </c>
      <c r="H24" s="99" t="n">
        <f aca="false">F24-E24</f>
        <v>-284867.18</v>
      </c>
      <c r="I24" s="99" t="n">
        <f aca="false">IFERROR(INDEX('תקציב  '!$A:$P,MATCH($B24,'תקציב  '!$C:$C,0),5+3*($F$2-1))+INDEX('תקציב  '!$A:$P,MATCH($B24,'תקציב  '!$C:$C,0),6+3*($F$2-1))+INDEX('תקציב  '!$A:$P,MATCH($B24,'תקציב  '!$C:$C,0),7+3*($F$2-1)),"-")</f>
        <v>303800</v>
      </c>
      <c r="J24" s="100" t="n">
        <f aca="false">IFERROR(F24/I24-1,"-")</f>
        <v>-1</v>
      </c>
      <c r="K24" s="99" t="n">
        <f aca="false">IFERROR(F24-I24,"-")</f>
        <v>-303800</v>
      </c>
      <c r="L24" s="99" t="n">
        <f aca="false">IF($F$2&lt;3,"-",IFERROR(INDEX('תקציב  '!$A:$AN,MATCH($B24,'תקציב  '!$C:$C,0),35+3*($F$2-3))+INDEX('תקציב  '!$A:$AN,MATCH($B24,'תקציב  '!$C:$C,0),36+3*($F$2-3))+INDEX('תקציב  '!$A:$AN,MATCH($B24,'תקציב  '!$C:$C,0),37+3*($F$2-3)),"-"))</f>
        <v>450000</v>
      </c>
      <c r="M24" s="100" t="n">
        <f aca="false">IF($F$2&lt;3,"-",IFERROR(F24/L24-1,"-"))</f>
        <v>-1</v>
      </c>
      <c r="N24" s="99" t="n">
        <f aca="false">IF($F$2&lt;3,"-",IFERROR(F24-L24,"-"))</f>
        <v>-450000</v>
      </c>
    </row>
    <row r="25" customFormat="false" ht="15" hidden="false" customHeight="true" outlineLevel="0" collapsed="false">
      <c r="A25" s="97" t="n">
        <v>203</v>
      </c>
      <c r="B25" s="98" t="str">
        <f aca="false">נתונים_שטוחים!A23</f>
        <v>ORTHO- PARTNER AG.</v>
      </c>
      <c r="C25" s="98" t="str">
        <f aca="false">נתונים_שטוחים!B23</f>
        <v>יצוא</v>
      </c>
      <c r="D25" s="99" t="n">
        <f aca="false">SUMIFS(נתונים_שטוחים!C23:N23,נתונים_שטוחים!$C$4:$N$4,$F$2)</f>
        <v>220830.5</v>
      </c>
      <c r="E25" s="99" t="n">
        <f aca="false">SUMIFS(נתונים_שטוחים!O23:Z23,נתונים_שטוחים!$O$4:$Z$4,$F$2)</f>
        <v>54650.07</v>
      </c>
      <c r="F25" s="99" t="n">
        <f aca="false">SUMIFS(נתונים_שטוחים!AA23:AL23,נתונים_שטוחים!$AA$4:$AL$4,$F$2)</f>
        <v>0</v>
      </c>
      <c r="G25" s="100" t="n">
        <f aca="false">IFERROR(F25/E25-1,"-")</f>
        <v>-1</v>
      </c>
      <c r="H25" s="99" t="n">
        <f aca="false">F25-E25</f>
        <v>-54650.07</v>
      </c>
      <c r="I25" s="99" t="n">
        <f aca="false">IFERROR(INDEX('תקציב  '!$A:$P,MATCH($B25,'תקציב  '!$C:$C,0),5+3*($F$2-1))+INDEX('תקציב  '!$A:$P,MATCH($B25,'תקציב  '!$C:$C,0),6+3*($F$2-1))+INDEX('תקציב  '!$A:$P,MATCH($B25,'תקציב  '!$C:$C,0),7+3*($F$2-1)),"-")</f>
        <v>200000</v>
      </c>
      <c r="J25" s="100" t="n">
        <f aca="false">IFERROR(F25/I25-1,"-")</f>
        <v>-1</v>
      </c>
      <c r="K25" s="99" t="n">
        <f aca="false">IFERROR(F25-I25,"-")</f>
        <v>-200000</v>
      </c>
      <c r="L25" s="99" t="n">
        <f aca="false">IF($F$2&lt;3,"-",IFERROR(INDEX('תקציב  '!$A:$AN,MATCH($B25,'תקציב  '!$C:$C,0),35+3*($F$2-3))+INDEX('תקציב  '!$A:$AN,MATCH($B25,'תקציב  '!$C:$C,0),36+3*($F$2-3))+INDEX('תקציב  '!$A:$AN,MATCH($B25,'תקציב  '!$C:$C,0),37+3*($F$2-3)),"-"))</f>
        <v>220000</v>
      </c>
      <c r="M25" s="100" t="n">
        <f aca="false">IF($F$2&lt;3,"-",IFERROR(F25/L25-1,"-"))</f>
        <v>-1</v>
      </c>
      <c r="N25" s="99" t="n">
        <f aca="false">IF($F$2&lt;3,"-",IFERROR(F25-L25,"-"))</f>
        <v>-220000</v>
      </c>
    </row>
    <row r="26" customFormat="false" ht="15" hidden="false" customHeight="true" outlineLevel="0" collapsed="false">
      <c r="A26" s="97" t="n">
        <v>204</v>
      </c>
      <c r="B26" s="98" t="str">
        <f aca="false">נתונים_שטוחים!A24</f>
        <v>SANAFLEX ANATOMIC</v>
      </c>
      <c r="C26" s="98" t="str">
        <f aca="false">נתונים_שטוחים!B24</f>
        <v>יצוא</v>
      </c>
      <c r="D26" s="99" t="n">
        <f aca="false">SUMIFS(נתונים_שטוחים!C24:N24,נתונים_שטוחים!$C$4:$N$4,$F$2)</f>
        <v>167224.53</v>
      </c>
      <c r="E26" s="99" t="n">
        <f aca="false">SUMIFS(נתונים_שטוחים!O24:Z24,נתונים_שטוחים!$O$4:$Z$4,$F$2)</f>
        <v>83397.79</v>
      </c>
      <c r="F26" s="99" t="n">
        <f aca="false">SUMIFS(נתונים_שטוחים!AA24:AL24,נתונים_שטוחים!$AA$4:$AL$4,$F$2)</f>
        <v>0</v>
      </c>
      <c r="G26" s="100" t="n">
        <f aca="false">IFERROR(F26/E26-1,"-")</f>
        <v>-1</v>
      </c>
      <c r="H26" s="99" t="n">
        <f aca="false">F26-E26</f>
        <v>-83397.79</v>
      </c>
      <c r="I26" s="99" t="n">
        <f aca="false">IFERROR(INDEX('תקציב  '!$A:$P,MATCH($B26,'תקציב  '!$C:$C,0),5+3*($F$2-1))+INDEX('תקציב  '!$A:$P,MATCH($B26,'תקציב  '!$C:$C,0),6+3*($F$2-1))+INDEX('תקציב  '!$A:$P,MATCH($B26,'תקציב  '!$C:$C,0),7+3*($F$2-1)),"-")</f>
        <v>82841</v>
      </c>
      <c r="J26" s="100" t="n">
        <f aca="false">IFERROR(F26/I26-1,"-")</f>
        <v>-1</v>
      </c>
      <c r="K26" s="99" t="n">
        <f aca="false">IFERROR(F26-I26,"-")</f>
        <v>-82841</v>
      </c>
      <c r="L26" s="99" t="n">
        <f aca="false">IF($F$2&lt;3,"-",IFERROR(INDEX('תקציב  '!$A:$AN,MATCH($B26,'תקציב  '!$C:$C,0),35+3*($F$2-3))+INDEX('תקציב  '!$A:$AN,MATCH($B26,'תקציב  '!$C:$C,0),36+3*($F$2-3))+INDEX('תקציב  '!$A:$AN,MATCH($B26,'תקציב  '!$C:$C,0),37+3*($F$2-3)),"-"))</f>
        <v>75000</v>
      </c>
      <c r="M26" s="100" t="n">
        <f aca="false">IF($F$2&lt;3,"-",IFERROR(F26/L26-1,"-"))</f>
        <v>-1</v>
      </c>
      <c r="N26" s="99" t="n">
        <f aca="false">IF($F$2&lt;3,"-",IFERROR(F26-L26,"-"))</f>
        <v>-75000</v>
      </c>
    </row>
    <row r="27" customFormat="false" ht="15" hidden="false" customHeight="true" outlineLevel="0" collapsed="false">
      <c r="A27" s="97" t="n">
        <v>205</v>
      </c>
      <c r="B27" s="98" t="str">
        <f aca="false">נתונים_שטוחים!A25</f>
        <v>HEALTH CARE PROD. GMBH</v>
      </c>
      <c r="C27" s="98" t="str">
        <f aca="false">נתונים_שטוחים!B25</f>
        <v>יצוא</v>
      </c>
      <c r="D27" s="99" t="n">
        <f aca="false">SUMIFS(נתונים_שטוחים!C25:N25,נתונים_שטוחים!$C$4:$N$4,$F$2)</f>
        <v>17813.97</v>
      </c>
      <c r="E27" s="99" t="n">
        <f aca="false">SUMIFS(נתונים_שטוחים!O25:Z25,נתונים_שטוחים!$O$4:$Z$4,$F$2)</f>
        <v>31158.35</v>
      </c>
      <c r="F27" s="99" t="n">
        <f aca="false">SUMIFS(נתונים_שטוחים!AA25:AL25,נתונים_שטוחים!$AA$4:$AL$4,$F$2)</f>
        <v>0</v>
      </c>
      <c r="G27" s="100" t="n">
        <f aca="false">IFERROR(F27/E27-1,"-")</f>
        <v>-1</v>
      </c>
      <c r="H27" s="99" t="n">
        <f aca="false">F27-E27</f>
        <v>-31158.35</v>
      </c>
      <c r="I27" s="99" t="n">
        <f aca="false">IFERROR(INDEX('תקציב  '!$A:$P,MATCH($B27,'תקציב  '!$C:$C,0),5+3*($F$2-1))+INDEX('תקציב  '!$A:$P,MATCH($B27,'תקציב  '!$C:$C,0),6+3*($F$2-1))+INDEX('תקציב  '!$A:$P,MATCH($B27,'תקציב  '!$C:$C,0),7+3*($F$2-1)),"-")</f>
        <v>26225</v>
      </c>
      <c r="J27" s="100" t="n">
        <f aca="false">IFERROR(F27/I27-1,"-")</f>
        <v>-1</v>
      </c>
      <c r="K27" s="99" t="n">
        <f aca="false">IFERROR(F27-I27,"-")</f>
        <v>-26225</v>
      </c>
      <c r="L27" s="99" t="n">
        <f aca="false">IF($F$2&lt;3,"-",IFERROR(INDEX('תקציב  '!$A:$AN,MATCH($B27,'תקציב  '!$C:$C,0),35+3*($F$2-3))+INDEX('תקציב  '!$A:$AN,MATCH($B27,'תקציב  '!$C:$C,0),36+3*($F$2-3))+INDEX('תקציב  '!$A:$AN,MATCH($B27,'תקציב  '!$C:$C,0),37+3*($F$2-3)),"-"))</f>
        <v>20000</v>
      </c>
      <c r="M27" s="100" t="n">
        <f aca="false">IF($F$2&lt;3,"-",IFERROR(F27/L27-1,"-"))</f>
        <v>-1</v>
      </c>
      <c r="N27" s="99" t="n">
        <f aca="false">IF($F$2&lt;3,"-",IFERROR(F27-L27,"-"))</f>
        <v>-20000</v>
      </c>
    </row>
    <row r="28" customFormat="false" ht="15" hidden="false" customHeight="true" outlineLevel="0" collapsed="false">
      <c r="A28" s="97" t="n">
        <v>206</v>
      </c>
      <c r="B28" s="98" t="str">
        <f aca="false">נתונים_שטוחים!A26</f>
        <v>ORTHOMED  LTD</v>
      </c>
      <c r="C28" s="98" t="str">
        <f aca="false">נתונים_שטוחים!B26</f>
        <v>יצוא</v>
      </c>
      <c r="D28" s="99" t="n">
        <f aca="false">SUMIFS(נתונים_שטוחים!C26:N26,נתונים_שטוחים!$C$4:$N$4,$F$2)</f>
        <v>44572.45</v>
      </c>
      <c r="E28" s="99" t="n">
        <f aca="false">SUMIFS(נתונים_שטוחים!O26:Z26,נתונים_שטוחים!$O$4:$Z$4,$F$2)</f>
        <v>0</v>
      </c>
      <c r="F28" s="99" t="n">
        <f aca="false">SUMIFS(נתונים_שטוחים!AA26:AL26,נתונים_שטוחים!$AA$4:$AL$4,$F$2)</f>
        <v>0</v>
      </c>
      <c r="G28" s="100" t="str">
        <f aca="false">IFERROR(F28/E28-1,"-")</f>
        <v>-</v>
      </c>
      <c r="H28" s="99" t="n">
        <f aca="false">F28-E28</f>
        <v>0</v>
      </c>
      <c r="I28" s="99" t="n">
        <f aca="false">IFERROR(INDEX('תקציב  '!$A:$P,MATCH($B28,'תקציב  '!$C:$C,0),5+3*($F$2-1))+INDEX('תקציב  '!$A:$P,MATCH($B28,'תקציב  '!$C:$C,0),6+3*($F$2-1))+INDEX('תקציב  '!$A:$P,MATCH($B28,'תקציב  '!$C:$C,0),7+3*($F$2-1)),"-")</f>
        <v>15000</v>
      </c>
      <c r="J28" s="100" t="n">
        <f aca="false">IFERROR(F28/I28-1,"-")</f>
        <v>-1</v>
      </c>
      <c r="K28" s="99" t="n">
        <f aca="false">IFERROR(F28-I28,"-")</f>
        <v>-15000</v>
      </c>
      <c r="L28" s="99" t="n">
        <f aca="false">IF($F$2&lt;3,"-",IFERROR(INDEX('תקציב  '!$A:$AN,MATCH($B28,'תקציב  '!$C:$C,0),35+3*($F$2-3))+INDEX('תקציב  '!$A:$AN,MATCH($B28,'תקציב  '!$C:$C,0),36+3*($F$2-3))+INDEX('תקציב  '!$A:$AN,MATCH($B28,'תקציב  '!$C:$C,0),37+3*($F$2-3)),"-"))</f>
        <v>0</v>
      </c>
      <c r="M28" s="100" t="str">
        <f aca="false">IF($F$2&lt;3,"-",IFERROR(F28/L28-1,"-"))</f>
        <v>-</v>
      </c>
      <c r="N28" s="99" t="n">
        <f aca="false">IF($F$2&lt;3,"-",IFERROR(F28-L28,"-"))</f>
        <v>0</v>
      </c>
    </row>
    <row r="29" customFormat="false" ht="15" hidden="false" customHeight="true" outlineLevel="0" collapsed="false">
      <c r="A29" s="97" t="n">
        <v>207</v>
      </c>
      <c r="B29" s="98" t="str">
        <f aca="false">נתונים_שטוחים!A27</f>
        <v>SALUS</v>
      </c>
      <c r="C29" s="98" t="str">
        <f aca="false">נתונים_שטוחים!B27</f>
        <v>יצוא</v>
      </c>
      <c r="D29" s="99" t="n">
        <f aca="false">SUMIFS(נתונים_שטוחים!C27:N27,נתונים_שטוחים!$C$4:$N$4,$F$2)</f>
        <v>222074.04</v>
      </c>
      <c r="E29" s="99" t="n">
        <f aca="false">SUMIFS(נתונים_שטוחים!O27:Z27,נתונים_שטוחים!$O$4:$Z$4,$F$2)</f>
        <v>146752.62</v>
      </c>
      <c r="F29" s="99" t="n">
        <f aca="false">SUMIFS(נתונים_שטוחים!AA27:AL27,נתונים_שטוחים!$AA$4:$AL$4,$F$2)</f>
        <v>0</v>
      </c>
      <c r="G29" s="100" t="n">
        <f aca="false">IFERROR(F29/E29-1,"-")</f>
        <v>-1</v>
      </c>
      <c r="H29" s="99" t="n">
        <f aca="false">F29-E29</f>
        <v>-146752.62</v>
      </c>
      <c r="I29" s="99" t="n">
        <f aca="false">IFERROR(INDEX('תקציב  '!$A:$P,MATCH($B29,'תקציב  '!$C:$C,0),5+3*($F$2-1))+INDEX('תקציב  '!$A:$P,MATCH($B29,'תקציב  '!$C:$C,0),6+3*($F$2-1))+INDEX('תקציב  '!$A:$P,MATCH($B29,'תקציב  '!$C:$C,0),7+3*($F$2-1)),"-")</f>
        <v>150000</v>
      </c>
      <c r="J29" s="100" t="n">
        <f aca="false">IFERROR(F29/I29-1,"-")</f>
        <v>-1</v>
      </c>
      <c r="K29" s="99" t="n">
        <f aca="false">IFERROR(F29-I29,"-")</f>
        <v>-150000</v>
      </c>
      <c r="L29" s="99" t="n">
        <f aca="false">IF($F$2&lt;3,"-",IFERROR(INDEX('תקציב  '!$A:$AN,MATCH($B29,'תקציב  '!$C:$C,0),35+3*($F$2-3))+INDEX('תקציב  '!$A:$AN,MATCH($B29,'תקציב  '!$C:$C,0),36+3*($F$2-3))+INDEX('תקציב  '!$A:$AN,MATCH($B29,'תקציב  '!$C:$C,0),37+3*($F$2-3)),"-"))</f>
        <v>70000</v>
      </c>
      <c r="M29" s="100" t="n">
        <f aca="false">IF($F$2&lt;3,"-",IFERROR(F29/L29-1,"-"))</f>
        <v>-1</v>
      </c>
      <c r="N29" s="99" t="n">
        <f aca="false">IF($F$2&lt;3,"-",IFERROR(F29-L29,"-"))</f>
        <v>-70000</v>
      </c>
    </row>
    <row r="30" customFormat="false" ht="15" hidden="false" customHeight="true" outlineLevel="0" collapsed="false">
      <c r="A30" s="97" t="n">
        <v>216</v>
      </c>
      <c r="B30" s="98" t="str">
        <f aca="false">נתונים_שטוחים!A28</f>
        <v>MAX KONNARIS LTD</v>
      </c>
      <c r="C30" s="98" t="str">
        <f aca="false">נתונים_שטוחים!B28</f>
        <v>יצוא</v>
      </c>
      <c r="D30" s="99" t="n">
        <f aca="false">SUMIFS(נתונים_שטוחים!C28:N28,נתונים_שטוחים!$C$4:$N$4,$F$2)</f>
        <v>20724.08</v>
      </c>
      <c r="E30" s="99" t="n">
        <f aca="false">SUMIFS(נתונים_שטוחים!O28:Z28,נתונים_שטוחים!$O$4:$Z$4,$F$2)</f>
        <v>20604.23</v>
      </c>
      <c r="F30" s="99" t="n">
        <f aca="false">SUMIFS(נתונים_שטוחים!AA28:AL28,נתונים_שטוחים!$AA$4:$AL$4,$F$2)</f>
        <v>0</v>
      </c>
      <c r="G30" s="100" t="n">
        <f aca="false">IFERROR(F30/E30-1,"-")</f>
        <v>-1</v>
      </c>
      <c r="H30" s="99" t="n">
        <f aca="false">F30-E30</f>
        <v>-20604.23</v>
      </c>
      <c r="I30" s="99" t="n">
        <f aca="false">IFERROR(INDEX('תקציב  '!$A:$P,MATCH($B30,'תקציב  '!$C:$C,0),5+3*($F$2-1))+INDEX('תקציב  '!$A:$P,MATCH($B30,'תקציב  '!$C:$C,0),6+3*($F$2-1))+INDEX('תקציב  '!$A:$P,MATCH($B30,'תקציב  '!$C:$C,0),7+3*($F$2-1)),"-")</f>
        <v>40000</v>
      </c>
      <c r="J30" s="100" t="n">
        <f aca="false">IFERROR(F30/I30-1,"-")</f>
        <v>-1</v>
      </c>
      <c r="K30" s="99" t="n">
        <f aca="false">IFERROR(F30-I30,"-")</f>
        <v>-40000</v>
      </c>
      <c r="L30" s="99" t="n">
        <f aca="false">IF($F$2&lt;3,"-",IFERROR(INDEX('תקציב  '!$A:$AN,MATCH($B30,'תקציב  '!$C:$C,0),35+3*($F$2-3))+INDEX('תקציב  '!$A:$AN,MATCH($B30,'תקציב  '!$C:$C,0),36+3*($F$2-3))+INDEX('תקציב  '!$A:$AN,MATCH($B30,'תקציב  '!$C:$C,0),37+3*($F$2-3)),"-"))</f>
        <v>20000</v>
      </c>
      <c r="M30" s="100" t="n">
        <f aca="false">IF($F$2&lt;3,"-",IFERROR(F30/L30-1,"-"))</f>
        <v>-1</v>
      </c>
      <c r="N30" s="99" t="n">
        <f aca="false">IF($F$2&lt;3,"-",IFERROR(F30-L30,"-"))</f>
        <v>-20000</v>
      </c>
    </row>
    <row r="31" customFormat="false" ht="15" hidden="false" customHeight="true" outlineLevel="0" collapsed="false">
      <c r="A31" s="97" t="n">
        <v>208</v>
      </c>
      <c r="B31" s="98" t="str">
        <f aca="false">נתונים_שטוחים!A29</f>
        <v>MEDIPAL COMPANY</v>
      </c>
      <c r="C31" s="98" t="str">
        <f aca="false">נתונים_שטוחים!B29</f>
        <v>יצוא</v>
      </c>
      <c r="D31" s="99" t="n">
        <f aca="false">SUMIFS(נתונים_שטוחים!C29:N29,נתונים_שטוחים!$C$4:$N$4,$F$2)</f>
        <v>198800.83</v>
      </c>
      <c r="E31" s="99" t="n">
        <f aca="false">SUMIFS(נתונים_שטוחים!O29:Z29,נתונים_שטוחים!$O$4:$Z$4,$F$2)</f>
        <v>256771.88</v>
      </c>
      <c r="F31" s="99" t="n">
        <f aca="false">SUMIFS(נתונים_שטוחים!AA29:AL29,נתונים_שטוחים!$AA$4:$AL$4,$F$2)</f>
        <v>0</v>
      </c>
      <c r="G31" s="100" t="n">
        <f aca="false">IFERROR(F31/E31-1,"-")</f>
        <v>-1</v>
      </c>
      <c r="H31" s="99" t="n">
        <f aca="false">F31-E31</f>
        <v>-256771.88</v>
      </c>
      <c r="I31" s="99" t="n">
        <f aca="false">IFERROR(INDEX('תקציב  '!$A:$P,MATCH($B31,'תקציב  '!$C:$C,0),5+3*($F$2-1))+INDEX('תקציב  '!$A:$P,MATCH($B31,'תקציב  '!$C:$C,0),6+3*($F$2-1))+INDEX('תקציב  '!$A:$P,MATCH($B31,'תקציב  '!$C:$C,0),7+3*($F$2-1)),"-")</f>
        <v>0</v>
      </c>
      <c r="J31" s="100" t="str">
        <f aca="false">IFERROR(F31/I31-1,"-")</f>
        <v>-</v>
      </c>
      <c r="K31" s="99" t="n">
        <f aca="false">IFERROR(F31-I31,"-")</f>
        <v>0</v>
      </c>
      <c r="L31" s="99" t="n">
        <f aca="false">IF($F$2&lt;3,"-",IFERROR(INDEX('תקציב  '!$A:$AN,MATCH($B31,'תקציב  '!$C:$C,0),35+3*($F$2-3))+INDEX('תקציב  '!$A:$AN,MATCH($B31,'תקציב  '!$C:$C,0),36+3*($F$2-3))+INDEX('תקציב  '!$A:$AN,MATCH($B31,'תקציב  '!$C:$C,0),37+3*($F$2-3)),"-"))</f>
        <v>100000</v>
      </c>
      <c r="M31" s="100" t="n">
        <f aca="false">IF($F$2&lt;3,"-",IFERROR(F31/L31-1,"-"))</f>
        <v>-1</v>
      </c>
      <c r="N31" s="99" t="n">
        <f aca="false">IF($F$2&lt;3,"-",IFERROR(F31-L31,"-"))</f>
        <v>-100000</v>
      </c>
    </row>
    <row r="32" customFormat="false" ht="15" hidden="false" customHeight="true" outlineLevel="0" collapsed="false">
      <c r="A32" s="97" t="n">
        <v>209</v>
      </c>
      <c r="B32" s="98" t="str">
        <f aca="false">נתונים_שטוחים!A30</f>
        <v>ORTOPROFIL PROD. ROMANIA</v>
      </c>
      <c r="C32" s="98" t="str">
        <f aca="false">נתונים_שטוחים!B30</f>
        <v>יצוא</v>
      </c>
      <c r="D32" s="99" t="n">
        <f aca="false">SUMIFS(נתונים_שטוחים!C30:N30,נתונים_שטוחים!$C$4:$N$4,$F$2)</f>
        <v>62633.86</v>
      </c>
      <c r="E32" s="99" t="n">
        <f aca="false">SUMIFS(נתונים_שטוחים!O30:Z30,נתונים_שטוחים!$O$4:$Z$4,$F$2)</f>
        <v>106882.54</v>
      </c>
      <c r="F32" s="99" t="n">
        <f aca="false">SUMIFS(נתונים_שטוחים!AA30:AL30,נתונים_שטוחים!$AA$4:$AL$4,$F$2)</f>
        <v>0</v>
      </c>
      <c r="G32" s="100" t="n">
        <f aca="false">IFERROR(F32/E32-1,"-")</f>
        <v>-1</v>
      </c>
      <c r="H32" s="99" t="n">
        <f aca="false">F32-E32</f>
        <v>-106882.54</v>
      </c>
      <c r="I32" s="99" t="n">
        <f aca="false">IFERROR(INDEX('תקציב  '!$A:$P,MATCH($B32,'תקציב  '!$C:$C,0),5+3*($F$2-1))+INDEX('תקציב  '!$A:$P,MATCH($B32,'תקציב  '!$C:$C,0),6+3*($F$2-1))+INDEX('תקציב  '!$A:$P,MATCH($B32,'תקציב  '!$C:$C,0),7+3*($F$2-1)),"-")</f>
        <v>119295.228</v>
      </c>
      <c r="J32" s="100" t="n">
        <f aca="false">IFERROR(F32/I32-1,"-")</f>
        <v>-1</v>
      </c>
      <c r="K32" s="99" t="n">
        <f aca="false">IFERROR(F32-I32,"-")</f>
        <v>-119295.228</v>
      </c>
      <c r="L32" s="99" t="n">
        <f aca="false">IF($F$2&lt;3,"-",IFERROR(INDEX('תקציב  '!$A:$AN,MATCH($B32,'תקציב  '!$C:$C,0),35+3*($F$2-3))+INDEX('תקציב  '!$A:$AN,MATCH($B32,'תקציב  '!$C:$C,0),36+3*($F$2-3))+INDEX('תקציב  '!$A:$AN,MATCH($B32,'תקציב  '!$C:$C,0),37+3*($F$2-3)),"-"))</f>
        <v>75000</v>
      </c>
      <c r="M32" s="100" t="n">
        <f aca="false">IF($F$2&lt;3,"-",IFERROR(F32/L32-1,"-"))</f>
        <v>-1</v>
      </c>
      <c r="N32" s="99" t="n">
        <f aca="false">IF($F$2&lt;3,"-",IFERROR(F32-L32,"-"))</f>
        <v>-75000</v>
      </c>
    </row>
    <row r="33" customFormat="false" ht="15" hidden="false" customHeight="true" outlineLevel="0" collapsed="false">
      <c r="A33" s="97" t="n">
        <v>210</v>
      </c>
      <c r="B33" s="98" t="str">
        <f aca="false">נתונים_שטוחים!A31</f>
        <v>OY. EA. AB.</v>
      </c>
      <c r="C33" s="98" t="str">
        <f aca="false">נתונים_שטוחים!B31</f>
        <v>יצוא</v>
      </c>
      <c r="D33" s="99" t="n">
        <f aca="false">SUMIFS(נתונים_שטוחים!C31:N31,נתונים_שטוחים!$C$4:$N$4,$F$2)</f>
        <v>3920.16</v>
      </c>
      <c r="E33" s="99" t="n">
        <f aca="false">SUMIFS(נתונים_שטוחים!O31:Z31,נתונים_שטוחים!$O$4:$Z$4,$F$2)</f>
        <v>32544.41</v>
      </c>
      <c r="F33" s="99" t="n">
        <f aca="false">SUMIFS(נתונים_שטוחים!AA31:AL31,נתונים_שטוחים!$AA$4:$AL$4,$F$2)</f>
        <v>0</v>
      </c>
      <c r="G33" s="100" t="n">
        <f aca="false">IFERROR(F33/E33-1,"-")</f>
        <v>-1</v>
      </c>
      <c r="H33" s="99" t="n">
        <f aca="false">F33-E33</f>
        <v>-32544.41</v>
      </c>
      <c r="I33" s="99" t="n">
        <f aca="false">IFERROR(INDEX('תקציב  '!$A:$P,MATCH($B33,'תקציב  '!$C:$C,0),5+3*($F$2-1))+INDEX('תקציב  '!$A:$P,MATCH($B33,'תקציב  '!$C:$C,0),6+3*($F$2-1))+INDEX('תקציב  '!$A:$P,MATCH($B33,'תקציב  '!$C:$C,0),7+3*($F$2-1)),"-")</f>
        <v>35000</v>
      </c>
      <c r="J33" s="100" t="n">
        <f aca="false">IFERROR(F33/I33-1,"-")</f>
        <v>-1</v>
      </c>
      <c r="K33" s="99" t="n">
        <f aca="false">IFERROR(F33-I33,"-")</f>
        <v>-35000</v>
      </c>
      <c r="L33" s="99" t="n">
        <f aca="false">IF($F$2&lt;3,"-",IFERROR(INDEX('תקציב  '!$A:$AN,MATCH($B33,'תקציב  '!$C:$C,0),35+3*($F$2-3))+INDEX('תקציב  '!$A:$AN,MATCH($B33,'תקציב  '!$C:$C,0),36+3*($F$2-3))+INDEX('תקציב  '!$A:$AN,MATCH($B33,'תקציב  '!$C:$C,0),37+3*($F$2-3)),"-"))</f>
        <v>30000</v>
      </c>
      <c r="M33" s="100" t="n">
        <f aca="false">IF($F$2&lt;3,"-",IFERROR(F33/L33-1,"-"))</f>
        <v>-1</v>
      </c>
      <c r="N33" s="99" t="n">
        <f aca="false">IF($F$2&lt;3,"-",IFERROR(F33-L33,"-"))</f>
        <v>-30000</v>
      </c>
    </row>
    <row r="34" customFormat="false" ht="15" hidden="false" customHeight="true" outlineLevel="0" collapsed="false">
      <c r="A34" s="97" t="n">
        <v>201</v>
      </c>
      <c r="B34" s="98" t="str">
        <f aca="false">נתונים_שטוחים!A32</f>
        <v>SEVEN GEAR</v>
      </c>
      <c r="C34" s="98" t="str">
        <f aca="false">נתונים_שטוחים!B32</f>
        <v>יצוא</v>
      </c>
      <c r="D34" s="99" t="n">
        <f aca="false">SUMIFS(נתונים_שטוחים!C32:N32,נתונים_שטוחים!$C$4:$N$4,$F$2)</f>
        <v>0</v>
      </c>
      <c r="E34" s="99" t="n">
        <f aca="false">SUMIFS(נתונים_שטוחים!O32:Z32,נתונים_שטוחים!$O$4:$Z$4,$F$2)</f>
        <v>22174.9</v>
      </c>
      <c r="F34" s="99" t="n">
        <f aca="false">SUMIFS(נתונים_שטוחים!AA32:AL32,נתונים_שטוחים!$AA$4:$AL$4,$F$2)</f>
        <v>0</v>
      </c>
      <c r="G34" s="100" t="n">
        <f aca="false">IFERROR(F34/E34-1,"-")</f>
        <v>-1</v>
      </c>
      <c r="H34" s="99" t="n">
        <f aca="false">F34-E34</f>
        <v>-22174.9</v>
      </c>
      <c r="I34" s="99" t="n">
        <f aca="false">IFERROR(INDEX('תקציב  '!$A:$P,MATCH($B34,'תקציב  '!$C:$C,0),5+3*($F$2-1))+INDEX('תקציב  '!$A:$P,MATCH($B34,'תקציב  '!$C:$C,0),6+3*($F$2-1))+INDEX('תקציב  '!$A:$P,MATCH($B34,'תקציב  '!$C:$C,0),7+3*($F$2-1)),"-")</f>
        <v>19793</v>
      </c>
      <c r="J34" s="100" t="n">
        <f aca="false">IFERROR(F34/I34-1,"-")</f>
        <v>-1</v>
      </c>
      <c r="K34" s="99" t="n">
        <f aca="false">IFERROR(F34-I34,"-")</f>
        <v>-19793</v>
      </c>
      <c r="L34" s="99" t="n">
        <f aca="false">IF($F$2&lt;3,"-",IFERROR(INDEX('תקציב  '!$A:$AN,MATCH($B34,'תקציב  '!$C:$C,0),35+3*($F$2-3))+INDEX('תקציב  '!$A:$AN,MATCH($B34,'תקציב  '!$C:$C,0),36+3*($F$2-3))+INDEX('תקציב  '!$A:$AN,MATCH($B34,'תקציב  '!$C:$C,0),37+3*($F$2-3)),"-"))</f>
        <v>0</v>
      </c>
      <c r="M34" s="100" t="str">
        <f aca="false">IF($F$2&lt;3,"-",IFERROR(F34/L34-1,"-"))</f>
        <v>-</v>
      </c>
      <c r="N34" s="99" t="n">
        <f aca="false">IF($F$2&lt;3,"-",IFERROR(F34-L34,"-"))</f>
        <v>0</v>
      </c>
    </row>
    <row r="35" customFormat="false" ht="15" hidden="false" customHeight="true" outlineLevel="0" collapsed="false">
      <c r="A35" s="97" t="n">
        <v>211</v>
      </c>
      <c r="B35" s="98" t="str">
        <f aca="false">נתונים_שטוחים!A33</f>
        <v>PHARMAG LACHMAIR GES. MBH</v>
      </c>
      <c r="C35" s="98" t="str">
        <f aca="false">נתונים_שטוחים!B33</f>
        <v>יצוא</v>
      </c>
      <c r="D35" s="99" t="n">
        <f aca="false">SUMIFS(נתונים_שטוחים!C33:N33,נתונים_שטוחים!$C$4:$N$4,$F$2)</f>
        <v>0</v>
      </c>
      <c r="E35" s="99" t="n">
        <f aca="false">SUMIFS(נתונים_שטוחים!O33:Z33,נתונים_שטוחים!$O$4:$Z$4,$F$2)</f>
        <v>0</v>
      </c>
      <c r="F35" s="99" t="n">
        <f aca="false">SUMIFS(נתונים_שטוחים!AA33:AL33,נתונים_שטוחים!$AA$4:$AL$4,$F$2)</f>
        <v>0</v>
      </c>
      <c r="G35" s="100" t="str">
        <f aca="false">IFERROR(F35/E35-1,"-")</f>
        <v>-</v>
      </c>
      <c r="H35" s="99" t="n">
        <f aca="false">F35-E35</f>
        <v>0</v>
      </c>
      <c r="I35" s="99" t="n">
        <f aca="false">IFERROR(INDEX('תקציב  '!$A:$P,MATCH($B35,'תקציב  '!$C:$C,0),5+3*($F$2-1))+INDEX('תקציב  '!$A:$P,MATCH($B35,'תקציב  '!$C:$C,0),6+3*($F$2-1))+INDEX('תקציב  '!$A:$P,MATCH($B35,'תקציב  '!$C:$C,0),7+3*($F$2-1)),"-")</f>
        <v>0</v>
      </c>
      <c r="J35" s="100" t="str">
        <f aca="false">IFERROR(F35/I35-1,"-")</f>
        <v>-</v>
      </c>
      <c r="K35" s="99" t="n">
        <f aca="false">IFERROR(F35-I35,"-")</f>
        <v>0</v>
      </c>
      <c r="L35" s="99" t="n">
        <f aca="false">IF($F$2&lt;3,"-",IFERROR(INDEX('תקציב  '!$A:$AN,MATCH($B35,'תקציב  '!$C:$C,0),35+3*($F$2-3))+INDEX('תקציב  '!$A:$AN,MATCH($B35,'תקציב  '!$C:$C,0),36+3*($F$2-3))+INDEX('תקציב  '!$A:$AN,MATCH($B35,'תקציב  '!$C:$C,0),37+3*($F$2-3)),"-"))</f>
        <v>0</v>
      </c>
      <c r="M35" s="100" t="str">
        <f aca="false">IF($F$2&lt;3,"-",IFERROR(F35/L35-1,"-"))</f>
        <v>-</v>
      </c>
      <c r="N35" s="99" t="n">
        <f aca="false">IF($F$2&lt;3,"-",IFERROR(F35-L35,"-"))</f>
        <v>0</v>
      </c>
    </row>
    <row r="36" customFormat="false" ht="15" hidden="false" customHeight="true" outlineLevel="0" collapsed="false">
      <c r="A36" s="97"/>
      <c r="B36" s="98" t="str">
        <f aca="false">נתונים_שטוחים!A34</f>
        <v>REMEDICARE B.V.</v>
      </c>
      <c r="C36" s="98" t="str">
        <f aca="false">נתונים_שטוחים!B34</f>
        <v>יצוא</v>
      </c>
      <c r="D36" s="99" t="n">
        <f aca="false">SUMIFS(נתונים_שטוחים!C34:N34,נתונים_שטוחים!$C$4:$N$4,$F$2)</f>
        <v>0</v>
      </c>
      <c r="E36" s="99" t="n">
        <f aca="false">SUMIFS(נתונים_שטוחים!O34:Z34,נתונים_שטוחים!$O$4:$Z$4,$F$2)</f>
        <v>0</v>
      </c>
      <c r="F36" s="99" t="n">
        <f aca="false">SUMIFS(נתונים_שטוחים!AA34:AL34,נתונים_שטוחים!$AA$4:$AL$4,$F$2)</f>
        <v>0</v>
      </c>
      <c r="G36" s="100" t="str">
        <f aca="false">IFERROR(F36/E36-1,"-")</f>
        <v>-</v>
      </c>
      <c r="H36" s="99" t="n">
        <f aca="false">F36-E36</f>
        <v>0</v>
      </c>
      <c r="I36" s="99" t="str">
        <f aca="false">IFERROR(INDEX('תקציב  '!$A:$P,MATCH($B36,'תקציב  '!$C:$C,0),5+3*($F$2-1))+INDEX('תקציב  '!$A:$P,MATCH($B36,'תקציב  '!$C:$C,0),6+3*($F$2-1))+INDEX('תקציב  '!$A:$P,MATCH($B36,'תקציב  '!$C:$C,0),7+3*($F$2-1)),"-")</f>
        <v>-</v>
      </c>
      <c r="J36" s="100" t="str">
        <f aca="false">IFERROR(F36/I36-1,"-")</f>
        <v>-</v>
      </c>
      <c r="K36" s="99" t="str">
        <f aca="false">IFERROR(F36-I36,"-")</f>
        <v>-</v>
      </c>
      <c r="L36" s="99" t="str">
        <f aca="false">IF($F$2&lt;3,"-",IFERROR(INDEX('תקציב  '!$A:$AN,MATCH($B36,'תקציב  '!$C:$C,0),35+3*($F$2-3))+INDEX('תקציב  '!$A:$AN,MATCH($B36,'תקציב  '!$C:$C,0),36+3*($F$2-3))+INDEX('תקציב  '!$A:$AN,MATCH($B36,'תקציב  '!$C:$C,0),37+3*($F$2-3)),"-"))</f>
        <v>-</v>
      </c>
      <c r="M36" s="100" t="str">
        <f aca="false">IF($F$2&lt;3,"-",IFERROR(F36/L36-1,"-"))</f>
        <v>-</v>
      </c>
      <c r="N36" s="99" t="str">
        <f aca="false">IF($F$2&lt;3,"-",IFERROR(F36-L36,"-"))</f>
        <v>-</v>
      </c>
    </row>
    <row r="37" customFormat="false" ht="15" hidden="false" customHeight="true" outlineLevel="0" collapsed="false">
      <c r="A37" s="97" t="n">
        <v>213</v>
      </c>
      <c r="B37" s="98" t="str">
        <f aca="false">נתונים_שטוחים!A35</f>
        <v>E.F.M.O.</v>
      </c>
      <c r="C37" s="98" t="str">
        <f aca="false">נתונים_שטוחים!B35</f>
        <v>יצוא</v>
      </c>
      <c r="D37" s="99" t="n">
        <f aca="false">SUMIFS(נתונים_שטוחים!C35:N35,נתונים_שטוחים!$C$4:$N$4,$F$2)</f>
        <v>0</v>
      </c>
      <c r="E37" s="99" t="n">
        <f aca="false">SUMIFS(נתונים_שטוחים!O35:Z35,נתונים_שטוחים!$O$4:$Z$4,$F$2)</f>
        <v>0</v>
      </c>
      <c r="F37" s="99" t="n">
        <f aca="false">SUMIFS(נתונים_שטוחים!AA35:AL35,נתונים_שטוחים!$AA$4:$AL$4,$F$2)</f>
        <v>0</v>
      </c>
      <c r="G37" s="100" t="str">
        <f aca="false">IFERROR(F37/E37-1,"-")</f>
        <v>-</v>
      </c>
      <c r="H37" s="99" t="n">
        <f aca="false">F37-E37</f>
        <v>0</v>
      </c>
      <c r="I37" s="99" t="n">
        <f aca="false">IFERROR(INDEX('תקציב  '!$A:$P,MATCH($B37,'תקציב  '!$C:$C,0),5+3*($F$2-1))+INDEX('תקציב  '!$A:$P,MATCH($B37,'תקציב  '!$C:$C,0),6+3*($F$2-1))+INDEX('תקציב  '!$A:$P,MATCH($B37,'תקציב  '!$C:$C,0),7+3*($F$2-1)),"-")</f>
        <v>0</v>
      </c>
      <c r="J37" s="100" t="str">
        <f aca="false">IFERROR(F37/I37-1,"-")</f>
        <v>-</v>
      </c>
      <c r="K37" s="99" t="n">
        <f aca="false">IFERROR(F37-I37,"-")</f>
        <v>0</v>
      </c>
      <c r="L37" s="99" t="n">
        <f aca="false">IF($F$2&lt;3,"-",IFERROR(INDEX('תקציב  '!$A:$AN,MATCH($B37,'תקציב  '!$C:$C,0),35+3*($F$2-3))+INDEX('תקציב  '!$A:$AN,MATCH($B37,'תקציב  '!$C:$C,0),36+3*($F$2-3))+INDEX('תקציב  '!$A:$AN,MATCH($B37,'תקציב  '!$C:$C,0),37+3*($F$2-3)),"-"))</f>
        <v>0</v>
      </c>
      <c r="M37" s="100" t="str">
        <f aca="false">IF($F$2&lt;3,"-",IFERROR(F37/L37-1,"-"))</f>
        <v>-</v>
      </c>
      <c r="N37" s="99" t="n">
        <f aca="false">IF($F$2&lt;3,"-",IFERROR(F37-L37,"-"))</f>
        <v>0</v>
      </c>
    </row>
    <row r="38" customFormat="false" ht="15" hidden="false" customHeight="true" outlineLevel="0" collapsed="false">
      <c r="A38" s="97" t="n">
        <v>214</v>
      </c>
      <c r="B38" s="98" t="str">
        <f aca="false">נתונים_שטוחים!A36</f>
        <v>ALFRED GERA</v>
      </c>
      <c r="C38" s="98" t="str">
        <f aca="false">נתונים_שטוחים!B36</f>
        <v>יצוא</v>
      </c>
      <c r="D38" s="99" t="n">
        <f aca="false">SUMIFS(נתונים_שטוחים!C36:N36,נתונים_שטוחים!$C$4:$N$4,$F$2)</f>
        <v>0</v>
      </c>
      <c r="E38" s="99" t="n">
        <f aca="false">SUMIFS(נתונים_שטוחים!O36:Z36,נתונים_שטוחים!$O$4:$Z$4,$F$2)</f>
        <v>23331.65</v>
      </c>
      <c r="F38" s="99" t="n">
        <f aca="false">SUMIFS(נתונים_שטוחים!AA36:AL36,נתונים_שטוחים!$AA$4:$AL$4,$F$2)</f>
        <v>0</v>
      </c>
      <c r="G38" s="100" t="n">
        <f aca="false">IFERROR(F38/E38-1,"-")</f>
        <v>-1</v>
      </c>
      <c r="H38" s="99" t="n">
        <f aca="false">F38-E38</f>
        <v>-23331.65</v>
      </c>
      <c r="I38" s="99" t="n">
        <f aca="false">IFERROR(INDEX('תקציב  '!$A:$P,MATCH($B38,'תקציב  '!$C:$C,0),5+3*($F$2-1))+INDEX('תקציב  '!$A:$P,MATCH($B38,'תקציב  '!$C:$C,0),6+3*($F$2-1))+INDEX('תקציב  '!$A:$P,MATCH($B38,'תקציב  '!$C:$C,0),7+3*($F$2-1)),"-")</f>
        <v>40000</v>
      </c>
      <c r="J38" s="100" t="n">
        <f aca="false">IFERROR(F38/I38-1,"-")</f>
        <v>-1</v>
      </c>
      <c r="K38" s="99" t="n">
        <f aca="false">IFERROR(F38-I38,"-")</f>
        <v>-40000</v>
      </c>
      <c r="L38" s="99" t="n">
        <f aca="false">IF($F$2&lt;3,"-",IFERROR(INDEX('תקציב  '!$A:$AN,MATCH($B38,'תקציב  '!$C:$C,0),35+3*($F$2-3))+INDEX('תקציב  '!$A:$AN,MATCH($B38,'תקציב  '!$C:$C,0),36+3*($F$2-3))+INDEX('תקציב  '!$A:$AN,MATCH($B38,'תקציב  '!$C:$C,0),37+3*($F$2-3)),"-"))</f>
        <v>25000</v>
      </c>
      <c r="M38" s="100" t="n">
        <f aca="false">IF($F$2&lt;3,"-",IFERROR(F38/L38-1,"-"))</f>
        <v>-1</v>
      </c>
      <c r="N38" s="99" t="n">
        <f aca="false">IF($F$2&lt;3,"-",IFERROR(F38-L38,"-"))</f>
        <v>-25000</v>
      </c>
    </row>
    <row r="39" customFormat="false" ht="15" hidden="false" customHeight="true" outlineLevel="0" collapsed="false">
      <c r="A39" s="97" t="n">
        <v>212</v>
      </c>
      <c r="B39" s="98" t="str">
        <f aca="false">נתונים_שטוחים!A37</f>
        <v>QUADRIFOGLIO MEDICAL</v>
      </c>
      <c r="C39" s="98" t="str">
        <f aca="false">נתונים_שטוחים!B37</f>
        <v>יצוא</v>
      </c>
      <c r="D39" s="99" t="n">
        <f aca="false">SUMIFS(נתונים_שטוחים!C37:N37,נתונים_שטוחים!$C$4:$N$4,$F$2)</f>
        <v>0</v>
      </c>
      <c r="E39" s="99" t="n">
        <f aca="false">SUMIFS(נתונים_שטוחים!O37:Z37,נתונים_שטוחים!$O$4:$Z$4,$F$2)</f>
        <v>0</v>
      </c>
      <c r="F39" s="99" t="n">
        <f aca="false">SUMIFS(נתונים_שטוחים!AA37:AL37,נתונים_שטוחים!$AA$4:$AL$4,$F$2)</f>
        <v>0</v>
      </c>
      <c r="G39" s="100" t="str">
        <f aca="false">IFERROR(F39/E39-1,"-")</f>
        <v>-</v>
      </c>
      <c r="H39" s="99" t="n">
        <f aca="false">F39-E39</f>
        <v>0</v>
      </c>
      <c r="I39" s="99" t="str">
        <f aca="false">IFERROR(INDEX('תקציב  '!$A:$P,MATCH($B39,'תקציב  '!$C:$C,0),5+3*($F$2-1))+INDEX('תקציב  '!$A:$P,MATCH($B39,'תקציב  '!$C:$C,0),6+3*($F$2-1))+INDEX('תקציב  '!$A:$P,MATCH($B39,'תקציב  '!$C:$C,0),7+3*($F$2-1)),"-")</f>
        <v>-</v>
      </c>
      <c r="J39" s="100" t="str">
        <f aca="false">IFERROR(F39/I39-1,"-")</f>
        <v>-</v>
      </c>
      <c r="K39" s="99" t="str">
        <f aca="false">IFERROR(F39-I39,"-")</f>
        <v>-</v>
      </c>
      <c r="L39" s="99" t="str">
        <f aca="false">IF($F$2&lt;3,"-",IFERROR(INDEX('תקציב  '!$A:$AN,MATCH($B39,'תקציב  '!$C:$C,0),35+3*($F$2-3))+INDEX('תקציב  '!$A:$AN,MATCH($B39,'תקציב  '!$C:$C,0),36+3*($F$2-3))+INDEX('תקציב  '!$A:$AN,MATCH($B39,'תקציב  '!$C:$C,0),37+3*($F$2-3)),"-"))</f>
        <v>-</v>
      </c>
      <c r="M39" s="100" t="str">
        <f aca="false">IF($F$2&lt;3,"-",IFERROR(F39/L39-1,"-"))</f>
        <v>-</v>
      </c>
      <c r="N39" s="99" t="str">
        <f aca="false">IF($F$2&lt;3,"-",IFERROR(F39-L39,"-"))</f>
        <v>-</v>
      </c>
    </row>
    <row r="40" customFormat="false" ht="15" hidden="false" customHeight="true" outlineLevel="0" collapsed="false">
      <c r="A40" s="97" t="n">
        <v>215</v>
      </c>
      <c r="B40" s="98" t="str">
        <f aca="false">נתונים_שטוחים!A38</f>
        <v>YOUNG IN HEALTHCARE CO.,</v>
      </c>
      <c r="C40" s="98" t="str">
        <f aca="false">נתונים_שטוחים!B38</f>
        <v>יצוא</v>
      </c>
      <c r="D40" s="99" t="n">
        <f aca="false">SUMIFS(נתונים_שטוחים!C38:N38,נתונים_שטוחים!$C$4:$N$4,$F$2)</f>
        <v>0</v>
      </c>
      <c r="E40" s="99" t="n">
        <f aca="false">SUMIFS(נתונים_שטוחים!O38:Z38,נתונים_שטוחים!$O$4:$Z$4,$F$2)</f>
        <v>0</v>
      </c>
      <c r="F40" s="99" t="n">
        <f aca="false">SUMIFS(נתונים_שטוחים!AA38:AL38,נתונים_שטוחים!$AA$4:$AL$4,$F$2)</f>
        <v>0</v>
      </c>
      <c r="G40" s="100" t="str">
        <f aca="false">IFERROR(F40/E40-1,"-")</f>
        <v>-</v>
      </c>
      <c r="H40" s="99" t="n">
        <f aca="false">F40-E40</f>
        <v>0</v>
      </c>
      <c r="I40" s="99" t="n">
        <f aca="false">IFERROR(INDEX('תקציב  '!$A:$P,MATCH($B40,'תקציב  '!$C:$C,0),5+3*($F$2-1))+INDEX('תקציב  '!$A:$P,MATCH($B40,'תקציב  '!$C:$C,0),6+3*($F$2-1))+INDEX('תקציב  '!$A:$P,MATCH($B40,'תקציב  '!$C:$C,0),7+3*($F$2-1)),"-")</f>
        <v>20000</v>
      </c>
      <c r="J40" s="100" t="n">
        <f aca="false">IFERROR(F40/I40-1,"-")</f>
        <v>-1</v>
      </c>
      <c r="K40" s="99" t="n">
        <f aca="false">IFERROR(F40-I40,"-")</f>
        <v>-20000</v>
      </c>
      <c r="L40" s="99" t="n">
        <f aca="false">IF($F$2&lt;3,"-",IFERROR(INDEX('תקציב  '!$A:$AN,MATCH($B40,'תקציב  '!$C:$C,0),35+3*($F$2-3))+INDEX('תקציב  '!$A:$AN,MATCH($B40,'תקציב  '!$C:$C,0),36+3*($F$2-3))+INDEX('תקציב  '!$A:$AN,MATCH($B40,'תקציב  '!$C:$C,0),37+3*($F$2-3)),"-"))</f>
        <v>0</v>
      </c>
      <c r="M40" s="100" t="str">
        <f aca="false">IF($F$2&lt;3,"-",IFERROR(F40/L40-1,"-"))</f>
        <v>-</v>
      </c>
      <c r="N40" s="99" t="n">
        <f aca="false">IF($F$2&lt;3,"-",IFERROR(F40-L40,"-"))</f>
        <v>0</v>
      </c>
    </row>
    <row r="41" customFormat="false" ht="15" hidden="false" customHeight="true" outlineLevel="0" collapsed="false">
      <c r="A41" s="97" t="n">
        <v>217</v>
      </c>
      <c r="B41" s="98" t="str">
        <f aca="false">נתונים_שטוחים!A39</f>
        <v>HANS</v>
      </c>
      <c r="C41" s="98" t="str">
        <f aca="false">נתונים_שטוחים!B39</f>
        <v>יצוא</v>
      </c>
      <c r="D41" s="99" t="n">
        <f aca="false">SUMIFS(נתונים_שטוחים!C39:N39,נתונים_שטוחים!$C$4:$N$4,$F$2)</f>
        <v>161576.19</v>
      </c>
      <c r="E41" s="99" t="n">
        <f aca="false">SUMIFS(נתונים_שטוחים!O39:Z39,נתונים_שטוחים!$O$4:$Z$4,$F$2)</f>
        <v>0</v>
      </c>
      <c r="F41" s="99" t="n">
        <f aca="false">SUMIFS(נתונים_שטוחים!AA39:AL39,נתונים_שטוחים!$AA$4:$AL$4,$F$2)</f>
        <v>0</v>
      </c>
      <c r="G41" s="100" t="str">
        <f aca="false">IFERROR(F41/E41-1,"-")</f>
        <v>-</v>
      </c>
      <c r="H41" s="99" t="n">
        <f aca="false">F41-E41</f>
        <v>0</v>
      </c>
      <c r="I41" s="99" t="n">
        <f aca="false">IFERROR(INDEX('תקציב  '!$A:$P,MATCH($B41,'תקציב  '!$C:$C,0),5+3*($F$2-1))+INDEX('תקציב  '!$A:$P,MATCH($B41,'תקציב  '!$C:$C,0),6+3*($F$2-1))+INDEX('תקציב  '!$A:$P,MATCH($B41,'תקציב  '!$C:$C,0),7+3*($F$2-1)),"-")</f>
        <v>200000</v>
      </c>
      <c r="J41" s="100" t="n">
        <f aca="false">IFERROR(F41/I41-1,"-")</f>
        <v>-1</v>
      </c>
      <c r="K41" s="99" t="n">
        <f aca="false">IFERROR(F41-I41,"-")</f>
        <v>-200000</v>
      </c>
      <c r="L41" s="99" t="n">
        <f aca="false">IF($F$2&lt;3,"-",IFERROR(INDEX('תקציב  '!$A:$AN,MATCH($B41,'תקציב  '!$C:$C,0),35+3*($F$2-3))+INDEX('תקציב  '!$A:$AN,MATCH($B41,'תקציב  '!$C:$C,0),36+3*($F$2-3))+INDEX('תקציב  '!$A:$AN,MATCH($B41,'תקציב  '!$C:$C,0),37+3*($F$2-3)),"-"))</f>
        <v>0</v>
      </c>
      <c r="M41" s="100" t="str">
        <f aca="false">IF($F$2&lt;3,"-",IFERROR(F41/L41-1,"-"))</f>
        <v>-</v>
      </c>
      <c r="N41" s="99" t="n">
        <f aca="false">IF($F$2&lt;3,"-",IFERROR(F41-L41,"-"))</f>
        <v>0</v>
      </c>
    </row>
    <row r="42" customFormat="false" ht="15" hidden="false" customHeight="true" outlineLevel="0" collapsed="false">
      <c r="A42" s="97" t="n">
        <v>36</v>
      </c>
      <c r="B42" s="98" t="str">
        <f aca="false">נתונים_שטוחים!A40</f>
        <v>NEW DISTRIBUTORS</v>
      </c>
      <c r="C42" s="98" t="str">
        <f aca="false">נתונים_שטוחים!B40</f>
        <v>יצוא</v>
      </c>
      <c r="D42" s="99" t="n">
        <f aca="false">SUMIFS(נתונים_שטוחים!C40:N40,נתונים_שטוחים!$C$4:$N$4,$F$2)</f>
        <v>0</v>
      </c>
      <c r="E42" s="99" t="n">
        <f aca="false">SUMIFS(נתונים_שטוחים!O40:Z40,נתונים_שטוחים!$O$4:$Z$4,$F$2)</f>
        <v>0</v>
      </c>
      <c r="F42" s="99" t="n">
        <f aca="false">SUMIFS(נתונים_שטוחים!AA40:AL40,נתונים_שטוחים!$AA$4:$AL$4,$F$2)</f>
        <v>0</v>
      </c>
      <c r="G42" s="100" t="str">
        <f aca="false">IFERROR(F42/E42-1,"-")</f>
        <v>-</v>
      </c>
      <c r="H42" s="99" t="n">
        <f aca="false">F42-E42</f>
        <v>0</v>
      </c>
      <c r="I42" s="99" t="n">
        <f aca="false">IFERROR(INDEX('תקציב  '!$A:$P,MATCH($B42,'תקציב  '!$C:$C,0),5+3*($F$2-1))+INDEX('תקציב  '!$A:$P,MATCH($B42,'תקציב  '!$C:$C,0),6+3*($F$2-1))+INDEX('תקציב  '!$A:$P,MATCH($B42,'תקציב  '!$C:$C,0),7+3*($F$2-1)),"-")</f>
        <v>200000</v>
      </c>
      <c r="J42" s="100" t="n">
        <f aca="false">IFERROR(F42/I42-1,"-")</f>
        <v>-1</v>
      </c>
      <c r="K42" s="99" t="n">
        <f aca="false">IFERROR(F42-I42,"-")</f>
        <v>-200000</v>
      </c>
      <c r="L42" s="99" t="n">
        <f aca="false">IF($F$2&lt;3,"-",IFERROR(INDEX('תקציב  '!$A:$AN,MATCH($B42,'תקציב  '!$C:$C,0),35+3*($F$2-3))+INDEX('תקציב  '!$A:$AN,MATCH($B42,'תקציב  '!$C:$C,0),36+3*($F$2-3))+INDEX('תקציב  '!$A:$AN,MATCH($B42,'תקציב  '!$C:$C,0),37+3*($F$2-3)),"-"))</f>
        <v>100000</v>
      </c>
      <c r="M42" s="100" t="n">
        <f aca="false">IF($F$2&lt;3,"-",IFERROR(F42/L42-1,"-"))</f>
        <v>-1</v>
      </c>
      <c r="N42" s="99" t="n">
        <f aca="false">IF($F$2&lt;3,"-",IFERROR(F42-L42,"-"))</f>
        <v>-100000</v>
      </c>
    </row>
    <row r="43" customFormat="false" ht="15" hidden="false" customHeight="true" outlineLevel="0" collapsed="false">
      <c r="A43" s="97"/>
      <c r="B43" s="98" t="str">
        <f aca="false">נתונים_שטוחים!A41</f>
        <v>BAKU</v>
      </c>
      <c r="C43" s="98" t="str">
        <f aca="false">נתונים_שטוחים!B41</f>
        <v>יצוא</v>
      </c>
      <c r="D43" s="99" t="n">
        <f aca="false">SUMIFS(נתונים_שטוחים!C41:N41,נתונים_שטוחים!$C$4:$N$4,$F$2)</f>
        <v>0</v>
      </c>
      <c r="E43" s="99" t="n">
        <f aca="false">SUMIFS(נתונים_שטוחים!O41:Z41,נתונים_שטוחים!$O$4:$Z$4,$F$2)</f>
        <v>0</v>
      </c>
      <c r="F43" s="99" t="n">
        <f aca="false">SUMIFS(נתונים_שטוחים!AA41:AL41,נתונים_שטוחים!$AA$4:$AL$4,$F$2)</f>
        <v>0</v>
      </c>
      <c r="G43" s="100" t="str">
        <f aca="false">IFERROR(F43/E43-1,"-")</f>
        <v>-</v>
      </c>
      <c r="H43" s="99" t="n">
        <f aca="false">F43-E43</f>
        <v>0</v>
      </c>
      <c r="I43" s="99" t="str">
        <f aca="false">IFERROR(INDEX('תקציב  '!$A:$P,MATCH($B43,'תקציב  '!$C:$C,0),5+3*($F$2-1))+INDEX('תקציב  '!$A:$P,MATCH($B43,'תקציב  '!$C:$C,0),6+3*($F$2-1))+INDEX('תקציב  '!$A:$P,MATCH($B43,'תקציב  '!$C:$C,0),7+3*($F$2-1)),"-")</f>
        <v>-</v>
      </c>
      <c r="J43" s="100" t="str">
        <f aca="false">IFERROR(F43/I43-1,"-")</f>
        <v>-</v>
      </c>
      <c r="K43" s="99" t="str">
        <f aca="false">IFERROR(F43-I43,"-")</f>
        <v>-</v>
      </c>
      <c r="L43" s="99" t="str">
        <f aca="false">IF($F$2&lt;3,"-",IFERROR(INDEX('תקציב  '!$A:$AN,MATCH($B43,'תקציב  '!$C:$C,0),35+3*($F$2-3))+INDEX('תקציב  '!$A:$AN,MATCH($B43,'תקציב  '!$C:$C,0),36+3*($F$2-3))+INDEX('תקציב  '!$A:$AN,MATCH($B43,'תקציב  '!$C:$C,0),37+3*($F$2-3)),"-"))</f>
        <v>-</v>
      </c>
      <c r="M43" s="100" t="str">
        <f aca="false">IF($F$2&lt;3,"-",IFERROR(F43/L43-1,"-"))</f>
        <v>-</v>
      </c>
      <c r="N43" s="99" t="str">
        <f aca="false">IF($F$2&lt;3,"-",IFERROR(F43-L43,"-"))</f>
        <v>-</v>
      </c>
    </row>
    <row r="44" customFormat="false" ht="15" hidden="false" customHeight="true" outlineLevel="0" collapsed="false">
      <c r="A44" s="97"/>
      <c r="B44" s="98" t="str">
        <f aca="false">נתונים_שטוחים!A42</f>
        <v>MEXICO</v>
      </c>
      <c r="C44" s="98" t="str">
        <f aca="false">נתונים_שטוחים!B42</f>
        <v>יצוא</v>
      </c>
      <c r="D44" s="99" t="n">
        <f aca="false">SUMIFS(נתונים_שטוחים!C42:N42,נתונים_שטוחים!$C$4:$N$4,$F$2)</f>
        <v>0</v>
      </c>
      <c r="E44" s="99" t="n">
        <f aca="false">SUMIFS(נתונים_שטוחים!O42:Z42,נתונים_שטוחים!$O$4:$Z$4,$F$2)</f>
        <v>0</v>
      </c>
      <c r="F44" s="99" t="n">
        <f aca="false">SUMIFS(נתונים_שטוחים!AA42:AL42,נתונים_שטוחים!$AA$4:$AL$4,$F$2)</f>
        <v>0</v>
      </c>
      <c r="G44" s="100" t="str">
        <f aca="false">IFERROR(F44/E44-1,"-")</f>
        <v>-</v>
      </c>
      <c r="H44" s="99" t="n">
        <f aca="false">F44-E44</f>
        <v>0</v>
      </c>
      <c r="I44" s="99" t="str">
        <f aca="false">IFERROR(INDEX('תקציב  '!$A:$P,MATCH($B44,'תקציב  '!$C:$C,0),5+3*($F$2-1))+INDEX('תקציב  '!$A:$P,MATCH($B44,'תקציב  '!$C:$C,0),6+3*($F$2-1))+INDEX('תקציב  '!$A:$P,MATCH($B44,'תקציב  '!$C:$C,0),7+3*($F$2-1)),"-")</f>
        <v>-</v>
      </c>
      <c r="J44" s="100" t="str">
        <f aca="false">IFERROR(F44/I44-1,"-")</f>
        <v>-</v>
      </c>
      <c r="K44" s="99" t="str">
        <f aca="false">IFERROR(F44-I44,"-")</f>
        <v>-</v>
      </c>
      <c r="L44" s="99" t="str">
        <f aca="false">IF($F$2&lt;3,"-",IFERROR(INDEX('תקציב  '!$A:$AN,MATCH($B44,'תקציב  '!$C:$C,0),35+3*($F$2-3))+INDEX('תקציב  '!$A:$AN,MATCH($B44,'תקציב  '!$C:$C,0),36+3*($F$2-3))+INDEX('תקציב  '!$A:$AN,MATCH($B44,'תקציב  '!$C:$C,0),37+3*($F$2-3)),"-"))</f>
        <v>-</v>
      </c>
      <c r="M44" s="100" t="str">
        <f aca="false">IF($F$2&lt;3,"-",IFERROR(F44/L44-1,"-"))</f>
        <v>-</v>
      </c>
      <c r="N44" s="99" t="str">
        <f aca="false">IF($F$2&lt;3,"-",IFERROR(F44-L44,"-"))</f>
        <v>-</v>
      </c>
    </row>
    <row r="45" customFormat="false" ht="15" hidden="false" customHeight="true" outlineLevel="0" collapsed="false">
      <c r="A45" s="101"/>
      <c r="B45" s="102" t="s">
        <v>98</v>
      </c>
      <c r="C45" s="102"/>
      <c r="D45" s="103" t="n">
        <f aca="false">SUM(D23:D44)</f>
        <v>1853058.64</v>
      </c>
      <c r="E45" s="103" t="n">
        <f aca="false">SUM(E23:E44)</f>
        <v>1740109.33</v>
      </c>
      <c r="F45" s="103" t="n">
        <f aca="false">SUM(F23:F44)</f>
        <v>0</v>
      </c>
      <c r="G45" s="104" t="n">
        <f aca="false">IFERROR(F45/E45-1,"-")</f>
        <v>-1</v>
      </c>
      <c r="H45" s="103" t="n">
        <f aca="false">SUM(H23:H44)</f>
        <v>-1740109.33</v>
      </c>
      <c r="I45" s="103" t="n">
        <f aca="false">SUM(I23:I44)</f>
        <v>2696627.35715</v>
      </c>
      <c r="J45" s="104" t="n">
        <f aca="false">IFERROR(F45/I45-1,"-")</f>
        <v>-1</v>
      </c>
      <c r="K45" s="103" t="n">
        <f aca="false">SUM(K23:K44)</f>
        <v>-2696627.35715</v>
      </c>
      <c r="L45" s="103" t="n">
        <f aca="false">IF($F$2&lt;3,"-",SUM(L23:L44))</f>
        <v>2130572.1</v>
      </c>
      <c r="M45" s="104" t="n">
        <f aca="false">IF($F$2&lt;3,"-",IFERROR(F45/L45-1,"-"))</f>
        <v>-1</v>
      </c>
      <c r="N45" s="103" t="n">
        <f aca="false">IF($F$2&lt;3,"-",SUM(N23:N44))</f>
        <v>-2130572.1</v>
      </c>
    </row>
    <row r="46" customFormat="false" ht="15" hidden="false" customHeight="true" outlineLevel="0" collapsed="false">
      <c r="A46" s="105"/>
      <c r="B46" s="106" t="s">
        <v>120</v>
      </c>
      <c r="C46" s="106"/>
      <c r="D46" s="107" t="n">
        <f aca="false">SUM(D5:D18)+SUM(D20:D21)+SUM(D23:D44)</f>
        <v>5991738.124</v>
      </c>
      <c r="E46" s="107" t="n">
        <f aca="false">SUM(E5:E18)+SUM(E20:E21)+SUM(E23:E44)</f>
        <v>6153613.75</v>
      </c>
      <c r="F46" s="107" t="n">
        <f aca="false">SUM(F5:F18)+SUM(F20:F21)+SUM(F23:F44)</f>
        <v>20995.2</v>
      </c>
      <c r="G46" s="108" t="n">
        <f aca="false">IFERROR(F46/E46-1,"-")</f>
        <v>-0.996588151149396</v>
      </c>
      <c r="H46" s="107" t="n">
        <f aca="false">SUM(H5:H18)+SUM(H20:H21)+SUM(H23:H44)</f>
        <v>-6132618.55</v>
      </c>
      <c r="I46" s="107" t="n">
        <f aca="false">SUM(I5:I18)+SUM(I20:I21)+SUM(I23:I44)</f>
        <v>12514120.9105116</v>
      </c>
      <c r="J46" s="108" t="n">
        <f aca="false">IFERROR(F46/I46-1,"-")</f>
        <v>-0.998322279275537</v>
      </c>
      <c r="K46" s="107" t="n">
        <f aca="false">SUM(K5:K18)+SUM(K20:K21)+SUM(K23:K44)</f>
        <v>-12493125.7105116</v>
      </c>
      <c r="L46" s="107" t="n">
        <f aca="false">IF($F$2&lt;3,"-",SUM(L5:L18)+SUM(L20:L21)+SUM(L23:L44))</f>
        <v>10553450.0661017</v>
      </c>
      <c r="M46" s="108" t="n">
        <f aca="false">IF($F$2&lt;3,"-",IFERROR(F46/L46-1,"-"))</f>
        <v>-0.998010584228997</v>
      </c>
      <c r="N46" s="107" t="n">
        <f aca="false">IF($F$2&lt;3,"-",SUM(N5:N18)+SUM(N20:N21)+SUM(N23:N44))</f>
        <v>-10532454.8661017</v>
      </c>
    </row>
    <row r="47" customFormat="false" ht="15" hidden="false" customHeight="true" outlineLevel="0" collapsed="false">
      <c r="A47" s="109"/>
      <c r="B47" s="91" t="s">
        <v>121</v>
      </c>
      <c r="D47" s="110" t="n">
        <f aca="false">D45/D46</f>
        <v>0.309268963638038</v>
      </c>
      <c r="E47" s="110" t="n">
        <f aca="false">E45/E46</f>
        <v>0.282778445429728</v>
      </c>
      <c r="F47" s="110" t="n">
        <f aca="false">F45/F46</f>
        <v>0</v>
      </c>
    </row>
  </sheetData>
  <mergeCells count="1">
    <mergeCell ref="A1:N1"/>
  </mergeCells>
  <dataValidations count="1">
    <dataValidation allowBlank="false" error="בחר רבעון מהרשימה (Q1-Q4)" errorStyle="stop" operator="between" prompt="בחר רבעון" showDropDown="false" showErrorMessage="false" showInputMessage="false" sqref="D2" type="list">
      <formula1>"Q1,Q2,Q3,Q4"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B4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L30" activeCellId="0" sqref="L30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6.38"/>
    <col collapsed="false" customWidth="true" hidden="false" outlineLevel="0" max="2" min="2" style="1" width="9.38"/>
    <col collapsed="false" customWidth="true" hidden="false" outlineLevel="0" max="14" min="14" style="1" width="8.88"/>
    <col collapsed="false" customWidth="true" hidden="false" outlineLevel="0" max="15" min="15" style="1" width="10.88"/>
    <col collapsed="false" customWidth="true" hidden="false" outlineLevel="0" max="16" min="16" style="1" width="8.88"/>
    <col collapsed="false" customWidth="true" hidden="false" outlineLevel="0" max="19" min="18" style="1" width="8.88"/>
    <col collapsed="false" customWidth="true" hidden="false" outlineLevel="0" max="21" min="21" style="1" width="8.88"/>
    <col collapsed="false" customWidth="true" hidden="false" outlineLevel="0" max="28" min="22" style="1" width="10.26"/>
  </cols>
  <sheetData>
    <row r="1" customFormat="false" ht="18" hidden="false" customHeight="tru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</row>
    <row r="2" customFormat="false" ht="18.75" hidden="false" customHeight="true" outlineLevel="0" collapsed="false">
      <c r="B2" s="111"/>
      <c r="C2" s="111"/>
      <c r="D2" s="111" t="n">
        <f aca="false">D35/$O$35</f>
        <v>0.12306951558854</v>
      </c>
      <c r="E2" s="111" t="n">
        <f aca="false">E35/$O$35</f>
        <v>0.107077445588828</v>
      </c>
      <c r="F2" s="111" t="n">
        <f aca="false">F35/$O$35</f>
        <v>0.159146236815289</v>
      </c>
      <c r="G2" s="111" t="n">
        <f aca="false">G35/$O$35</f>
        <v>0.000150639933586023</v>
      </c>
      <c r="H2" s="111" t="n">
        <f aca="false">H35/$O$35</f>
        <v>0.158058375246487</v>
      </c>
      <c r="I2" s="111" t="n">
        <f aca="false">I35/$O$35</f>
        <v>0.075565535131673</v>
      </c>
      <c r="J2" s="111" t="n">
        <f aca="false">J35/$O$35</f>
        <v>0.0771039699990333</v>
      </c>
      <c r="K2" s="111" t="n">
        <f aca="false">K35/$O$35</f>
        <v>0.101921913083395</v>
      </c>
      <c r="L2" s="111" t="n">
        <f aca="false">L35/$O$35</f>
        <v>0.0816529874199105</v>
      </c>
      <c r="M2" s="111" t="n">
        <f aca="false">M35/$O$35</f>
        <v>0.116253381193258</v>
      </c>
    </row>
    <row r="3" customFormat="false" ht="14.25" hidden="false" customHeight="true" outlineLevel="0" collapsed="false">
      <c r="A3" s="112" t="s">
        <v>131</v>
      </c>
      <c r="B3" s="113" t="n">
        <v>45658</v>
      </c>
      <c r="C3" s="113" t="n">
        <v>45689</v>
      </c>
      <c r="D3" s="113" t="n">
        <v>45717</v>
      </c>
      <c r="E3" s="113" t="n">
        <v>45748</v>
      </c>
      <c r="F3" s="113" t="n">
        <v>45778</v>
      </c>
      <c r="G3" s="113" t="n">
        <v>45809</v>
      </c>
      <c r="H3" s="113" t="n">
        <v>45839</v>
      </c>
      <c r="I3" s="113" t="n">
        <v>45870</v>
      </c>
      <c r="J3" s="113" t="n">
        <v>46266</v>
      </c>
      <c r="K3" s="113" t="n">
        <v>45931</v>
      </c>
      <c r="L3" s="113" t="n">
        <v>45962</v>
      </c>
      <c r="M3" s="113" t="n">
        <v>45992</v>
      </c>
      <c r="N3" s="114" t="s">
        <v>132</v>
      </c>
      <c r="P3" s="114" t="s">
        <v>133</v>
      </c>
      <c r="R3" s="114" t="s">
        <v>18</v>
      </c>
      <c r="S3" s="114" t="s">
        <v>19</v>
      </c>
      <c r="T3" s="114" t="s">
        <v>20</v>
      </c>
      <c r="U3" s="114" t="s">
        <v>21</v>
      </c>
      <c r="V3" s="114" t="s">
        <v>22</v>
      </c>
      <c r="W3" s="114" t="s">
        <v>23</v>
      </c>
      <c r="X3" s="114" t="s">
        <v>24</v>
      </c>
      <c r="Y3" s="114" t="s">
        <v>25</v>
      </c>
      <c r="Z3" s="114" t="s">
        <v>26</v>
      </c>
      <c r="AA3" s="114" t="s">
        <v>27</v>
      </c>
      <c r="AB3" s="114" t="s">
        <v>28</v>
      </c>
    </row>
    <row r="4" customFormat="false" ht="14.25" hidden="false" customHeight="true" outlineLevel="0" collapsed="false">
      <c r="A4" s="112" t="s">
        <v>134</v>
      </c>
      <c r="B4" s="115" t="s">
        <v>135</v>
      </c>
      <c r="C4" s="115" t="s">
        <v>135</v>
      </c>
      <c r="D4" s="115" t="s">
        <v>135</v>
      </c>
      <c r="E4" s="115" t="s">
        <v>135</v>
      </c>
      <c r="F4" s="115" t="s">
        <v>135</v>
      </c>
      <c r="G4" s="115" t="s">
        <v>135</v>
      </c>
      <c r="H4" s="115" t="s">
        <v>135</v>
      </c>
      <c r="I4" s="115" t="s">
        <v>135</v>
      </c>
      <c r="J4" s="115" t="s">
        <v>135</v>
      </c>
      <c r="K4" s="115" t="s">
        <v>135</v>
      </c>
      <c r="L4" s="115" t="s">
        <v>135</v>
      </c>
      <c r="M4" s="115" t="s">
        <v>135</v>
      </c>
      <c r="N4" s="116" t="s">
        <v>135</v>
      </c>
      <c r="P4" s="116" t="s">
        <v>135</v>
      </c>
      <c r="R4" s="116" t="s">
        <v>135</v>
      </c>
      <c r="S4" s="116" t="s">
        <v>135</v>
      </c>
      <c r="T4" s="116" t="s">
        <v>135</v>
      </c>
      <c r="U4" s="116" t="s">
        <v>135</v>
      </c>
      <c r="V4" s="116" t="s">
        <v>135</v>
      </c>
      <c r="W4" s="116" t="s">
        <v>135</v>
      </c>
      <c r="X4" s="116" t="s">
        <v>135</v>
      </c>
      <c r="Y4" s="116" t="s">
        <v>135</v>
      </c>
      <c r="Z4" s="116" t="s">
        <v>135</v>
      </c>
      <c r="AA4" s="116" t="s">
        <v>135</v>
      </c>
      <c r="AB4" s="116" t="s">
        <v>135</v>
      </c>
    </row>
    <row r="5" customFormat="false" ht="14.25" hidden="false" customHeight="true" outlineLevel="0" collapsed="false">
      <c r="A5" s="85" t="s">
        <v>136</v>
      </c>
      <c r="B5" s="117" t="n">
        <v>844589.240000003</v>
      </c>
      <c r="C5" s="117" t="n">
        <v>597568.020000006</v>
      </c>
      <c r="D5" s="117" t="n">
        <v>638446.172000002</v>
      </c>
      <c r="E5" s="117" t="n">
        <v>781364.830000007</v>
      </c>
      <c r="F5" s="117" t="n">
        <v>977752.950000011</v>
      </c>
      <c r="G5" s="117" t="n">
        <v>689832.370000005</v>
      </c>
      <c r="H5" s="117" t="n">
        <v>758569.050000005</v>
      </c>
      <c r="I5" s="117" t="n">
        <v>741932.1</v>
      </c>
      <c r="J5" s="117" t="n">
        <v>656043.57</v>
      </c>
      <c r="K5" s="117" t="n">
        <v>612448.29</v>
      </c>
      <c r="L5" s="117" t="n">
        <v>740101.82</v>
      </c>
      <c r="M5" s="117" t="n">
        <v>650395.29</v>
      </c>
      <c r="N5" s="117" t="n">
        <v>8689043.70200004</v>
      </c>
      <c r="O5" s="118" t="n">
        <f aca="false">SUM(D5:M5)</f>
        <v>7246886.44200003</v>
      </c>
      <c r="P5" s="117" t="n">
        <v>2080603.43200001</v>
      </c>
      <c r="R5" s="117" t="n">
        <v>1442157.26000001</v>
      </c>
      <c r="S5" s="117" t="n">
        <v>2080603.43200001</v>
      </c>
      <c r="T5" s="117" t="n">
        <v>2861968.26200002</v>
      </c>
      <c r="U5" s="117" t="n">
        <v>3839721.21200003</v>
      </c>
      <c r="V5" s="117" t="n">
        <v>4529553.58200003</v>
      </c>
      <c r="W5" s="117" t="n">
        <v>5288122.63200004</v>
      </c>
      <c r="X5" s="117" t="n">
        <v>6030054.73200004</v>
      </c>
      <c r="Y5" s="117" t="n">
        <v>6686098.30200004</v>
      </c>
      <c r="Z5" s="117" t="n">
        <v>7298546.59200004</v>
      </c>
      <c r="AA5" s="117" t="n">
        <v>8038648.41200004</v>
      </c>
      <c r="AB5" s="117" t="n">
        <v>8689043.70200004</v>
      </c>
    </row>
    <row r="6" customFormat="false" ht="14.25" hidden="false" customHeight="true" outlineLevel="0" collapsed="false">
      <c r="A6" s="85" t="s">
        <v>137</v>
      </c>
      <c r="B6" s="117" t="n">
        <v>72633.3</v>
      </c>
      <c r="C6" s="117" t="n">
        <v>46378.11</v>
      </c>
      <c r="D6" s="117" t="n">
        <v>65531.82</v>
      </c>
      <c r="E6" s="117" t="n">
        <v>74555.12</v>
      </c>
      <c r="F6" s="117" t="n">
        <v>94846.85</v>
      </c>
      <c r="G6" s="117" t="n">
        <v>63999.64</v>
      </c>
      <c r="H6" s="117" t="n">
        <v>81305.01</v>
      </c>
      <c r="I6" s="117" t="n">
        <v>61998.83</v>
      </c>
      <c r="J6" s="117" t="n">
        <v>69988.58</v>
      </c>
      <c r="K6" s="117" t="n">
        <v>57765.28</v>
      </c>
      <c r="L6" s="117" t="n">
        <v>96453.83</v>
      </c>
      <c r="M6" s="117" t="n">
        <v>69362.57</v>
      </c>
      <c r="N6" s="117" t="n">
        <v>854818.94</v>
      </c>
      <c r="O6" s="118" t="n">
        <f aca="false">SUM(D6:M6)</f>
        <v>735807.53</v>
      </c>
      <c r="P6" s="117" t="n">
        <v>184543.23</v>
      </c>
      <c r="R6" s="117" t="n">
        <v>119011.41</v>
      </c>
      <c r="S6" s="117" t="n">
        <v>184543.23</v>
      </c>
      <c r="T6" s="117" t="n">
        <v>259098.35</v>
      </c>
      <c r="U6" s="117" t="n">
        <v>353945.2</v>
      </c>
      <c r="V6" s="117" t="n">
        <v>417944.84</v>
      </c>
      <c r="W6" s="117" t="n">
        <v>499249.85</v>
      </c>
      <c r="X6" s="117" t="n">
        <v>561248.68</v>
      </c>
      <c r="Y6" s="117" t="n">
        <v>631237.26</v>
      </c>
      <c r="Z6" s="117" t="n">
        <v>689002.54</v>
      </c>
      <c r="AA6" s="117" t="n">
        <v>785456.37</v>
      </c>
      <c r="AB6" s="117" t="n">
        <v>854818.94</v>
      </c>
    </row>
    <row r="7" customFormat="false" ht="14.25" hidden="false" customHeight="true" outlineLevel="0" collapsed="false">
      <c r="A7" s="85" t="s">
        <v>138</v>
      </c>
      <c r="B7" s="117" t="n">
        <v>16402.68</v>
      </c>
      <c r="C7" s="117" t="n">
        <v>17589.94</v>
      </c>
      <c r="D7" s="117" t="n">
        <v>21300.79</v>
      </c>
      <c r="E7" s="117" t="n">
        <v>15201.7</v>
      </c>
      <c r="F7" s="117" t="n">
        <v>15870.65</v>
      </c>
      <c r="G7" s="117" t="n">
        <v>9192.17</v>
      </c>
      <c r="H7" s="117" t="n">
        <v>10971.32</v>
      </c>
      <c r="I7" s="117" t="n">
        <v>12420.51</v>
      </c>
      <c r="J7" s="117" t="n">
        <v>17490.72</v>
      </c>
      <c r="K7" s="117" t="n">
        <v>9579</v>
      </c>
      <c r="L7" s="117" t="n">
        <v>28016.53</v>
      </c>
      <c r="M7" s="117" t="n">
        <v>11214.5</v>
      </c>
      <c r="N7" s="117" t="n">
        <v>185250.51</v>
      </c>
      <c r="O7" s="118" t="n">
        <f aca="false">SUM(D7:M7)</f>
        <v>151257.89</v>
      </c>
      <c r="P7" s="117" t="n">
        <v>55293.41</v>
      </c>
      <c r="R7" s="117" t="n">
        <v>33992.62</v>
      </c>
      <c r="S7" s="117" t="n">
        <v>55293.41</v>
      </c>
      <c r="T7" s="117" t="n">
        <v>70495.11</v>
      </c>
      <c r="U7" s="117" t="n">
        <v>86365.76</v>
      </c>
      <c r="V7" s="117" t="n">
        <v>95557.93</v>
      </c>
      <c r="W7" s="117" t="n">
        <v>106529.25</v>
      </c>
      <c r="X7" s="117" t="n">
        <v>118949.76</v>
      </c>
      <c r="Y7" s="117" t="n">
        <v>136440.48</v>
      </c>
      <c r="Z7" s="117" t="n">
        <v>146019.48</v>
      </c>
      <c r="AA7" s="117" t="n">
        <v>174036.01</v>
      </c>
      <c r="AB7" s="117" t="n">
        <v>185250.51</v>
      </c>
    </row>
    <row r="8" customFormat="false" ht="14.25" hidden="false" customHeight="true" outlineLevel="0" collapsed="false">
      <c r="A8" s="85" t="s">
        <v>139</v>
      </c>
      <c r="B8" s="117" t="n">
        <v>0</v>
      </c>
      <c r="C8" s="117" t="n">
        <v>0</v>
      </c>
      <c r="D8" s="117" t="n">
        <v>0</v>
      </c>
      <c r="E8" s="117" t="n">
        <v>0</v>
      </c>
      <c r="F8" s="117" t="n">
        <v>0</v>
      </c>
      <c r="G8" s="117" t="n">
        <v>0</v>
      </c>
      <c r="H8" s="117" t="n">
        <v>0</v>
      </c>
      <c r="I8" s="117" t="n">
        <v>0</v>
      </c>
      <c r="J8" s="117" t="n">
        <v>0</v>
      </c>
      <c r="K8" s="117" t="n">
        <v>514.2</v>
      </c>
      <c r="L8" s="117" t="n">
        <v>0</v>
      </c>
      <c r="M8" s="117" t="n">
        <v>0</v>
      </c>
      <c r="N8" s="117" t="n">
        <v>514.2</v>
      </c>
      <c r="O8" s="118" t="n">
        <f aca="false">SUM(D8:M8)</f>
        <v>514.2</v>
      </c>
      <c r="P8" s="117" t="n">
        <v>0</v>
      </c>
      <c r="R8" s="117" t="n">
        <v>0</v>
      </c>
      <c r="S8" s="117" t="n">
        <v>0</v>
      </c>
      <c r="T8" s="117" t="n">
        <v>0</v>
      </c>
      <c r="U8" s="117" t="n">
        <v>0</v>
      </c>
      <c r="V8" s="117" t="n">
        <v>0</v>
      </c>
      <c r="W8" s="117" t="n">
        <v>0</v>
      </c>
      <c r="X8" s="117" t="n">
        <v>0</v>
      </c>
      <c r="Y8" s="117" t="n">
        <v>0</v>
      </c>
      <c r="Z8" s="117" t="n">
        <v>514.2</v>
      </c>
      <c r="AA8" s="117" t="n">
        <v>514.2</v>
      </c>
      <c r="AB8" s="117" t="n">
        <v>514.2</v>
      </c>
    </row>
    <row r="9" customFormat="false" ht="14.25" hidden="false" customHeight="true" outlineLevel="0" collapsed="false">
      <c r="A9" s="85" t="s">
        <v>140</v>
      </c>
      <c r="B9" s="117" t="n">
        <v>15213.91</v>
      </c>
      <c r="C9" s="117" t="n">
        <v>12501.56</v>
      </c>
      <c r="D9" s="117" t="n">
        <v>2138.43</v>
      </c>
      <c r="E9" s="117" t="n">
        <v>5898.37</v>
      </c>
      <c r="F9" s="117" t="n">
        <v>707.660000000001</v>
      </c>
      <c r="G9" s="117" t="n">
        <v>17697.58</v>
      </c>
      <c r="H9" s="117" t="n">
        <v>7828.72</v>
      </c>
      <c r="I9" s="117" t="n">
        <v>5704.97</v>
      </c>
      <c r="J9" s="117" t="n">
        <v>9679.47</v>
      </c>
      <c r="K9" s="117" t="n">
        <v>4038.81</v>
      </c>
      <c r="L9" s="117" t="n">
        <v>12930.62</v>
      </c>
      <c r="M9" s="117" t="n">
        <v>361.5</v>
      </c>
      <c r="N9" s="117" t="n">
        <v>94701.6</v>
      </c>
      <c r="O9" s="118" t="n">
        <f aca="false">SUM(D9:M9)</f>
        <v>66986.13</v>
      </c>
      <c r="P9" s="117" t="n">
        <v>29853.9</v>
      </c>
      <c r="R9" s="117" t="n">
        <v>27715.47</v>
      </c>
      <c r="S9" s="117" t="n">
        <v>29853.9</v>
      </c>
      <c r="T9" s="117" t="n">
        <v>35752.27</v>
      </c>
      <c r="U9" s="117" t="n">
        <v>36459.93</v>
      </c>
      <c r="V9" s="117" t="n">
        <v>54157.51</v>
      </c>
      <c r="W9" s="117" t="n">
        <v>61986.23</v>
      </c>
      <c r="X9" s="117" t="n">
        <v>67691.2</v>
      </c>
      <c r="Y9" s="117" t="n">
        <v>77370.67</v>
      </c>
      <c r="Z9" s="117" t="n">
        <v>81409.48</v>
      </c>
      <c r="AA9" s="117" t="n">
        <v>94340.1</v>
      </c>
      <c r="AB9" s="117" t="n">
        <v>94701.6</v>
      </c>
    </row>
    <row r="10" customFormat="false" ht="14.25" hidden="false" customHeight="true" outlineLevel="0" collapsed="false">
      <c r="A10" s="85" t="s">
        <v>141</v>
      </c>
      <c r="B10" s="117" t="n">
        <v>6025.5</v>
      </c>
      <c r="C10" s="117" t="n">
        <v>4045.81</v>
      </c>
      <c r="D10" s="117" t="n">
        <v>11352.51</v>
      </c>
      <c r="E10" s="117" t="n">
        <v>4054.42</v>
      </c>
      <c r="F10" s="117" t="n">
        <v>5871.12</v>
      </c>
      <c r="G10" s="117" t="n">
        <v>4288.26</v>
      </c>
      <c r="H10" s="117" t="n">
        <v>4990.47</v>
      </c>
      <c r="I10" s="117" t="n">
        <v>1459.42</v>
      </c>
      <c r="J10" s="117" t="n">
        <v>4228.87</v>
      </c>
      <c r="K10" s="117" t="n">
        <v>3274.69</v>
      </c>
      <c r="L10" s="117" t="n">
        <v>1902.07</v>
      </c>
      <c r="M10" s="117" t="n">
        <v>5866.58</v>
      </c>
      <c r="N10" s="117" t="n">
        <v>57359.72</v>
      </c>
      <c r="O10" s="118" t="n">
        <f aca="false">SUM(D10:M10)</f>
        <v>47288.41</v>
      </c>
      <c r="P10" s="117" t="n">
        <v>21423.82</v>
      </c>
      <c r="R10" s="117" t="n">
        <v>10071.31</v>
      </c>
      <c r="S10" s="117" t="n">
        <v>21423.82</v>
      </c>
      <c r="T10" s="117" t="n">
        <v>25478.24</v>
      </c>
      <c r="U10" s="117" t="n">
        <v>31349.36</v>
      </c>
      <c r="V10" s="117" t="n">
        <v>35637.62</v>
      </c>
      <c r="W10" s="117" t="n">
        <v>40628.09</v>
      </c>
      <c r="X10" s="117" t="n">
        <v>42087.51</v>
      </c>
      <c r="Y10" s="117" t="n">
        <v>46316.38</v>
      </c>
      <c r="Z10" s="117" t="n">
        <v>49591.07</v>
      </c>
      <c r="AA10" s="117" t="n">
        <v>51493.14</v>
      </c>
      <c r="AB10" s="117" t="n">
        <v>57359.72</v>
      </c>
    </row>
    <row r="11" customFormat="false" ht="14.25" hidden="false" customHeight="true" outlineLevel="0" collapsed="false">
      <c r="A11" s="85" t="s">
        <v>142</v>
      </c>
      <c r="B11" s="117" t="n">
        <v>1162.85</v>
      </c>
      <c r="C11" s="117" t="n">
        <v>569.45</v>
      </c>
      <c r="D11" s="117" t="n">
        <v>0</v>
      </c>
      <c r="E11" s="117" t="n">
        <v>0</v>
      </c>
      <c r="F11" s="117" t="n">
        <v>0</v>
      </c>
      <c r="G11" s="117" t="n">
        <v>1244.84</v>
      </c>
      <c r="H11" s="117" t="n">
        <v>0</v>
      </c>
      <c r="I11" s="117" t="n">
        <v>0</v>
      </c>
      <c r="J11" s="117" t="n">
        <v>0</v>
      </c>
      <c r="K11" s="117" t="n">
        <v>669.74</v>
      </c>
      <c r="L11" s="117" t="n">
        <v>498.8</v>
      </c>
      <c r="M11" s="117" t="n">
        <v>0</v>
      </c>
      <c r="N11" s="117" t="n">
        <v>4145.68</v>
      </c>
      <c r="O11" s="118" t="n">
        <f aca="false">SUM(D11:M11)</f>
        <v>2413.38</v>
      </c>
      <c r="P11" s="117" t="n">
        <v>1732.3</v>
      </c>
      <c r="R11" s="117" t="n">
        <v>1732.3</v>
      </c>
      <c r="S11" s="117" t="n">
        <v>1732.3</v>
      </c>
      <c r="T11" s="117" t="n">
        <v>1732.3</v>
      </c>
      <c r="U11" s="117" t="n">
        <v>1732.3</v>
      </c>
      <c r="V11" s="117" t="n">
        <v>2977.14</v>
      </c>
      <c r="W11" s="117" t="n">
        <v>2977.14</v>
      </c>
      <c r="X11" s="117" t="n">
        <v>2977.14</v>
      </c>
      <c r="Y11" s="117" t="n">
        <v>2977.14</v>
      </c>
      <c r="Z11" s="117" t="n">
        <v>3646.88</v>
      </c>
      <c r="AA11" s="117" t="n">
        <v>4145.68</v>
      </c>
      <c r="AB11" s="117" t="n">
        <v>4145.68</v>
      </c>
    </row>
    <row r="12" customFormat="false" ht="14.25" hidden="false" customHeight="true" outlineLevel="0" collapsed="false">
      <c r="A12" s="85" t="s">
        <v>143</v>
      </c>
      <c r="B12" s="117" t="n">
        <v>58427.8</v>
      </c>
      <c r="C12" s="117" t="n">
        <v>233209.9</v>
      </c>
      <c r="D12" s="117" t="n">
        <v>66608.1</v>
      </c>
      <c r="E12" s="117" t="n">
        <v>336937.6</v>
      </c>
      <c r="F12" s="117" t="n">
        <v>131634</v>
      </c>
      <c r="G12" s="117" t="n">
        <v>0</v>
      </c>
      <c r="H12" s="117" t="n">
        <v>83088</v>
      </c>
      <c r="I12" s="117" t="n">
        <v>243929.1</v>
      </c>
      <c r="J12" s="117" t="n">
        <v>157587.19</v>
      </c>
      <c r="K12" s="117" t="n">
        <v>33955.2</v>
      </c>
      <c r="L12" s="117" t="n">
        <v>265660.9</v>
      </c>
      <c r="M12" s="117" t="n">
        <v>97619.06</v>
      </c>
      <c r="N12" s="117" t="n">
        <v>1708656.85</v>
      </c>
      <c r="O12" s="118" t="n">
        <f aca="false">SUM(D12:M12)</f>
        <v>1417019.15</v>
      </c>
      <c r="P12" s="117" t="n">
        <v>358245.8</v>
      </c>
      <c r="R12" s="117" t="n">
        <v>291637.7</v>
      </c>
      <c r="S12" s="117" t="n">
        <v>358245.8</v>
      </c>
      <c r="T12" s="117" t="n">
        <v>695183.4</v>
      </c>
      <c r="U12" s="117" t="n">
        <v>826817.4</v>
      </c>
      <c r="V12" s="117" t="n">
        <v>826817.4</v>
      </c>
      <c r="W12" s="117" t="n">
        <v>909905.4</v>
      </c>
      <c r="X12" s="117" t="n">
        <v>1153834.5</v>
      </c>
      <c r="Y12" s="117" t="n">
        <v>1311421.69</v>
      </c>
      <c r="Z12" s="117" t="n">
        <v>1345376.89</v>
      </c>
      <c r="AA12" s="117" t="n">
        <v>1611037.79</v>
      </c>
      <c r="AB12" s="117" t="n">
        <v>1708656.85</v>
      </c>
    </row>
    <row r="13" customFormat="false" ht="14.25" hidden="false" customHeight="true" outlineLevel="0" collapsed="false">
      <c r="A13" s="85" t="s">
        <v>144</v>
      </c>
      <c r="B13" s="117" t="n">
        <v>0</v>
      </c>
      <c r="C13" s="117" t="n">
        <v>11720.98</v>
      </c>
      <c r="D13" s="117" t="n">
        <v>0</v>
      </c>
      <c r="E13" s="117" t="n">
        <v>0</v>
      </c>
      <c r="F13" s="117" t="n">
        <v>0</v>
      </c>
      <c r="G13" s="117" t="n">
        <v>0</v>
      </c>
      <c r="H13" s="117" t="n">
        <v>0</v>
      </c>
      <c r="I13" s="117" t="n">
        <v>7344.4</v>
      </c>
      <c r="J13" s="117" t="n">
        <v>0</v>
      </c>
      <c r="K13" s="117" t="n">
        <v>0</v>
      </c>
      <c r="L13" s="117" t="n">
        <v>0</v>
      </c>
      <c r="M13" s="117" t="n">
        <v>0</v>
      </c>
      <c r="N13" s="117" t="n">
        <v>19065.38</v>
      </c>
      <c r="O13" s="118" t="n">
        <f aca="false">SUM(D13:M13)</f>
        <v>7344.4</v>
      </c>
      <c r="P13" s="117" t="n">
        <v>11720.98</v>
      </c>
      <c r="R13" s="117" t="n">
        <v>11720.98</v>
      </c>
      <c r="S13" s="117" t="n">
        <v>11720.98</v>
      </c>
      <c r="T13" s="117" t="n">
        <v>11720.98</v>
      </c>
      <c r="U13" s="117" t="n">
        <v>11720.98</v>
      </c>
      <c r="V13" s="117" t="n">
        <v>11720.98</v>
      </c>
      <c r="W13" s="117" t="n">
        <v>11720.98</v>
      </c>
      <c r="X13" s="117" t="n">
        <v>19065.38</v>
      </c>
      <c r="Y13" s="117" t="n">
        <v>19065.38</v>
      </c>
      <c r="Z13" s="117" t="n">
        <v>19065.38</v>
      </c>
      <c r="AA13" s="117" t="n">
        <v>19065.38</v>
      </c>
      <c r="AB13" s="117" t="n">
        <v>19065.38</v>
      </c>
    </row>
    <row r="14" customFormat="false" ht="14.25" hidden="false" customHeight="true" outlineLevel="0" collapsed="false">
      <c r="A14" s="85" t="s">
        <v>145</v>
      </c>
      <c r="B14" s="117" t="n">
        <v>0</v>
      </c>
      <c r="C14" s="117" t="n">
        <v>11067.51</v>
      </c>
      <c r="D14" s="117" t="n">
        <v>0</v>
      </c>
      <c r="E14" s="117" t="n">
        <v>0</v>
      </c>
      <c r="F14" s="117" t="n">
        <v>0</v>
      </c>
      <c r="G14" s="117" t="n">
        <v>0</v>
      </c>
      <c r="H14" s="117" t="n">
        <v>651.15</v>
      </c>
      <c r="I14" s="117" t="n">
        <v>0</v>
      </c>
      <c r="J14" s="117" t="n">
        <v>0</v>
      </c>
      <c r="K14" s="117" t="n">
        <v>0</v>
      </c>
      <c r="L14" s="117" t="n">
        <v>0</v>
      </c>
      <c r="M14" s="117" t="n">
        <v>1813.57</v>
      </c>
      <c r="N14" s="117" t="n">
        <v>13532.23</v>
      </c>
      <c r="O14" s="118" t="n">
        <f aca="false">SUM(D14:M14)</f>
        <v>2464.72</v>
      </c>
      <c r="P14" s="117" t="n">
        <v>11067.51</v>
      </c>
      <c r="R14" s="117" t="n">
        <v>11067.51</v>
      </c>
      <c r="S14" s="117" t="n">
        <v>11067.51</v>
      </c>
      <c r="T14" s="117" t="n">
        <v>11067.51</v>
      </c>
      <c r="U14" s="117" t="n">
        <v>11067.51</v>
      </c>
      <c r="V14" s="117" t="n">
        <v>11067.51</v>
      </c>
      <c r="W14" s="117" t="n">
        <v>11718.66</v>
      </c>
      <c r="X14" s="117" t="n">
        <v>11718.66</v>
      </c>
      <c r="Y14" s="117" t="n">
        <v>11718.66</v>
      </c>
      <c r="Z14" s="117" t="n">
        <v>11718.66</v>
      </c>
      <c r="AA14" s="117" t="n">
        <v>11718.66</v>
      </c>
      <c r="AB14" s="117" t="n">
        <v>13532.23</v>
      </c>
    </row>
    <row r="15" customFormat="false" ht="14.25" hidden="false" customHeight="true" outlineLevel="0" collapsed="false">
      <c r="A15" s="85" t="s">
        <v>146</v>
      </c>
      <c r="B15" s="117" t="n">
        <v>16943.23</v>
      </c>
      <c r="C15" s="117" t="n">
        <v>8629.41</v>
      </c>
      <c r="D15" s="117" t="n">
        <v>10741.72</v>
      </c>
      <c r="E15" s="117" t="n">
        <v>16562.55</v>
      </c>
      <c r="F15" s="117" t="n">
        <v>18520.67</v>
      </c>
      <c r="G15" s="117" t="n">
        <v>10131.7</v>
      </c>
      <c r="H15" s="117" t="n">
        <v>9190.31</v>
      </c>
      <c r="I15" s="117" t="n">
        <v>6621.54</v>
      </c>
      <c r="J15" s="117" t="n">
        <v>9073.07</v>
      </c>
      <c r="K15" s="117" t="n">
        <v>17028.33</v>
      </c>
      <c r="L15" s="117" t="n">
        <v>21017.63</v>
      </c>
      <c r="M15" s="117" t="n">
        <v>7965.2</v>
      </c>
      <c r="N15" s="117" t="n">
        <v>152425.36</v>
      </c>
      <c r="O15" s="118" t="n">
        <f aca="false">SUM(D15:M15)</f>
        <v>126852.72</v>
      </c>
      <c r="P15" s="117" t="n">
        <v>36314.36</v>
      </c>
      <c r="R15" s="117" t="n">
        <v>25572.64</v>
      </c>
      <c r="S15" s="117" t="n">
        <v>36314.36</v>
      </c>
      <c r="T15" s="117" t="n">
        <v>52876.91</v>
      </c>
      <c r="U15" s="117" t="n">
        <v>71397.58</v>
      </c>
      <c r="V15" s="117" t="n">
        <v>81529.28</v>
      </c>
      <c r="W15" s="117" t="n">
        <v>90719.59</v>
      </c>
      <c r="X15" s="117" t="n">
        <v>97341.13</v>
      </c>
      <c r="Y15" s="117" t="n">
        <v>106414.2</v>
      </c>
      <c r="Z15" s="117" t="n">
        <v>123442.53</v>
      </c>
      <c r="AA15" s="117" t="n">
        <v>144460.16</v>
      </c>
      <c r="AB15" s="117" t="n">
        <v>152425.36</v>
      </c>
    </row>
    <row r="16" customFormat="false" ht="14.25" hidden="false" customHeight="true" outlineLevel="0" collapsed="false">
      <c r="A16" s="85" t="s">
        <v>147</v>
      </c>
      <c r="B16" s="117" t="n">
        <v>57834.64</v>
      </c>
      <c r="C16" s="117" t="n">
        <v>82146.14</v>
      </c>
      <c r="D16" s="117" t="n">
        <v>74502.3</v>
      </c>
      <c r="E16" s="117" t="n">
        <v>62433.13</v>
      </c>
      <c r="F16" s="117" t="n">
        <v>88130.8</v>
      </c>
      <c r="G16" s="117" t="n">
        <v>62616.16</v>
      </c>
      <c r="H16" s="117" t="n">
        <v>95914.88</v>
      </c>
      <c r="I16" s="117" t="n">
        <v>81013.09</v>
      </c>
      <c r="J16" s="117" t="n">
        <v>89206.99</v>
      </c>
      <c r="K16" s="117" t="n">
        <v>70789.24</v>
      </c>
      <c r="L16" s="117" t="n">
        <v>68004.57</v>
      </c>
      <c r="M16" s="117" t="n">
        <v>60034.25</v>
      </c>
      <c r="N16" s="117" t="n">
        <v>892626.19</v>
      </c>
      <c r="O16" s="118" t="n">
        <f aca="false">SUM(D16:M16)</f>
        <v>752645.41</v>
      </c>
      <c r="P16" s="117" t="n">
        <v>214483.08</v>
      </c>
      <c r="R16" s="117" t="n">
        <v>139980.78</v>
      </c>
      <c r="S16" s="117" t="n">
        <v>214483.08</v>
      </c>
      <c r="T16" s="117" t="n">
        <v>276916.21</v>
      </c>
      <c r="U16" s="117" t="n">
        <v>365047.01</v>
      </c>
      <c r="V16" s="117" t="n">
        <v>427663.17</v>
      </c>
      <c r="W16" s="117" t="n">
        <v>523578.05</v>
      </c>
      <c r="X16" s="117" t="n">
        <v>604591.14</v>
      </c>
      <c r="Y16" s="117" t="n">
        <v>693798.13</v>
      </c>
      <c r="Z16" s="117" t="n">
        <v>764587.37</v>
      </c>
      <c r="AA16" s="117" t="n">
        <v>832591.94</v>
      </c>
      <c r="AB16" s="117" t="n">
        <v>892626.19</v>
      </c>
    </row>
    <row r="17" customFormat="false" ht="14.25" hidden="false" customHeight="true" outlineLevel="0" collapsed="false">
      <c r="A17" s="85" t="s">
        <v>148</v>
      </c>
      <c r="B17" s="117" t="n">
        <v>326467.5</v>
      </c>
      <c r="C17" s="117" t="n">
        <v>371734.5</v>
      </c>
      <c r="D17" s="117" t="n">
        <v>376182</v>
      </c>
      <c r="E17" s="117" t="n">
        <v>263457</v>
      </c>
      <c r="F17" s="117" t="n">
        <v>307503</v>
      </c>
      <c r="G17" s="117" t="n">
        <v>363201.5</v>
      </c>
      <c r="H17" s="117" t="n">
        <v>329541.7</v>
      </c>
      <c r="I17" s="117" t="n">
        <v>273604.4</v>
      </c>
      <c r="J17" s="117" t="n">
        <v>337200.15</v>
      </c>
      <c r="K17" s="117" t="n">
        <v>184903.8</v>
      </c>
      <c r="L17" s="117" t="n">
        <v>308121.37</v>
      </c>
      <c r="M17" s="117" t="n">
        <v>367699.5</v>
      </c>
      <c r="N17" s="117" t="n">
        <v>3809616.42</v>
      </c>
      <c r="O17" s="118" t="n">
        <f aca="false">SUM(D17:M17)</f>
        <v>3111414.42</v>
      </c>
      <c r="P17" s="117" t="n">
        <v>1074384</v>
      </c>
      <c r="R17" s="117" t="n">
        <v>698202</v>
      </c>
      <c r="S17" s="117" t="n">
        <v>1074384</v>
      </c>
      <c r="T17" s="117" t="n">
        <v>1337841</v>
      </c>
      <c r="U17" s="117" t="n">
        <v>1645344</v>
      </c>
      <c r="V17" s="117" t="n">
        <v>2008545.5</v>
      </c>
      <c r="W17" s="117" t="n">
        <v>2338087.2</v>
      </c>
      <c r="X17" s="117" t="n">
        <v>2611691.6</v>
      </c>
      <c r="Y17" s="117" t="n">
        <v>2948891.75</v>
      </c>
      <c r="Z17" s="117" t="n">
        <v>3133795.55</v>
      </c>
      <c r="AA17" s="117" t="n">
        <v>3441916.92</v>
      </c>
      <c r="AB17" s="117" t="n">
        <v>3809616.42</v>
      </c>
    </row>
    <row r="18" customFormat="false" ht="14.25" hidden="false" customHeight="true" outlineLevel="0" collapsed="false">
      <c r="A18" s="85" t="s">
        <v>149</v>
      </c>
      <c r="B18" s="117" t="n">
        <v>92988.1699999996</v>
      </c>
      <c r="C18" s="117" t="n">
        <v>97231.1799999998</v>
      </c>
      <c r="D18" s="117" t="n">
        <v>98819.24</v>
      </c>
      <c r="E18" s="117" t="n">
        <v>96447.3100000002</v>
      </c>
      <c r="F18" s="117" t="n">
        <v>99302.9500000002</v>
      </c>
      <c r="G18" s="117" t="n">
        <v>128892.76</v>
      </c>
      <c r="H18" s="117" t="n">
        <v>163496.619999998</v>
      </c>
      <c r="I18" s="117" t="n">
        <v>136844.33</v>
      </c>
      <c r="J18" s="117" t="n">
        <v>143120.649999998</v>
      </c>
      <c r="K18" s="117" t="n">
        <v>136200.54</v>
      </c>
      <c r="L18" s="117" t="n">
        <v>249690.080000002</v>
      </c>
      <c r="M18" s="117" t="n">
        <v>213224.459999998</v>
      </c>
      <c r="N18" s="117" t="n">
        <v>1656258.29</v>
      </c>
      <c r="O18" s="118" t="n">
        <f aca="false">SUM(D18:M18)</f>
        <v>1466038.94</v>
      </c>
      <c r="P18" s="117" t="n">
        <v>289038.589999999</v>
      </c>
      <c r="R18" s="117" t="n">
        <v>190219.349999999</v>
      </c>
      <c r="S18" s="117" t="n">
        <v>289038.589999999</v>
      </c>
      <c r="T18" s="117" t="n">
        <v>385485.9</v>
      </c>
      <c r="U18" s="117" t="n">
        <v>484788.85</v>
      </c>
      <c r="V18" s="117" t="n">
        <v>613681.61</v>
      </c>
      <c r="W18" s="117" t="n">
        <v>777178.229999999</v>
      </c>
      <c r="X18" s="117" t="n">
        <v>914022.559999998</v>
      </c>
      <c r="Y18" s="117" t="n">
        <v>1057143.21</v>
      </c>
      <c r="Z18" s="117" t="n">
        <v>1193343.75</v>
      </c>
      <c r="AA18" s="117" t="n">
        <v>1443033.83</v>
      </c>
      <c r="AB18" s="117" t="n">
        <v>1656258.29</v>
      </c>
    </row>
    <row r="19" customFormat="false" ht="14.25" hidden="false" customHeight="true" outlineLevel="0" collapsed="false">
      <c r="A19" s="85" t="s">
        <v>150</v>
      </c>
      <c r="B19" s="117" t="n">
        <v>2032.3</v>
      </c>
      <c r="C19" s="117" t="n">
        <v>3188.82</v>
      </c>
      <c r="D19" s="117" t="n">
        <v>3577.56</v>
      </c>
      <c r="E19" s="117" t="n">
        <v>2606.4</v>
      </c>
      <c r="F19" s="117" t="n">
        <v>1491.14</v>
      </c>
      <c r="G19" s="117" t="n">
        <v>4432.93</v>
      </c>
      <c r="H19" s="117" t="n">
        <v>1318.12</v>
      </c>
      <c r="I19" s="117" t="n">
        <v>2497.52</v>
      </c>
      <c r="J19" s="117" t="n">
        <v>1798.35</v>
      </c>
      <c r="K19" s="117" t="n">
        <v>1762.26</v>
      </c>
      <c r="L19" s="117" t="n">
        <v>1058.88</v>
      </c>
      <c r="M19" s="117" t="n">
        <v>1561.46</v>
      </c>
      <c r="N19" s="117" t="n">
        <v>27325.74</v>
      </c>
      <c r="O19" s="118" t="n">
        <f aca="false">SUM(D19:M19)</f>
        <v>22104.62</v>
      </c>
      <c r="P19" s="117" t="n">
        <v>8798.68</v>
      </c>
      <c r="R19" s="117" t="n">
        <v>5221.12</v>
      </c>
      <c r="S19" s="117" t="n">
        <v>8798.68</v>
      </c>
      <c r="T19" s="117" t="n">
        <v>11405.08</v>
      </c>
      <c r="U19" s="117" t="n">
        <v>12896.22</v>
      </c>
      <c r="V19" s="117" t="n">
        <v>17329.15</v>
      </c>
      <c r="W19" s="117" t="n">
        <v>18647.27</v>
      </c>
      <c r="X19" s="117" t="n">
        <v>21144.79</v>
      </c>
      <c r="Y19" s="117" t="n">
        <v>22943.14</v>
      </c>
      <c r="Z19" s="117" t="n">
        <v>24705.4</v>
      </c>
      <c r="AA19" s="117" t="n">
        <v>25764.28</v>
      </c>
      <c r="AB19" s="117" t="n">
        <v>27325.74</v>
      </c>
    </row>
    <row r="20" customFormat="false" ht="14.25" hidden="false" customHeight="true" outlineLevel="0" collapsed="false">
      <c r="A20" s="85" t="s">
        <v>151</v>
      </c>
      <c r="B20" s="117" t="n">
        <v>0</v>
      </c>
      <c r="C20" s="117" t="n">
        <v>213082.56</v>
      </c>
      <c r="D20" s="117" t="n">
        <v>0</v>
      </c>
      <c r="E20" s="117" t="n">
        <v>217182.24</v>
      </c>
      <c r="F20" s="117" t="n">
        <v>0</v>
      </c>
      <c r="G20" s="117" t="n">
        <v>0</v>
      </c>
      <c r="H20" s="117" t="n">
        <v>187405.66</v>
      </c>
      <c r="I20" s="117" t="n">
        <v>0</v>
      </c>
      <c r="J20" s="117" t="n">
        <v>0</v>
      </c>
      <c r="K20" s="117" t="n">
        <v>140125.45</v>
      </c>
      <c r="L20" s="117" t="n">
        <v>0</v>
      </c>
      <c r="M20" s="117" t="n">
        <v>144741.73</v>
      </c>
      <c r="N20" s="117" t="n">
        <v>902537.64</v>
      </c>
      <c r="O20" s="118" t="n">
        <f aca="false">SUM(D20:M20)</f>
        <v>689455.08</v>
      </c>
      <c r="P20" s="117" t="n">
        <v>213082.56</v>
      </c>
      <c r="R20" s="117" t="n">
        <v>213082.56</v>
      </c>
      <c r="S20" s="117" t="n">
        <v>213082.56</v>
      </c>
      <c r="T20" s="117" t="n">
        <v>430264.8</v>
      </c>
      <c r="U20" s="117" t="n">
        <v>430264.8</v>
      </c>
      <c r="V20" s="117" t="n">
        <v>430264.8</v>
      </c>
      <c r="W20" s="117" t="n">
        <v>617670.46</v>
      </c>
      <c r="X20" s="117" t="n">
        <v>617670.46</v>
      </c>
      <c r="Y20" s="117" t="n">
        <v>617670.46</v>
      </c>
      <c r="Z20" s="117" t="n">
        <v>757795.91</v>
      </c>
      <c r="AA20" s="117" t="n">
        <v>757795.91</v>
      </c>
      <c r="AB20" s="117" t="n">
        <v>902537.64</v>
      </c>
    </row>
    <row r="21" s="122" customFormat="true" ht="14.25" hidden="false" customHeight="true" outlineLevel="0" collapsed="false">
      <c r="A21" s="119" t="s">
        <v>152</v>
      </c>
      <c r="B21" s="120" t="n">
        <v>19897.57</v>
      </c>
      <c r="C21" s="120" t="n">
        <v>0</v>
      </c>
      <c r="D21" s="120" t="n">
        <v>0</v>
      </c>
      <c r="E21" s="120" t="n">
        <v>0</v>
      </c>
      <c r="F21" s="120" t="n">
        <v>18835.73</v>
      </c>
      <c r="G21" s="120" t="n">
        <v>0</v>
      </c>
      <c r="H21" s="120" t="n">
        <v>0</v>
      </c>
      <c r="I21" s="120" t="n">
        <v>0</v>
      </c>
      <c r="J21" s="120" t="n">
        <v>0</v>
      </c>
      <c r="K21" s="120" t="n">
        <v>22174.82</v>
      </c>
      <c r="L21" s="120" t="n">
        <v>0.08</v>
      </c>
      <c r="M21" s="120" t="n">
        <v>0</v>
      </c>
      <c r="N21" s="120" t="n">
        <v>60908.2</v>
      </c>
      <c r="O21" s="121" t="n">
        <f aca="false">SUM(D21:M21)</f>
        <v>41010.63</v>
      </c>
      <c r="P21" s="120" t="n">
        <v>19897.57</v>
      </c>
      <c r="R21" s="120" t="n">
        <v>19897.57</v>
      </c>
      <c r="S21" s="120" t="n">
        <v>19897.57</v>
      </c>
      <c r="T21" s="120" t="n">
        <v>19897.57</v>
      </c>
      <c r="U21" s="120" t="n">
        <v>38733.3</v>
      </c>
      <c r="V21" s="120" t="n">
        <v>38733.3</v>
      </c>
      <c r="W21" s="120" t="n">
        <v>38733.3</v>
      </c>
      <c r="X21" s="120" t="n">
        <v>38733.3</v>
      </c>
      <c r="Y21" s="120" t="n">
        <v>38733.3</v>
      </c>
      <c r="Z21" s="120" t="n">
        <v>60908.12</v>
      </c>
      <c r="AA21" s="120" t="n">
        <v>60908.2</v>
      </c>
      <c r="AB21" s="120" t="n">
        <v>60908.2</v>
      </c>
    </row>
    <row r="22" s="125" customFormat="true" ht="14.25" hidden="false" customHeight="true" outlineLevel="0" collapsed="false">
      <c r="A22" s="123" t="s">
        <v>153</v>
      </c>
      <c r="B22" s="124" t="n">
        <v>0</v>
      </c>
      <c r="C22" s="124" t="n">
        <v>0</v>
      </c>
      <c r="D22" s="124" t="n">
        <v>0</v>
      </c>
      <c r="E22" s="124" t="n">
        <v>35240.62</v>
      </c>
      <c r="F22" s="124" t="n">
        <v>0</v>
      </c>
      <c r="G22" s="124" t="n">
        <v>0</v>
      </c>
      <c r="H22" s="124" t="n">
        <v>31010.8</v>
      </c>
      <c r="I22" s="124" t="n">
        <v>0</v>
      </c>
      <c r="J22" s="124" t="n">
        <v>0</v>
      </c>
      <c r="K22" s="124" t="n">
        <v>20604.23</v>
      </c>
      <c r="L22" s="124" t="n">
        <v>0</v>
      </c>
      <c r="M22" s="124" t="n">
        <v>0</v>
      </c>
      <c r="N22" s="124" t="n">
        <v>86855.65</v>
      </c>
      <c r="O22" s="118" t="n">
        <f aca="false">SUM(D22:M22)</f>
        <v>86855.65</v>
      </c>
      <c r="P22" s="124" t="n">
        <v>0</v>
      </c>
      <c r="R22" s="124" t="n">
        <v>0</v>
      </c>
      <c r="S22" s="124" t="n">
        <v>0</v>
      </c>
      <c r="T22" s="124" t="n">
        <v>35240.62</v>
      </c>
      <c r="U22" s="124" t="n">
        <v>35240.62</v>
      </c>
      <c r="V22" s="124" t="n">
        <v>35240.62</v>
      </c>
      <c r="W22" s="124" t="n">
        <v>66251.42</v>
      </c>
      <c r="X22" s="124" t="n">
        <v>66251.42</v>
      </c>
      <c r="Y22" s="124" t="n">
        <v>66251.42</v>
      </c>
      <c r="Z22" s="124" t="n">
        <v>86855.65</v>
      </c>
      <c r="AA22" s="124" t="n">
        <v>86855.65</v>
      </c>
      <c r="AB22" s="124" t="n">
        <v>86855.65</v>
      </c>
    </row>
    <row r="23" customFormat="false" ht="14.25" hidden="false" customHeight="true" outlineLevel="0" collapsed="false">
      <c r="A23" s="85" t="s">
        <v>94</v>
      </c>
      <c r="B23" s="117" t="n">
        <v>0</v>
      </c>
      <c r="C23" s="117" t="n">
        <v>0</v>
      </c>
      <c r="D23" s="117" t="n">
        <v>0</v>
      </c>
      <c r="E23" s="117" t="n">
        <v>0</v>
      </c>
      <c r="F23" s="117" t="n">
        <v>248.59</v>
      </c>
      <c r="G23" s="117" t="n">
        <v>0</v>
      </c>
      <c r="H23" s="117" t="n">
        <v>0</v>
      </c>
      <c r="I23" s="117" t="n">
        <v>0</v>
      </c>
      <c r="J23" s="117" t="n">
        <v>0</v>
      </c>
      <c r="K23" s="117" t="n">
        <v>0</v>
      </c>
      <c r="L23" s="117" t="n">
        <v>0</v>
      </c>
      <c r="M23" s="117" t="n">
        <v>0</v>
      </c>
      <c r="N23" s="117" t="n">
        <v>248.59</v>
      </c>
      <c r="O23" s="118" t="n">
        <f aca="false">SUM(D23:M23)</f>
        <v>248.59</v>
      </c>
      <c r="P23" s="117" t="n">
        <v>0</v>
      </c>
      <c r="R23" s="117" t="n">
        <v>0</v>
      </c>
      <c r="S23" s="117" t="n">
        <v>0</v>
      </c>
      <c r="T23" s="117" t="n">
        <v>0</v>
      </c>
      <c r="U23" s="117" t="n">
        <v>248.59</v>
      </c>
      <c r="V23" s="117" t="n">
        <v>248.59</v>
      </c>
      <c r="W23" s="117" t="n">
        <v>248.59</v>
      </c>
      <c r="X23" s="117" t="n">
        <v>248.59</v>
      </c>
      <c r="Y23" s="117" t="n">
        <v>248.59</v>
      </c>
      <c r="Z23" s="117" t="n">
        <v>248.59</v>
      </c>
      <c r="AA23" s="117" t="n">
        <v>248.59</v>
      </c>
      <c r="AB23" s="117" t="n">
        <v>248.59</v>
      </c>
    </row>
    <row r="24" customFormat="false" ht="14.25" hidden="false" customHeight="true" outlineLevel="0" collapsed="false">
      <c r="A24" s="85" t="s">
        <v>154</v>
      </c>
      <c r="B24" s="117" t="n">
        <v>0</v>
      </c>
      <c r="C24" s="117" t="n">
        <v>16335.18</v>
      </c>
      <c r="D24" s="117" t="n">
        <v>13664.6</v>
      </c>
      <c r="E24" s="117" t="n">
        <v>11888.32</v>
      </c>
      <c r="F24" s="117" t="n">
        <v>0</v>
      </c>
      <c r="G24" s="117" t="n">
        <v>0</v>
      </c>
      <c r="H24" s="117" t="n">
        <v>30796.16</v>
      </c>
      <c r="I24" s="117" t="n">
        <v>18496.39</v>
      </c>
      <c r="J24" s="117" t="n">
        <v>0</v>
      </c>
      <c r="K24" s="117" t="n">
        <v>15474.02</v>
      </c>
      <c r="L24" s="117" t="n">
        <v>15684.33</v>
      </c>
      <c r="M24" s="117" t="n">
        <v>0</v>
      </c>
      <c r="N24" s="117" t="n">
        <v>122339</v>
      </c>
      <c r="O24" s="118" t="n">
        <f aca="false">SUM(D24:M24)</f>
        <v>106003.82</v>
      </c>
      <c r="P24" s="117" t="n">
        <v>29999.78</v>
      </c>
      <c r="R24" s="117" t="n">
        <v>16335.18</v>
      </c>
      <c r="S24" s="117" t="n">
        <v>29999.78</v>
      </c>
      <c r="T24" s="117" t="n">
        <v>41888.1</v>
      </c>
      <c r="U24" s="117" t="n">
        <v>41888.1</v>
      </c>
      <c r="V24" s="117" t="n">
        <v>41888.1</v>
      </c>
      <c r="W24" s="117" t="n">
        <v>72684.26</v>
      </c>
      <c r="X24" s="117" t="n">
        <v>91180.65</v>
      </c>
      <c r="Y24" s="117" t="n">
        <v>91180.65</v>
      </c>
      <c r="Z24" s="117" t="n">
        <v>106654.67</v>
      </c>
      <c r="AA24" s="117" t="n">
        <v>122339</v>
      </c>
      <c r="AB24" s="117" t="n">
        <v>122339</v>
      </c>
    </row>
    <row r="25" customFormat="false" ht="14.25" hidden="false" customHeight="true" outlineLevel="0" collapsed="false">
      <c r="A25" s="85" t="s">
        <v>155</v>
      </c>
      <c r="B25" s="117" t="n">
        <v>187395.64</v>
      </c>
      <c r="C25" s="117" t="n">
        <v>188313.47</v>
      </c>
      <c r="D25" s="117" t="n">
        <v>239973.2</v>
      </c>
      <c r="E25" s="117" t="n">
        <v>238431.78</v>
      </c>
      <c r="F25" s="117" t="n">
        <v>252540.02</v>
      </c>
      <c r="G25" s="117" t="n">
        <v>68328.76</v>
      </c>
      <c r="H25" s="117" t="n">
        <v>353503.85</v>
      </c>
      <c r="I25" s="117" t="n">
        <v>252496.44</v>
      </c>
      <c r="J25" s="117" t="n">
        <v>247434.35</v>
      </c>
      <c r="K25" s="117" t="n">
        <v>223589.21</v>
      </c>
      <c r="L25" s="117" t="n">
        <v>271266.06</v>
      </c>
      <c r="M25" s="117" t="n">
        <v>182118.44</v>
      </c>
      <c r="N25" s="117" t="n">
        <v>2705391.22</v>
      </c>
      <c r="O25" s="118" t="n">
        <f aca="false">SUM(D25:M25)</f>
        <v>2329682.11</v>
      </c>
      <c r="P25" s="117" t="n">
        <v>615682.31</v>
      </c>
      <c r="R25" s="117" t="n">
        <v>375709.11</v>
      </c>
      <c r="S25" s="117" t="n">
        <v>615682.31</v>
      </c>
      <c r="T25" s="117" t="n">
        <v>854114.09</v>
      </c>
      <c r="U25" s="117" t="n">
        <v>1106654.11</v>
      </c>
      <c r="V25" s="117" t="n">
        <v>1174982.87</v>
      </c>
      <c r="W25" s="117" t="n">
        <v>1528486.72</v>
      </c>
      <c r="X25" s="117" t="n">
        <v>1780983.16</v>
      </c>
      <c r="Y25" s="117" t="n">
        <v>2028417.51</v>
      </c>
      <c r="Z25" s="117" t="n">
        <v>2252006.72</v>
      </c>
      <c r="AA25" s="117" t="n">
        <v>2523272.78</v>
      </c>
      <c r="AB25" s="117" t="n">
        <v>2705391.22</v>
      </c>
    </row>
    <row r="26" customFormat="false" ht="14.25" hidden="false" customHeight="true" outlineLevel="0" collapsed="false">
      <c r="A26" s="85" t="s">
        <v>156</v>
      </c>
      <c r="B26" s="117" t="n">
        <v>0</v>
      </c>
      <c r="C26" s="117" t="n">
        <v>0</v>
      </c>
      <c r="D26" s="117" t="n">
        <v>42132.93</v>
      </c>
      <c r="E26" s="117" t="n">
        <v>0</v>
      </c>
      <c r="F26" s="117" t="n">
        <v>10766.89</v>
      </c>
      <c r="G26" s="117" t="n">
        <v>0</v>
      </c>
      <c r="H26" s="117" t="n">
        <v>0</v>
      </c>
      <c r="I26" s="117" t="n">
        <v>0</v>
      </c>
      <c r="J26" s="117" t="n">
        <v>0</v>
      </c>
      <c r="K26" s="117" t="n">
        <v>0</v>
      </c>
      <c r="L26" s="117" t="n">
        <v>0</v>
      </c>
      <c r="M26" s="117" t="n">
        <v>0</v>
      </c>
      <c r="N26" s="117" t="n">
        <v>52899.82</v>
      </c>
      <c r="O26" s="118" t="n">
        <f aca="false">SUM(D26:M26)</f>
        <v>52899.82</v>
      </c>
      <c r="P26" s="117" t="n">
        <v>42132.93</v>
      </c>
      <c r="R26" s="117" t="n">
        <v>0</v>
      </c>
      <c r="S26" s="117" t="n">
        <v>42132.93</v>
      </c>
      <c r="T26" s="117" t="n">
        <v>42132.93</v>
      </c>
      <c r="U26" s="117" t="n">
        <v>52899.82</v>
      </c>
      <c r="V26" s="117" t="n">
        <v>52899.82</v>
      </c>
      <c r="W26" s="117" t="n">
        <v>52899.82</v>
      </c>
      <c r="X26" s="117" t="n">
        <v>52899.82</v>
      </c>
      <c r="Y26" s="117" t="n">
        <v>52899.82</v>
      </c>
      <c r="Z26" s="117" t="n">
        <v>52899.82</v>
      </c>
      <c r="AA26" s="117" t="n">
        <v>52899.82</v>
      </c>
      <c r="AB26" s="117" t="n">
        <v>52899.82</v>
      </c>
    </row>
    <row r="27" customFormat="false" ht="14.25" hidden="false" customHeight="true" outlineLevel="0" collapsed="false">
      <c r="A27" s="85" t="s">
        <v>157</v>
      </c>
      <c r="B27" s="117" t="n">
        <v>18517.61</v>
      </c>
      <c r="C27" s="117" t="n">
        <v>35605.91</v>
      </c>
      <c r="D27" s="117" t="n">
        <v>26449.51</v>
      </c>
      <c r="E27" s="117" t="n">
        <v>0</v>
      </c>
      <c r="F27" s="117" t="n">
        <v>1513.3</v>
      </c>
      <c r="G27" s="117" t="n">
        <v>0</v>
      </c>
      <c r="H27" s="117" t="n">
        <v>194396.85</v>
      </c>
      <c r="I27" s="117" t="n">
        <v>64506.58</v>
      </c>
      <c r="J27" s="117" t="n">
        <v>10281.02</v>
      </c>
      <c r="K27" s="117" t="n">
        <v>596.73</v>
      </c>
      <c r="L27" s="117" t="n">
        <v>53932.22</v>
      </c>
      <c r="M27" s="117" t="n">
        <v>121.12</v>
      </c>
      <c r="N27" s="117" t="n">
        <v>405920.85</v>
      </c>
      <c r="O27" s="118" t="n">
        <f aca="false">SUM(D27:M27)</f>
        <v>351797.33</v>
      </c>
      <c r="P27" s="117" t="n">
        <v>80573.03</v>
      </c>
      <c r="R27" s="117" t="n">
        <v>54123.52</v>
      </c>
      <c r="S27" s="117" t="n">
        <v>80573.03</v>
      </c>
      <c r="T27" s="117" t="n">
        <v>80573.03</v>
      </c>
      <c r="U27" s="117" t="n">
        <v>82086.33</v>
      </c>
      <c r="V27" s="117" t="n">
        <v>82086.33</v>
      </c>
      <c r="W27" s="117" t="n">
        <v>276483.18</v>
      </c>
      <c r="X27" s="117" t="n">
        <v>340989.76</v>
      </c>
      <c r="Y27" s="117" t="n">
        <v>351270.78</v>
      </c>
      <c r="Z27" s="117" t="n">
        <v>351867.51</v>
      </c>
      <c r="AA27" s="117" t="n">
        <v>405799.73</v>
      </c>
      <c r="AB27" s="117" t="n">
        <v>405920.85</v>
      </c>
    </row>
    <row r="28" customFormat="false" ht="14.25" hidden="false" customHeight="true" outlineLevel="0" collapsed="false">
      <c r="A28" s="85" t="s">
        <v>158</v>
      </c>
      <c r="B28" s="117" t="n">
        <v>0</v>
      </c>
      <c r="C28" s="117" t="n">
        <v>0</v>
      </c>
      <c r="D28" s="117" t="n">
        <v>32010.18</v>
      </c>
      <c r="E28" s="117" t="n">
        <v>0</v>
      </c>
      <c r="F28" s="117" t="n">
        <v>0</v>
      </c>
      <c r="G28" s="117" t="n">
        <v>0</v>
      </c>
      <c r="H28" s="117" t="n">
        <v>0</v>
      </c>
      <c r="I28" s="117" t="n">
        <v>0</v>
      </c>
      <c r="J28" s="117" t="n">
        <v>0</v>
      </c>
      <c r="K28" s="117" t="n">
        <v>0</v>
      </c>
      <c r="L28" s="117" t="n">
        <v>32544.41</v>
      </c>
      <c r="M28" s="117" t="n">
        <v>0</v>
      </c>
      <c r="N28" s="117" t="n">
        <v>64554.59</v>
      </c>
      <c r="O28" s="118" t="n">
        <f aca="false">SUM(D28:M28)</f>
        <v>64554.59</v>
      </c>
      <c r="P28" s="117" t="n">
        <v>32010.18</v>
      </c>
      <c r="R28" s="117" t="n">
        <v>0</v>
      </c>
      <c r="S28" s="117" t="n">
        <v>32010.18</v>
      </c>
      <c r="T28" s="117" t="n">
        <v>32010.18</v>
      </c>
      <c r="U28" s="117" t="n">
        <v>32010.18</v>
      </c>
      <c r="V28" s="117" t="n">
        <v>32010.18</v>
      </c>
      <c r="W28" s="117" t="n">
        <v>32010.18</v>
      </c>
      <c r="X28" s="117" t="n">
        <v>32010.18</v>
      </c>
      <c r="Y28" s="117" t="n">
        <v>32010.18</v>
      </c>
      <c r="Z28" s="117" t="n">
        <v>32010.18</v>
      </c>
      <c r="AA28" s="117" t="n">
        <v>64554.59</v>
      </c>
      <c r="AB28" s="117" t="n">
        <v>64554.59</v>
      </c>
    </row>
    <row r="29" customFormat="false" ht="14.25" hidden="false" customHeight="true" outlineLevel="0" collapsed="false">
      <c r="A29" s="85" t="s">
        <v>159</v>
      </c>
      <c r="B29" s="117" t="n">
        <v>0</v>
      </c>
      <c r="C29" s="117" t="n">
        <v>85563.25</v>
      </c>
      <c r="D29" s="117" t="n">
        <v>0</v>
      </c>
      <c r="E29" s="117" t="n">
        <v>88706.82</v>
      </c>
      <c r="F29" s="117" t="n">
        <v>0</v>
      </c>
      <c r="G29" s="117" t="n">
        <v>0</v>
      </c>
      <c r="H29" s="117" t="n">
        <v>87907.48</v>
      </c>
      <c r="I29" s="117" t="n">
        <v>68497.3</v>
      </c>
      <c r="J29" s="117" t="n">
        <v>0</v>
      </c>
      <c r="K29" s="117" t="n">
        <v>0</v>
      </c>
      <c r="L29" s="117" t="n">
        <v>83397.79</v>
      </c>
      <c r="M29" s="117" t="n">
        <v>0</v>
      </c>
      <c r="N29" s="117" t="n">
        <v>414072.64</v>
      </c>
      <c r="O29" s="118" t="n">
        <f aca="false">SUM(D29:M29)</f>
        <v>328509.39</v>
      </c>
      <c r="P29" s="117" t="n">
        <v>85563.25</v>
      </c>
      <c r="R29" s="117" t="n">
        <v>85563.25</v>
      </c>
      <c r="S29" s="117" t="n">
        <v>85563.25</v>
      </c>
      <c r="T29" s="117" t="n">
        <v>174270.07</v>
      </c>
      <c r="U29" s="117" t="n">
        <v>174270.07</v>
      </c>
      <c r="V29" s="117" t="n">
        <v>174270.07</v>
      </c>
      <c r="W29" s="117" t="n">
        <v>262177.55</v>
      </c>
      <c r="X29" s="117" t="n">
        <v>330674.85</v>
      </c>
      <c r="Y29" s="117" t="n">
        <v>330674.85</v>
      </c>
      <c r="Z29" s="117" t="n">
        <v>330674.85</v>
      </c>
      <c r="AA29" s="117" t="n">
        <v>414072.64</v>
      </c>
      <c r="AB29" s="117" t="n">
        <v>414072.64</v>
      </c>
    </row>
    <row r="30" s="129" customFormat="true" ht="14.25" hidden="false" customHeight="true" outlineLevel="0" collapsed="false">
      <c r="A30" s="126" t="s">
        <v>160</v>
      </c>
      <c r="B30" s="127" t="n">
        <v>0</v>
      </c>
      <c r="C30" s="127" t="n">
        <v>0</v>
      </c>
      <c r="D30" s="127" t="n">
        <v>0</v>
      </c>
      <c r="E30" s="127" t="n">
        <v>0</v>
      </c>
      <c r="F30" s="127" t="n">
        <v>30531.53</v>
      </c>
      <c r="G30" s="127" t="n">
        <v>0</v>
      </c>
      <c r="H30" s="127" t="n">
        <v>0</v>
      </c>
      <c r="I30" s="127" t="n">
        <v>0</v>
      </c>
      <c r="J30" s="127" t="n">
        <v>0</v>
      </c>
      <c r="K30" s="127" t="n">
        <v>0</v>
      </c>
      <c r="L30" s="127" t="n">
        <v>23331.65</v>
      </c>
      <c r="M30" s="127" t="n">
        <v>0</v>
      </c>
      <c r="N30" s="127" t="n">
        <v>53863.18</v>
      </c>
      <c r="O30" s="128" t="n">
        <f aca="false">SUM(D30:M30)</f>
        <v>53863.18</v>
      </c>
      <c r="P30" s="127" t="n">
        <v>0</v>
      </c>
      <c r="R30" s="127" t="n">
        <v>0</v>
      </c>
      <c r="S30" s="127" t="n">
        <v>0</v>
      </c>
      <c r="T30" s="127" t="n">
        <v>0</v>
      </c>
      <c r="U30" s="127" t="n">
        <v>30531.53</v>
      </c>
      <c r="V30" s="127" t="n">
        <v>30531.53</v>
      </c>
      <c r="W30" s="127" t="n">
        <v>30531.53</v>
      </c>
      <c r="X30" s="127" t="n">
        <v>30531.53</v>
      </c>
      <c r="Y30" s="127" t="n">
        <v>30531.53</v>
      </c>
      <c r="Z30" s="127" t="n">
        <v>30531.53</v>
      </c>
      <c r="AA30" s="127" t="n">
        <v>53863.18</v>
      </c>
      <c r="AB30" s="127" t="n">
        <v>53863.18</v>
      </c>
    </row>
    <row r="31" customFormat="false" ht="14.25" hidden="false" customHeight="true" outlineLevel="0" collapsed="false">
      <c r="A31" s="85" t="s">
        <v>84</v>
      </c>
      <c r="B31" s="117" t="n">
        <v>0</v>
      </c>
      <c r="C31" s="117" t="n">
        <v>0</v>
      </c>
      <c r="D31" s="117" t="n">
        <v>16024.5</v>
      </c>
      <c r="E31" s="117" t="n">
        <v>0</v>
      </c>
      <c r="F31" s="117" t="n">
        <v>0</v>
      </c>
      <c r="G31" s="117" t="n">
        <v>0</v>
      </c>
      <c r="H31" s="117" t="n">
        <v>15559.58</v>
      </c>
      <c r="I31" s="117" t="n">
        <v>0</v>
      </c>
      <c r="J31" s="117" t="n">
        <v>50202.49</v>
      </c>
      <c r="K31" s="117" t="n">
        <v>0</v>
      </c>
      <c r="L31" s="117" t="n">
        <v>0</v>
      </c>
      <c r="M31" s="117" t="n">
        <v>0</v>
      </c>
      <c r="N31" s="117" t="n">
        <v>81786.57</v>
      </c>
      <c r="O31" s="118" t="n">
        <f aca="false">SUM(D31:M31)</f>
        <v>81786.57</v>
      </c>
      <c r="P31" s="117" t="n">
        <v>16024.5</v>
      </c>
      <c r="R31" s="117" t="n">
        <v>0</v>
      </c>
      <c r="S31" s="117" t="n">
        <v>16024.5</v>
      </c>
      <c r="T31" s="117" t="n">
        <v>16024.5</v>
      </c>
      <c r="U31" s="117" t="n">
        <v>16024.5</v>
      </c>
      <c r="V31" s="117" t="n">
        <v>16024.5</v>
      </c>
      <c r="W31" s="117" t="n">
        <v>31584.08</v>
      </c>
      <c r="X31" s="117" t="n">
        <v>31584.08</v>
      </c>
      <c r="Y31" s="117" t="n">
        <v>81786.57</v>
      </c>
      <c r="Z31" s="117" t="n">
        <v>81786.57</v>
      </c>
      <c r="AA31" s="117" t="n">
        <v>81786.57</v>
      </c>
      <c r="AB31" s="117" t="n">
        <v>81786.57</v>
      </c>
    </row>
    <row r="32" s="122" customFormat="true" ht="14.25" hidden="false" customHeight="true" outlineLevel="0" collapsed="false">
      <c r="A32" s="119" t="s">
        <v>161</v>
      </c>
      <c r="B32" s="120" t="n">
        <v>19111.37</v>
      </c>
      <c r="C32" s="120" t="n">
        <v>1584.32</v>
      </c>
      <c r="D32" s="120" t="n">
        <v>0</v>
      </c>
      <c r="E32" s="120" t="n">
        <v>0</v>
      </c>
      <c r="F32" s="120" t="n">
        <v>19017.88</v>
      </c>
      <c r="G32" s="120" t="n">
        <v>0</v>
      </c>
      <c r="H32" s="120" t="n">
        <v>0</v>
      </c>
      <c r="I32" s="120" t="n">
        <v>0</v>
      </c>
      <c r="J32" s="120" t="n">
        <v>0</v>
      </c>
      <c r="K32" s="120" t="n">
        <v>0</v>
      </c>
      <c r="L32" s="120" t="n">
        <v>0</v>
      </c>
      <c r="M32" s="120" t="n">
        <v>0</v>
      </c>
      <c r="N32" s="120" t="n">
        <v>39713.57</v>
      </c>
      <c r="O32" s="121" t="n">
        <f aca="false">SUM(D32:M32)</f>
        <v>19017.88</v>
      </c>
      <c r="P32" s="120" t="n">
        <v>20695.69</v>
      </c>
      <c r="R32" s="120" t="n">
        <v>20695.69</v>
      </c>
      <c r="S32" s="120" t="n">
        <v>20695.69</v>
      </c>
      <c r="T32" s="120" t="n">
        <v>20695.69</v>
      </c>
      <c r="U32" s="120" t="n">
        <v>39713.57</v>
      </c>
      <c r="V32" s="120" t="n">
        <v>39713.57</v>
      </c>
      <c r="W32" s="120" t="n">
        <v>39713.57</v>
      </c>
      <c r="X32" s="120" t="n">
        <v>39713.57</v>
      </c>
      <c r="Y32" s="120" t="n">
        <v>39713.57</v>
      </c>
      <c r="Z32" s="120" t="n">
        <v>39713.57</v>
      </c>
      <c r="AA32" s="120" t="n">
        <v>39713.57</v>
      </c>
      <c r="AB32" s="120" t="n">
        <v>39713.57</v>
      </c>
    </row>
    <row r="33" customFormat="false" ht="14.25" hidden="false" customHeight="true" outlineLevel="0" collapsed="false">
      <c r="A33" s="85" t="s">
        <v>162</v>
      </c>
      <c r="B33" s="117" t="n">
        <v>0</v>
      </c>
      <c r="C33" s="117" t="n">
        <v>0</v>
      </c>
      <c r="D33" s="117" t="n">
        <v>0</v>
      </c>
      <c r="E33" s="117" t="n">
        <v>0</v>
      </c>
      <c r="F33" s="117" t="n">
        <v>172805.6</v>
      </c>
      <c r="G33" s="117" t="n">
        <v>0.33</v>
      </c>
      <c r="H33" s="117" t="n">
        <v>0</v>
      </c>
      <c r="I33" s="117" t="n">
        <v>0</v>
      </c>
      <c r="J33" s="117" t="n">
        <v>0</v>
      </c>
      <c r="K33" s="117" t="n">
        <v>0</v>
      </c>
      <c r="L33" s="117" t="n">
        <v>0</v>
      </c>
      <c r="M33" s="117" t="n">
        <v>146752.62</v>
      </c>
      <c r="N33" s="117" t="n">
        <v>319558.55</v>
      </c>
      <c r="O33" s="118" t="n">
        <f aca="false">SUM(D33:M33)</f>
        <v>319558.55</v>
      </c>
      <c r="P33" s="117" t="n">
        <v>0</v>
      </c>
      <c r="R33" s="117" t="n">
        <v>0</v>
      </c>
      <c r="S33" s="117" t="n">
        <v>0</v>
      </c>
      <c r="T33" s="117" t="n">
        <v>0</v>
      </c>
      <c r="U33" s="117" t="n">
        <v>172805.6</v>
      </c>
      <c r="V33" s="117" t="n">
        <v>172805.93</v>
      </c>
      <c r="W33" s="117" t="n">
        <v>172805.93</v>
      </c>
      <c r="X33" s="117" t="n">
        <v>172805.93</v>
      </c>
      <c r="Y33" s="117" t="n">
        <v>172805.93</v>
      </c>
      <c r="Z33" s="117" t="n">
        <v>172805.93</v>
      </c>
      <c r="AA33" s="117" t="n">
        <v>172805.93</v>
      </c>
      <c r="AB33" s="117" t="n">
        <v>319558.55</v>
      </c>
    </row>
    <row r="34" customFormat="false" ht="14.25" hidden="false" customHeight="true" outlineLevel="0" collapsed="false">
      <c r="A34" s="85" t="s">
        <v>163</v>
      </c>
      <c r="B34" s="117" t="n">
        <v>0</v>
      </c>
      <c r="C34" s="117" t="n">
        <v>0</v>
      </c>
      <c r="D34" s="117" t="n">
        <v>0.22</v>
      </c>
      <c r="E34" s="117" t="n">
        <v>0</v>
      </c>
      <c r="F34" s="117" t="n">
        <v>0</v>
      </c>
      <c r="G34" s="117" t="n">
        <v>0</v>
      </c>
      <c r="H34" s="117" t="n">
        <v>0</v>
      </c>
      <c r="I34" s="117" t="n">
        <v>0</v>
      </c>
      <c r="J34" s="117" t="n">
        <v>0</v>
      </c>
      <c r="K34" s="117" t="n">
        <v>0</v>
      </c>
      <c r="L34" s="117" t="n">
        <v>256771.88</v>
      </c>
      <c r="M34" s="117" t="n">
        <v>0</v>
      </c>
      <c r="N34" s="117" t="n">
        <v>256772.1</v>
      </c>
      <c r="O34" s="118" t="n">
        <f aca="false">SUM(D34:M34)</f>
        <v>256772.1</v>
      </c>
      <c r="P34" s="117" t="n">
        <v>0.22</v>
      </c>
      <c r="R34" s="117" t="n">
        <v>0</v>
      </c>
      <c r="S34" s="117" t="n">
        <v>0.22</v>
      </c>
      <c r="T34" s="117" t="n">
        <v>0.22</v>
      </c>
      <c r="U34" s="117" t="n">
        <v>0.22</v>
      </c>
      <c r="V34" s="117" t="n">
        <v>0.22</v>
      </c>
      <c r="W34" s="117" t="n">
        <v>0.22</v>
      </c>
      <c r="X34" s="117" t="n">
        <v>0.22</v>
      </c>
      <c r="Y34" s="117" t="n">
        <v>0.22</v>
      </c>
      <c r="Z34" s="117" t="n">
        <v>0.22</v>
      </c>
      <c r="AA34" s="117" t="n">
        <v>256772.1</v>
      </c>
      <c r="AB34" s="117" t="n">
        <v>256772.1</v>
      </c>
    </row>
    <row r="35" customFormat="false" ht="14.25" hidden="false" customHeight="true" outlineLevel="0" collapsed="false">
      <c r="A35" s="85" t="s">
        <v>164</v>
      </c>
      <c r="B35" s="117" t="n">
        <v>0</v>
      </c>
      <c r="C35" s="117" t="n">
        <v>49474.45</v>
      </c>
      <c r="D35" s="117" t="n">
        <v>43871.72</v>
      </c>
      <c r="E35" s="117" t="n">
        <v>38170.88</v>
      </c>
      <c r="F35" s="117" t="n">
        <v>56732.32</v>
      </c>
      <c r="G35" s="117" t="n">
        <v>53.7</v>
      </c>
      <c r="H35" s="117" t="n">
        <v>56344.52</v>
      </c>
      <c r="I35" s="117" t="n">
        <v>26937.54</v>
      </c>
      <c r="J35" s="117" t="n">
        <v>27485.96</v>
      </c>
      <c r="K35" s="117" t="n">
        <v>36333.04</v>
      </c>
      <c r="L35" s="117" t="n">
        <v>29107.59</v>
      </c>
      <c r="M35" s="117" t="n">
        <v>41441.91</v>
      </c>
      <c r="N35" s="117" t="n">
        <v>405953.63</v>
      </c>
      <c r="O35" s="118" t="n">
        <f aca="false">SUM(D35:M35)</f>
        <v>356479.18</v>
      </c>
      <c r="P35" s="117" t="n">
        <v>93346.17</v>
      </c>
      <c r="R35" s="117" t="n">
        <v>49474.45</v>
      </c>
      <c r="S35" s="117" t="n">
        <v>93346.17</v>
      </c>
      <c r="T35" s="117" t="n">
        <v>131517.05</v>
      </c>
      <c r="U35" s="117" t="n">
        <v>188249.37</v>
      </c>
      <c r="V35" s="117" t="n">
        <v>188303.07</v>
      </c>
      <c r="W35" s="117" t="n">
        <v>244647.59</v>
      </c>
      <c r="X35" s="117" t="n">
        <v>271585.13</v>
      </c>
      <c r="Y35" s="117" t="n">
        <v>299071.09</v>
      </c>
      <c r="Z35" s="117" t="n">
        <v>335404.13</v>
      </c>
      <c r="AA35" s="117" t="n">
        <v>364511.72</v>
      </c>
      <c r="AB35" s="117" t="n">
        <v>405953.63</v>
      </c>
    </row>
    <row r="36" customFormat="false" ht="14.25" hidden="false" customHeight="true" outlineLevel="0" collapsed="false">
      <c r="A36" s="85" t="s">
        <v>165</v>
      </c>
      <c r="B36" s="117" t="n">
        <v>0</v>
      </c>
      <c r="C36" s="117" t="n">
        <v>0</v>
      </c>
      <c r="D36" s="117" t="n">
        <v>0</v>
      </c>
      <c r="E36" s="117" t="n">
        <v>0</v>
      </c>
      <c r="F36" s="117" t="n">
        <v>0</v>
      </c>
      <c r="G36" s="117" t="n">
        <v>0</v>
      </c>
      <c r="H36" s="117" t="n">
        <v>0</v>
      </c>
      <c r="I36" s="117" t="n">
        <v>0</v>
      </c>
      <c r="J36" s="117" t="n">
        <v>0</v>
      </c>
      <c r="K36" s="117" t="n">
        <v>0</v>
      </c>
      <c r="L36" s="117" t="n">
        <v>0</v>
      </c>
      <c r="M36" s="117" t="n">
        <v>0</v>
      </c>
      <c r="N36" s="117" t="n">
        <v>0</v>
      </c>
      <c r="O36" s="118" t="n">
        <f aca="false">SUM(D36:M36)</f>
        <v>0</v>
      </c>
      <c r="P36" s="117" t="n">
        <v>0</v>
      </c>
      <c r="R36" s="117" t="n">
        <v>0</v>
      </c>
      <c r="S36" s="117" t="n">
        <v>0</v>
      </c>
      <c r="T36" s="117" t="n">
        <v>0</v>
      </c>
      <c r="U36" s="117" t="n">
        <v>0</v>
      </c>
      <c r="V36" s="117" t="n">
        <v>0</v>
      </c>
      <c r="W36" s="117" t="n">
        <v>0</v>
      </c>
      <c r="X36" s="117" t="n">
        <v>0</v>
      </c>
      <c r="Y36" s="117" t="n">
        <v>0</v>
      </c>
      <c r="Z36" s="117" t="n">
        <v>0</v>
      </c>
      <c r="AA36" s="117" t="n">
        <v>0</v>
      </c>
      <c r="AB36" s="117" t="n">
        <v>0</v>
      </c>
    </row>
    <row r="37" customFormat="false" ht="14.25" hidden="false" customHeight="true" outlineLevel="0" collapsed="false">
      <c r="A37" s="85" t="s">
        <v>166</v>
      </c>
      <c r="B37" s="117" t="n">
        <v>0</v>
      </c>
      <c r="C37" s="117" t="n">
        <v>0</v>
      </c>
      <c r="D37" s="117" t="n">
        <v>0</v>
      </c>
      <c r="E37" s="117" t="n">
        <v>0</v>
      </c>
      <c r="F37" s="117" t="n">
        <v>0</v>
      </c>
      <c r="G37" s="117" t="n">
        <v>0</v>
      </c>
      <c r="H37" s="117" t="n">
        <v>0</v>
      </c>
      <c r="I37" s="117" t="n">
        <v>0</v>
      </c>
      <c r="J37" s="117" t="n">
        <v>0</v>
      </c>
      <c r="K37" s="117" t="n">
        <v>0</v>
      </c>
      <c r="L37" s="117" t="n">
        <v>0</v>
      </c>
      <c r="M37" s="117" t="n">
        <v>0</v>
      </c>
      <c r="N37" s="117" t="n">
        <v>0</v>
      </c>
      <c r="O37" s="118" t="n">
        <f aca="false">SUM(D37:M37)</f>
        <v>0</v>
      </c>
      <c r="P37" s="117" t="n">
        <v>0</v>
      </c>
      <c r="R37" s="117" t="n">
        <v>0</v>
      </c>
      <c r="S37" s="117" t="n">
        <v>0</v>
      </c>
      <c r="T37" s="117" t="n">
        <v>0</v>
      </c>
      <c r="U37" s="117" t="n">
        <v>0</v>
      </c>
      <c r="V37" s="117" t="n">
        <v>0</v>
      </c>
      <c r="W37" s="117" t="n">
        <v>0</v>
      </c>
      <c r="X37" s="117" t="n">
        <v>0</v>
      </c>
      <c r="Y37" s="117" t="n">
        <v>0</v>
      </c>
      <c r="Z37" s="117" t="n">
        <v>0</v>
      </c>
      <c r="AA37" s="117" t="n">
        <v>0</v>
      </c>
      <c r="AB37" s="117" t="n">
        <v>0</v>
      </c>
    </row>
    <row r="38" customFormat="false" ht="14.25" hidden="false" customHeight="true" outlineLevel="0" collapsed="false">
      <c r="A38" s="84" t="s">
        <v>132</v>
      </c>
      <c r="B38" s="130" t="n">
        <v>1755643.31</v>
      </c>
      <c r="C38" s="130" t="n">
        <v>2087540.47000001</v>
      </c>
      <c r="D38" s="130" t="n">
        <v>1783327.502</v>
      </c>
      <c r="E38" s="130" t="n">
        <v>2289139.09000001</v>
      </c>
      <c r="F38" s="130" t="n">
        <v>2304623.65000001</v>
      </c>
      <c r="G38" s="130" t="n">
        <v>1423912.70000001</v>
      </c>
      <c r="H38" s="130" t="n">
        <v>2503790.25</v>
      </c>
      <c r="I38" s="130" t="n">
        <v>2006304.46</v>
      </c>
      <c r="J38" s="130" t="n">
        <v>1830821.43</v>
      </c>
      <c r="K38" s="130" t="n">
        <v>1591826.88</v>
      </c>
      <c r="L38" s="130" t="n">
        <v>2559493.11</v>
      </c>
      <c r="M38" s="130" t="n">
        <v>2002293.76</v>
      </c>
      <c r="N38" s="130" t="n">
        <v>24138716.612</v>
      </c>
      <c r="O38" s="118" t="n">
        <f aca="false">SUM(D38:M38)</f>
        <v>20295532.832</v>
      </c>
      <c r="P38" s="130" t="n">
        <v>5626511.28200001</v>
      </c>
      <c r="R38" s="130" t="n">
        <v>3843183.78000001</v>
      </c>
      <c r="S38" s="130" t="n">
        <v>5626511.28200001</v>
      </c>
      <c r="T38" s="130" t="n">
        <v>7915650.37200002</v>
      </c>
      <c r="U38" s="130" t="n">
        <v>10220274.022</v>
      </c>
      <c r="V38" s="130" t="n">
        <v>11644186.722</v>
      </c>
      <c r="W38" s="130" t="n">
        <v>14147976.972</v>
      </c>
      <c r="X38" s="130" t="n">
        <v>16154281.432</v>
      </c>
      <c r="Y38" s="130" t="n">
        <v>17985102.862</v>
      </c>
      <c r="Z38" s="130" t="n">
        <v>19576929.742</v>
      </c>
      <c r="AA38" s="130" t="n">
        <v>22136422.852</v>
      </c>
      <c r="AB38" s="130" t="n">
        <v>24138716.612</v>
      </c>
    </row>
    <row r="39" customFormat="false" ht="14.25" hidden="false" customHeight="true" outlineLevel="0" collapsed="false">
      <c r="P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</row>
    <row r="40" customFormat="false" ht="14.25" hidden="false" customHeight="true" outlineLevel="0" collapsed="false">
      <c r="A40" s="24" t="s">
        <v>33</v>
      </c>
      <c r="B40" s="117" t="n">
        <v>670882.199700005</v>
      </c>
      <c r="C40" s="117" t="n">
        <v>406825.346200003</v>
      </c>
      <c r="D40" s="117" t="n">
        <v>437918.572000002</v>
      </c>
      <c r="E40" s="117" t="n">
        <v>549545.830000007</v>
      </c>
      <c r="F40" s="117" t="n">
        <v>729180.694700011</v>
      </c>
      <c r="G40" s="117" t="n">
        <v>452295.980000005</v>
      </c>
      <c r="H40" s="117" t="n">
        <v>486312.520000005</v>
      </c>
      <c r="I40" s="117" t="n">
        <v>495074.58</v>
      </c>
      <c r="J40" s="117" t="n">
        <v>465794.42</v>
      </c>
      <c r="K40" s="117" t="n">
        <v>417469.78</v>
      </c>
      <c r="L40" s="117" t="n">
        <v>507426.01</v>
      </c>
      <c r="M40" s="117" t="n">
        <v>453051.69</v>
      </c>
      <c r="N40" s="117" t="n">
        <v>6071777.62260004</v>
      </c>
      <c r="P40" s="117" t="n">
        <v>1515626.11790001</v>
      </c>
      <c r="R40" s="117" t="n">
        <v>1077707.54590001</v>
      </c>
      <c r="S40" s="117" t="n">
        <v>1515626.11790001</v>
      </c>
      <c r="T40" s="117" t="n">
        <v>2065171.94790002</v>
      </c>
      <c r="U40" s="117" t="n">
        <v>2794352.64260003</v>
      </c>
      <c r="V40" s="117" t="n">
        <v>3246648.62260003</v>
      </c>
      <c r="W40" s="117" t="n">
        <v>3732961.14260004</v>
      </c>
      <c r="X40" s="117" t="n">
        <v>4228035.72260004</v>
      </c>
      <c r="Y40" s="117" t="n">
        <v>4693830.14260004</v>
      </c>
      <c r="Z40" s="117" t="n">
        <v>5111299.92260004</v>
      </c>
      <c r="AA40" s="117" t="n">
        <v>5618725.93260004</v>
      </c>
      <c r="AB40" s="117" t="n">
        <v>6071777.62260004</v>
      </c>
    </row>
    <row r="41" customFormat="false" ht="14.25" hidden="false" customHeight="true" outlineLevel="0" collapsed="false">
      <c r="A41" s="24" t="s">
        <v>34</v>
      </c>
      <c r="B41" s="117" t="n">
        <v>54489.89</v>
      </c>
      <c r="C41" s="117" t="n">
        <v>65962.26</v>
      </c>
      <c r="D41" s="117" t="n">
        <v>58257.29</v>
      </c>
      <c r="E41" s="117" t="n">
        <v>75168</v>
      </c>
      <c r="F41" s="117" t="n">
        <v>80577.77</v>
      </c>
      <c r="G41" s="117" t="n">
        <v>87191.65</v>
      </c>
      <c r="H41" s="117" t="n">
        <v>59921.68</v>
      </c>
      <c r="I41" s="117" t="n">
        <v>73631.74</v>
      </c>
      <c r="J41" s="117" t="n">
        <v>64918.49</v>
      </c>
      <c r="K41" s="117" t="n">
        <v>61390.42</v>
      </c>
      <c r="L41" s="117" t="n">
        <v>85930.39</v>
      </c>
      <c r="M41" s="117" t="n">
        <v>61250.28</v>
      </c>
      <c r="N41" s="117" t="n">
        <v>828689.86</v>
      </c>
      <c r="P41" s="117" t="n">
        <v>178709.44</v>
      </c>
      <c r="R41" s="117" t="n">
        <v>120452.15</v>
      </c>
      <c r="S41" s="117" t="n">
        <v>178709.44</v>
      </c>
      <c r="T41" s="117" t="n">
        <v>253877.44</v>
      </c>
      <c r="U41" s="117" t="n">
        <v>334455.21</v>
      </c>
      <c r="V41" s="117" t="n">
        <v>421646.86</v>
      </c>
      <c r="W41" s="117" t="n">
        <v>481568.54</v>
      </c>
      <c r="X41" s="117" t="n">
        <v>555200.28</v>
      </c>
      <c r="Y41" s="117" t="n">
        <v>620118.77</v>
      </c>
      <c r="Z41" s="117" t="n">
        <v>681509.19</v>
      </c>
      <c r="AA41" s="117" t="n">
        <v>767439.58</v>
      </c>
      <c r="AB41" s="117" t="n">
        <v>828689.86</v>
      </c>
    </row>
    <row r="42" customFormat="false" ht="14.25" hidden="false" customHeight="true" outlineLevel="0" collapsed="false">
      <c r="A42" s="24"/>
      <c r="B42" s="117" t="n">
        <v>119217.150299998</v>
      </c>
      <c r="C42" s="117" t="n">
        <v>124780.413800003</v>
      </c>
      <c r="D42" s="117" t="n">
        <v>142270.31</v>
      </c>
      <c r="E42" s="117" t="n">
        <v>156651</v>
      </c>
      <c r="F42" s="117" t="n">
        <v>167994.485300001</v>
      </c>
      <c r="G42" s="117" t="n">
        <v>150344.74</v>
      </c>
      <c r="H42" s="117" t="n">
        <v>212334.85</v>
      </c>
      <c r="I42" s="117" t="n">
        <v>173225.78</v>
      </c>
      <c r="J42" s="117" t="n">
        <v>125330.66</v>
      </c>
      <c r="K42" s="117" t="n">
        <v>133588.09</v>
      </c>
      <c r="L42" s="117" t="n">
        <v>146745.42</v>
      </c>
      <c r="M42" s="117" t="n">
        <v>136093.32</v>
      </c>
      <c r="N42" s="117" t="n">
        <v>1788576.2194</v>
      </c>
      <c r="P42" s="117" t="n">
        <v>386267.874100001</v>
      </c>
      <c r="R42" s="117" t="n">
        <v>243997.564100001</v>
      </c>
      <c r="S42" s="117" t="n">
        <v>386267.874100001</v>
      </c>
      <c r="T42" s="117" t="n">
        <v>542918.874100001</v>
      </c>
      <c r="U42" s="117" t="n">
        <v>710913.359400002</v>
      </c>
      <c r="V42" s="117" t="n">
        <v>861258.099400002</v>
      </c>
      <c r="W42" s="117" t="n">
        <v>1073592.9494</v>
      </c>
      <c r="X42" s="117" t="n">
        <v>1246818.7294</v>
      </c>
      <c r="Y42" s="117" t="n">
        <v>1372149.3894</v>
      </c>
      <c r="Z42" s="117" t="n">
        <v>1505737.4794</v>
      </c>
      <c r="AA42" s="117" t="n">
        <v>1652482.8994</v>
      </c>
      <c r="AB42" s="117" t="n">
        <v>1788576.2194</v>
      </c>
    </row>
    <row r="43" customFormat="false" ht="14.25" hidden="false" customHeight="true" outlineLevel="0" collapsed="false">
      <c r="B43" s="131" t="n">
        <v>844589.240000003</v>
      </c>
      <c r="C43" s="131" t="n">
        <v>597568.020000006</v>
      </c>
      <c r="D43" s="131" t="n">
        <v>638446.172000002</v>
      </c>
      <c r="E43" s="131" t="n">
        <v>781364.830000007</v>
      </c>
      <c r="F43" s="131" t="n">
        <v>977752.950000011</v>
      </c>
      <c r="G43" s="131" t="n">
        <v>689832.370000005</v>
      </c>
      <c r="H43" s="131" t="n">
        <v>758569.050000005</v>
      </c>
      <c r="I43" s="131" t="n">
        <v>741932.1</v>
      </c>
      <c r="J43" s="131" t="n">
        <v>656043.57</v>
      </c>
      <c r="K43" s="131" t="n">
        <v>612448.29</v>
      </c>
      <c r="L43" s="131" t="n">
        <v>740101.82</v>
      </c>
      <c r="M43" s="131" t="n">
        <v>650395.29</v>
      </c>
      <c r="N43" s="131" t="n">
        <v>8689043.70200004</v>
      </c>
      <c r="P43" s="117" t="n">
        <v>2080603.43200001</v>
      </c>
      <c r="R43" s="131" t="n">
        <v>1442157.26000001</v>
      </c>
      <c r="S43" s="131" t="n">
        <v>2080603.43200001</v>
      </c>
      <c r="T43" s="131" t="n">
        <v>2861968.26200002</v>
      </c>
      <c r="U43" s="131" t="n">
        <v>3839721.21200003</v>
      </c>
      <c r="V43" s="131" t="n">
        <v>4529553.58200003</v>
      </c>
      <c r="W43" s="131" t="n">
        <v>5288122.63200004</v>
      </c>
      <c r="X43" s="131" t="n">
        <v>6030054.73200004</v>
      </c>
      <c r="Y43" s="131" t="n">
        <v>6686098.30200004</v>
      </c>
      <c r="Z43" s="131" t="n">
        <v>7298546.59200004</v>
      </c>
      <c r="AA43" s="131" t="n">
        <v>8038648.41200004</v>
      </c>
      <c r="AB43" s="131" t="n">
        <v>8689043.70200004</v>
      </c>
    </row>
    <row r="44" customFormat="false" ht="14.25" hidden="false" customHeight="true" outlineLevel="0" collapsed="false"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</row>
    <row r="46" customFormat="false" ht="14.25" hidden="false" customHeight="true" outlineLevel="0" collapsed="false">
      <c r="A46" s="24" t="s">
        <v>35</v>
      </c>
      <c r="B46" s="118" t="n">
        <f aca="false">B42+B15</f>
        <v>136160.380299998</v>
      </c>
      <c r="C46" s="118" t="n">
        <f aca="false">C42+C15</f>
        <v>133409.823800003</v>
      </c>
      <c r="D46" s="118" t="n">
        <f aca="false">D42+D15</f>
        <v>153012.03</v>
      </c>
      <c r="E46" s="118" t="n">
        <f aca="false">E42+E15</f>
        <v>173213.55</v>
      </c>
      <c r="F46" s="118" t="n">
        <f aca="false">F42+F15</f>
        <v>186515.155300001</v>
      </c>
      <c r="G46" s="118" t="n">
        <f aca="false">G42+G15</f>
        <v>160476.44</v>
      </c>
      <c r="H46" s="118" t="n">
        <f aca="false">H42+H15</f>
        <v>221525.16</v>
      </c>
      <c r="I46" s="118" t="n">
        <f aca="false">I42+I15</f>
        <v>179847.32</v>
      </c>
      <c r="J46" s="118" t="n">
        <f aca="false">J42+J15</f>
        <v>134403.73</v>
      </c>
      <c r="K46" s="118" t="n">
        <f aca="false">K42+K15</f>
        <v>150616.42</v>
      </c>
      <c r="L46" s="118" t="n">
        <f aca="false">L42+L15</f>
        <v>167763.05</v>
      </c>
      <c r="M46" s="118" t="n">
        <f aca="false">M42+M15</f>
        <v>144058.52</v>
      </c>
      <c r="N46" s="118" t="n">
        <f aca="false">N42+N15</f>
        <v>1941001.5794</v>
      </c>
      <c r="P46" s="118" t="n">
        <f aca="false">P42+P15</f>
        <v>422582.234100001</v>
      </c>
      <c r="R46" s="118" t="n">
        <f aca="false">R42+R15</f>
        <v>269570.204100001</v>
      </c>
      <c r="S46" s="118" t="n">
        <f aca="false">S42+S15</f>
        <v>422582.234100001</v>
      </c>
      <c r="T46" s="118" t="n">
        <f aca="false">T42+T15</f>
        <v>595795.784100001</v>
      </c>
      <c r="U46" s="118" t="n">
        <f aca="false">U42+U15</f>
        <v>782310.939400002</v>
      </c>
      <c r="V46" s="118" t="n">
        <f aca="false">V42+V15</f>
        <v>942787.379400002</v>
      </c>
      <c r="W46" s="118" t="n">
        <f aca="false">W42+W15</f>
        <v>1164312.5394</v>
      </c>
      <c r="X46" s="118" t="n">
        <f aca="false">X42+X15</f>
        <v>1344159.8594</v>
      </c>
      <c r="Y46" s="118" t="n">
        <f aca="false">Y42+Y15</f>
        <v>1478563.5894</v>
      </c>
      <c r="Z46" s="118" t="n">
        <f aca="false">Z42+Z15</f>
        <v>1629180.0094</v>
      </c>
      <c r="AA46" s="118" t="n">
        <f aca="false">AA42+AA15</f>
        <v>1796943.0594</v>
      </c>
      <c r="AB46" s="118" t="n">
        <f aca="false">AB42+AB15</f>
        <v>1941001.5794</v>
      </c>
    </row>
    <row r="47" customFormat="false" ht="14.25" hidden="false" customHeight="true" outlineLevel="0" collapsed="false"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G29" activeCellId="0" sqref="G29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5.38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167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n">
        <v>1.2024</v>
      </c>
      <c r="F2" s="133" t="n">
        <v>1.2025</v>
      </c>
      <c r="G2" s="133" t="n">
        <v>1.2026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VLOOKUP($A3,'2024'!$A:$O,2,0)</f>
        <v>-594.08</v>
      </c>
      <c r="F3" s="138" t="n">
        <f aca="false">VLOOKUP($A3,'2025'!$A:$O,2,0)</f>
        <v>58427.8</v>
      </c>
      <c r="G3" s="138" t="n">
        <v>63104</v>
      </c>
      <c r="H3" s="139" t="n">
        <f aca="false">G3/F3-1</f>
        <v>0.0800338195174215</v>
      </c>
      <c r="I3" s="140" t="n">
        <f aca="false">G3-F3</f>
        <v>4676.2</v>
      </c>
      <c r="J3" s="141" t="n">
        <f aca="false">VLOOKUP(B3,'תקציב  '!$B:$S,4,0)*1</f>
        <v>176666.666666667</v>
      </c>
      <c r="K3" s="139" t="n">
        <f aca="false">G3/J3-1</f>
        <v>-0.642807547169812</v>
      </c>
      <c r="L3" s="142" t="n">
        <f aca="false">G3-J3</f>
        <v>-113562.666666667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VLOOKUP(B4,'2024'!$A:$O,2,0)</f>
        <v>452441.08</v>
      </c>
      <c r="F4" s="138" t="n">
        <f aca="false">VLOOKUP($A4,'2025'!$A:$O,2,0)</f>
        <v>670882.199700005</v>
      </c>
      <c r="G4" s="138" t="n">
        <f aca="false">465886*0.91</f>
        <v>423956.26</v>
      </c>
      <c r="H4" s="139" t="n">
        <f aca="false">G4/F4-1</f>
        <v>-0.36806154614092</v>
      </c>
      <c r="I4" s="140" t="n">
        <f aca="false">G4-F4</f>
        <v>-246925.939700005</v>
      </c>
      <c r="J4" s="141" t="n">
        <f aca="false">VLOOKUP(B4,'תקציב  '!$B:$S,4,0)*1</f>
        <v>536666.666666667</v>
      </c>
      <c r="K4" s="139" t="n">
        <f aca="false">G4/J4-1</f>
        <v>-0.210019391304348</v>
      </c>
      <c r="L4" s="142" t="n">
        <f aca="false">G4-J4</f>
        <v>-112710.406666667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VLOOKUP(B5,'2024'!$A:$O,2,0)</f>
        <v>63301.42</v>
      </c>
      <c r="F5" s="138" t="n">
        <f aca="false">VLOOKUP($A5,'2025'!$A:$O,2,0)</f>
        <v>54489.89</v>
      </c>
      <c r="G5" s="138" t="n">
        <f aca="false">(74936-611)*0.91</f>
        <v>67635.75</v>
      </c>
      <c r="H5" s="139" t="n">
        <f aca="false">G5/F5-1</f>
        <v>0.241253193941115</v>
      </c>
      <c r="I5" s="140" t="n">
        <f aca="false">G5-F5</f>
        <v>13145.86</v>
      </c>
      <c r="J5" s="141" t="n">
        <f aca="false">VLOOKUP(B5,'תקציב  '!$B:$S,4,0)*1</f>
        <v>73000</v>
      </c>
      <c r="K5" s="139" t="n">
        <f aca="false">G5/J5-1</f>
        <v>-0.0734828767123288</v>
      </c>
      <c r="L5" s="142" t="n">
        <f aca="false">G5-J5</f>
        <v>-5364.25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VLOOKUP(B6,'2024'!$A:$O,2,0)</f>
        <v>164714.584</v>
      </c>
      <c r="F6" s="138" t="n">
        <f aca="false">VLOOKUP($A6,'2025'!$A:$O,2,0)</f>
        <v>136160.380299998</v>
      </c>
      <c r="G6" s="138" t="n">
        <f aca="false">675284.8-G5-G4+8477</f>
        <v>192169.79</v>
      </c>
      <c r="H6" s="139" t="n">
        <f aca="false">G6/F6-1</f>
        <v>0.411348804818246</v>
      </c>
      <c r="I6" s="140" t="n">
        <f aca="false">G6-F6</f>
        <v>56009.409700002</v>
      </c>
      <c r="J6" s="141" t="n">
        <f aca="false">VLOOKUP(A6,'תקציב  '!$B:$S,4,0)*1</f>
        <v>152333.333333333</v>
      </c>
      <c r="K6" s="139" t="n">
        <f aca="false">G6/J6-1</f>
        <v>0.261508468271338</v>
      </c>
      <c r="L6" s="142" t="n">
        <f aca="false">G6-J6</f>
        <v>39836.456666667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VLOOKUP(A7,'2024'!$A:$O,2,0)</f>
        <v>414961</v>
      </c>
      <c r="F7" s="138" t="n">
        <f aca="false">VLOOKUP($A7,'2025'!$A:$O,2,0)</f>
        <v>326467.5</v>
      </c>
      <c r="G7" s="138" t="n">
        <v>320186.2</v>
      </c>
      <c r="H7" s="139" t="n">
        <f aca="false">G7/F7-1</f>
        <v>-0.0192402000199101</v>
      </c>
      <c r="I7" s="140" t="n">
        <f aca="false">G7-F7</f>
        <v>-6281.29999999999</v>
      </c>
      <c r="J7" s="141" t="n">
        <f aca="false">VLOOKUP(B7,'תקציב  '!$B:$S,4,0)*1</f>
        <v>365000</v>
      </c>
      <c r="K7" s="139" t="n">
        <f aca="false">G7/J7-1</f>
        <v>-0.122777534246575</v>
      </c>
      <c r="L7" s="142" t="n">
        <f aca="false">G7-J7</f>
        <v>-44813.8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VLOOKUP(A8,'2024'!$A:$O,2,0)</f>
        <v>74817.97</v>
      </c>
      <c r="F8" s="138" t="n">
        <f aca="false">VLOOKUP($A8,'2025'!$A:$O,2,0)</f>
        <v>57834.64</v>
      </c>
      <c r="G8" s="138" t="n">
        <v>60425.14</v>
      </c>
      <c r="H8" s="139" t="n">
        <f aca="false">G8/F8-1</f>
        <v>0.0447914952008002</v>
      </c>
      <c r="I8" s="140" t="n">
        <f aca="false">G8-F8</f>
        <v>2590.5</v>
      </c>
      <c r="J8" s="141" t="n">
        <f aca="false">VLOOKUP(B8,'תקציב  '!$B:$S,4,0)*1</f>
        <v>83333.3333333333</v>
      </c>
      <c r="K8" s="139" t="n">
        <f aca="false">G8/J8-1</f>
        <v>-0.27489832</v>
      </c>
      <c r="L8" s="142" t="n">
        <f aca="false">G8-J8</f>
        <v>-22908.1933333333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VLOOKUP(A9,'2024'!$A:$O,2,0)</f>
        <v>91890.1</v>
      </c>
      <c r="F9" s="138" t="n">
        <f aca="false">VLOOKUP($A9,'2025'!$A:$O,2,0)</f>
        <v>72633.3</v>
      </c>
      <c r="G9" s="138" t="n">
        <v>86618.03</v>
      </c>
      <c r="H9" s="139" t="n">
        <f aca="false">G9/F9-1</f>
        <v>0.192538821725021</v>
      </c>
      <c r="I9" s="140" t="n">
        <f aca="false">G9-F9</f>
        <v>13984.73</v>
      </c>
      <c r="J9" s="141" t="n">
        <f aca="false">VLOOKUP(B9,'תקציב  '!$B:$S,4,0)*1</f>
        <v>127583.333333333</v>
      </c>
      <c r="K9" s="139" t="n">
        <f aca="false">G9/J9-1</f>
        <v>-0.321086636185498</v>
      </c>
      <c r="L9" s="142" t="n">
        <f aca="false">G9-J9</f>
        <v>-40965.303333333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VLOOKUP(A10,'2024'!$A:$O,2,0)</f>
        <v>15878.93</v>
      </c>
      <c r="F10" s="138" t="n">
        <f aca="false">VLOOKUP($A10,'2025'!$A:$O,2,0)</f>
        <v>16402.68</v>
      </c>
      <c r="G10" s="138" t="n">
        <v>18073.66</v>
      </c>
      <c r="H10" s="139" t="n">
        <f aca="false">G10/F10-1</f>
        <v>0.101872376953035</v>
      </c>
      <c r="I10" s="140" t="n">
        <f aca="false">G10-F10</f>
        <v>1670.98</v>
      </c>
      <c r="J10" s="141" t="n">
        <f aca="false">VLOOKUP(B10,'תקציב  '!$B:$S,4,0)*1</f>
        <v>15833.3333333333</v>
      </c>
      <c r="K10" s="139" t="n">
        <f aca="false">G10/J10-1</f>
        <v>0.141494315789476</v>
      </c>
      <c r="L10" s="142" t="n">
        <f aca="false">G10-J10</f>
        <v>2240.3266666667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VLOOKUP(A11,'2024'!$A:$O,2,0)</f>
        <v>5667.68</v>
      </c>
      <c r="F11" s="138" t="n">
        <f aca="false">VLOOKUP($A11,'2025'!$A:$O,2,0)</f>
        <v>6025.5</v>
      </c>
      <c r="G11" s="138" t="n">
        <v>5894.68</v>
      </c>
      <c r="H11" s="139" t="n">
        <f aca="false">G11/F11-1</f>
        <v>-0.0217110613227117</v>
      </c>
      <c r="I11" s="140" t="n">
        <f aca="false">G11-F11</f>
        <v>-130.82</v>
      </c>
      <c r="J11" s="141" t="n">
        <f aca="false">VLOOKUP(B11,'תקציב  '!$B:$S,4,0)*1</f>
        <v>6333.33333333333</v>
      </c>
      <c r="K11" s="139" t="n">
        <f aca="false">G11/J11-1</f>
        <v>-0.0692610526315785</v>
      </c>
      <c r="L11" s="142" t="n">
        <f aca="false">G11-J11</f>
        <v>-438.65333333333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VLOOKUP(A12,'2024'!$A:$O,2,0)</f>
        <v>0</v>
      </c>
      <c r="F12" s="138" t="n">
        <f aca="false">VLOOKUP($A12,'2025'!$A:$O,2,0)</f>
        <v>1162.85</v>
      </c>
      <c r="G12" s="138" t="n">
        <v>810.6</v>
      </c>
      <c r="H12" s="139" t="n">
        <f aca="false">G12/F12-1</f>
        <v>-0.302919551102894</v>
      </c>
      <c r="I12" s="140" t="n">
        <f aca="false">G12-F12</f>
        <v>-352.25</v>
      </c>
      <c r="J12" s="141" t="n">
        <f aca="false">VLOOKUP(B12,'תקציב  '!$B:$S,4,0)*1</f>
        <v>0</v>
      </c>
      <c r="K12" s="139"/>
      <c r="L12" s="142" t="n">
        <f aca="false">G12-J12</f>
        <v>810.6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VLOOKUP(A13,'2024'!$A:$O,2,0)</f>
        <v>0</v>
      </c>
      <c r="F13" s="138" t="n">
        <f aca="false">VLOOKUP($A13,'2025'!$A:$O,2,0)</f>
        <v>0</v>
      </c>
      <c r="G13" s="138"/>
      <c r="H13" s="139" t="str">
        <f aca="false">IFERROR(G13/F13-1,"-")</f>
        <v>-</v>
      </c>
      <c r="I13" s="140" t="n">
        <f aca="false">G13-F13</f>
        <v>0</v>
      </c>
      <c r="J13" s="141" t="n">
        <f aca="false">VLOOKUP(B13,'תקציב  '!$B:$S,4,0)*1</f>
        <v>0</v>
      </c>
      <c r="K13" s="139"/>
      <c r="L13" s="142" t="n">
        <f aca="false">G13-J13</f>
        <v>0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VLOOKUP(A14,'2024'!$A:$O,2,0)</f>
        <v>0</v>
      </c>
      <c r="F14" s="138" t="n">
        <f aca="false">VLOOKUP($A14,'2025'!$A:$O,2,0)</f>
        <v>0</v>
      </c>
      <c r="G14" s="138" t="n">
        <v>2523.6</v>
      </c>
      <c r="H14" s="139" t="str">
        <f aca="false">IFERROR(G14/F14-1,"-")</f>
        <v>-</v>
      </c>
      <c r="I14" s="140" t="n">
        <f aca="false">G14-F14</f>
        <v>2523.6</v>
      </c>
      <c r="J14" s="141" t="n">
        <f aca="false">VLOOKUP(B14,'תקציב  '!$B:$S,4,0)*1</f>
        <v>0</v>
      </c>
      <c r="K14" s="139"/>
      <c r="L14" s="142" t="n">
        <f aca="false">G14-J14</f>
        <v>2523.6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VLOOKUP(A15,'2024'!$A:$O,2,0)</f>
        <v>4135.49</v>
      </c>
      <c r="F15" s="138" t="n">
        <f aca="false">VLOOKUP($A15,'2025'!$A:$O,2,0)</f>
        <v>15213.91</v>
      </c>
      <c r="G15" s="138" t="n">
        <v>11467.92</v>
      </c>
      <c r="H15" s="139" t="n">
        <f aca="false">G15/F15-1</f>
        <v>-0.246221385560977</v>
      </c>
      <c r="I15" s="140" t="n">
        <f aca="false">G15-F15</f>
        <v>-3745.99</v>
      </c>
      <c r="J15" s="141" t="n">
        <f aca="false">VLOOKUP(B15,'תקציב  '!$B:$S,4,0)*1</f>
        <v>16666.6666666667</v>
      </c>
      <c r="K15" s="139" t="n">
        <f aca="false">G15/J15-1</f>
        <v>-0.311924800000001</v>
      </c>
      <c r="L15" s="142" t="n">
        <f aca="false">G15-J15</f>
        <v>-5198.7466666667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SUM(E3:E15)+E50</f>
        <v>1287214.174</v>
      </c>
      <c r="F16" s="144" t="n">
        <f aca="false">SUM(F3:F15)+F50</f>
        <v>1415700.65</v>
      </c>
      <c r="G16" s="144" t="n">
        <f aca="false">SUM(G3:G15)+G50</f>
        <v>1252865.63</v>
      </c>
      <c r="H16" s="145" t="n">
        <f aca="false">G16/F16-1</f>
        <v>-0.115020799065115</v>
      </c>
      <c r="I16" s="144" t="n">
        <f aca="false">SUM(I3:I15)+I50</f>
        <v>-162835.020000003</v>
      </c>
      <c r="J16" s="144" t="n">
        <f aca="false">SUM(J3:J15)+J50</f>
        <v>1553416.66666667</v>
      </c>
      <c r="K16" s="145" t="n">
        <f aca="false">G16/J16-1</f>
        <v>-0.193477412156</v>
      </c>
      <c r="L16" s="144" t="n">
        <f aca="false">SUM(L3:L15)+L50</f>
        <v>-300551.036666667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VLOOKUP(A17,'2024'!$A:$O,2,0)</f>
        <v>42663.04</v>
      </c>
      <c r="F17" s="138" t="n">
        <f aca="false">VLOOKUP($A17,'2025'!$A:$O,2,0)</f>
        <v>92988.1699999996</v>
      </c>
      <c r="G17" s="138" t="n">
        <v>212354.119999999</v>
      </c>
      <c r="H17" s="139" t="n">
        <f aca="false">G17/F17-1</f>
        <v>1.28366812681656</v>
      </c>
      <c r="I17" s="140" t="n">
        <f aca="false">G17-F17</f>
        <v>119365.949999999</v>
      </c>
      <c r="J17" s="141" t="n">
        <f aca="false">VLOOKUP(B17,'תקציב  '!$B:$S,4,0)*1</f>
        <v>296610.169491525</v>
      </c>
      <c r="K17" s="139" t="n">
        <f aca="false">G17/J17-1</f>
        <v>-0.284063252571431</v>
      </c>
      <c r="L17" s="142" t="n">
        <f aca="false">G17-J17</f>
        <v>-84256.049491526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VLOOKUP(A18,'2024'!$A:$O,2,0)</f>
        <v>1654.88</v>
      </c>
      <c r="F18" s="138" t="n">
        <f aca="false">VLOOKUP($A18,'2025'!$A:$O,2,0)</f>
        <v>2032.3</v>
      </c>
      <c r="G18" s="138" t="n">
        <v>1274.4</v>
      </c>
      <c r="H18" s="139" t="n">
        <f aca="false">G18/F18-1</f>
        <v>-0.372927225311224</v>
      </c>
      <c r="I18" s="140" t="n">
        <f aca="false">G18-F18</f>
        <v>-757.9</v>
      </c>
      <c r="J18" s="141" t="n">
        <f aca="false">VLOOKUP(B18,'תקציב  '!$B:$S,4,0)*1</f>
        <v>2536.92833333333</v>
      </c>
      <c r="K18" s="139" t="n">
        <f aca="false">G18/J18-1</f>
        <v>-0.497660228215617</v>
      </c>
      <c r="L18" s="142" t="n">
        <f aca="false">G18-J18</f>
        <v>-1262.52833333333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1331532.094</v>
      </c>
      <c r="F19" s="146" t="n">
        <f aca="false">F16+F17+F18</f>
        <v>1510721.12</v>
      </c>
      <c r="G19" s="146" t="n">
        <f aca="false">G16+G17+G18</f>
        <v>1466494.15</v>
      </c>
      <c r="H19" s="147" t="n">
        <f aca="false">G19/F19-1</f>
        <v>-0.0292754032590764</v>
      </c>
      <c r="I19" s="146" t="n">
        <f aca="false">I16+I17+I18</f>
        <v>-44226.9700000036</v>
      </c>
      <c r="J19" s="146" t="n">
        <f aca="false">J16+J17+J18</f>
        <v>1852563.76449153</v>
      </c>
      <c r="K19" s="147" t="n">
        <f aca="false">G19/J19-1</f>
        <v>-0.208397476994532</v>
      </c>
      <c r="L19" s="146" t="n">
        <f aca="false">L16+L17+L18</f>
        <v>-386069.614491526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VLOOKUP(A20,'2024'!$A:$O,2,0)</f>
        <v>391520.95</v>
      </c>
      <c r="F20" s="138" t="n">
        <f aca="false">VLOOKUP($A20,'2025'!$A:$O,2,0)</f>
        <v>187395.64</v>
      </c>
      <c r="G20" s="138" t="n">
        <v>178026.69</v>
      </c>
      <c r="H20" s="139" t="n">
        <f aca="false">G20/F20-1</f>
        <v>-0.0499955601955308</v>
      </c>
      <c r="I20" s="140" t="n">
        <f aca="false">G20-F20</f>
        <v>-9368.95000000001</v>
      </c>
      <c r="J20" s="141" t="n">
        <f aca="false">VLOOKUP(B20,'תקציב  '!$B:$S,4,0)*1</f>
        <v>272275.1101125</v>
      </c>
      <c r="K20" s="139" t="n">
        <f aca="false">G20/J20-1</f>
        <v>-0.346151435118539</v>
      </c>
      <c r="L20" s="142" t="n">
        <f aca="false">G20-J20</f>
        <v>-94248.4201125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VLOOKUP(A21,'2024'!$A:$O,2,0)</f>
        <v>203.73</v>
      </c>
      <c r="F21" s="138" t="n">
        <f aca="false">VLOOKUP($A21,'2025'!$A:$O,2,0)</f>
        <v>0</v>
      </c>
      <c r="G21" s="138"/>
      <c r="H21" s="139" t="str">
        <f aca="false">IFERROR(G21/F21-1,"-")</f>
        <v>-</v>
      </c>
      <c r="I21" s="140" t="n">
        <f aca="false">G21-F21</f>
        <v>0</v>
      </c>
      <c r="J21" s="141" t="n">
        <f aca="false">VLOOKUP(B21,'תקציב  '!$B:$S,4,0)*1</f>
        <v>0</v>
      </c>
      <c r="K21" s="139" t="str">
        <f aca="false">IFERROR(G21/J21-1,"-")</f>
        <v>-</v>
      </c>
      <c r="L21" s="142" t="n">
        <f aca="false">G21-J21</f>
        <v>0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VLOOKUP(A22,'2024'!$A:$O,2,0)</f>
        <v>49158.59</v>
      </c>
      <c r="F22" s="138" t="n">
        <f aca="false">VLOOKUP($A22,'2025'!$A:$O,2,0)</f>
        <v>18517.61</v>
      </c>
      <c r="G22" s="138" t="n">
        <v>124895.37</v>
      </c>
      <c r="H22" s="139" t="n">
        <f aca="false">G22/F22-1</f>
        <v>5.74468087404368</v>
      </c>
      <c r="I22" s="140" t="n">
        <f aca="false">G22-F22</f>
        <v>106377.76</v>
      </c>
      <c r="J22" s="141" t="n">
        <f aca="false">VLOOKUP(B22,'תקציב  '!$B:$S,4,0)*1</f>
        <v>124895.37</v>
      </c>
      <c r="K22" s="139" t="n">
        <f aca="false">G22/J22-1</f>
        <v>0</v>
      </c>
      <c r="L22" s="142" t="n">
        <f aca="false">G22-J22</f>
        <v>0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VLOOKUP(A23,'2024'!$A:$O,2,0)</f>
        <v>68604.55</v>
      </c>
      <c r="F23" s="138" t="n">
        <f aca="false">VLOOKUP($A23,'2025'!$A:$O,2,0)</f>
        <v>0</v>
      </c>
      <c r="G23" s="138" t="n">
        <v>67158.97</v>
      </c>
      <c r="H23" s="139" t="str">
        <f aca="false">IFERROR(G23/F23-1,"-")</f>
        <v>-</v>
      </c>
      <c r="I23" s="140" t="n">
        <f aca="false">G23-F23</f>
        <v>67158.97</v>
      </c>
      <c r="J23" s="141" t="n">
        <f aca="false">VLOOKUP(B23,'תקציב  '!$B:$S,4,0)*1</f>
        <v>67158.97</v>
      </c>
      <c r="K23" s="139" t="n">
        <f aca="false">G23/J23-1</f>
        <v>0</v>
      </c>
      <c r="L23" s="142" t="n">
        <f aca="false">G23-J23</f>
        <v>0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VLOOKUP(A24,'2024'!$A:$O,2,0)</f>
        <v>15923.68</v>
      </c>
      <c r="F24" s="138" t="n">
        <f aca="false">VLOOKUP($A24,'2025'!$A:$O,2,0)</f>
        <v>0</v>
      </c>
      <c r="G24" s="138" t="n">
        <v>15774.92</v>
      </c>
      <c r="H24" s="139" t="str">
        <f aca="false">IFERROR(G24/F24-1,"-")</f>
        <v>-</v>
      </c>
      <c r="I24" s="140" t="n">
        <f aca="false">G24-F24</f>
        <v>15774.92</v>
      </c>
      <c r="J24" s="141" t="n">
        <f aca="false">VLOOKUP(B24,'תקציב  '!$B:$S,4,0)*1</f>
        <v>15774.92</v>
      </c>
      <c r="K24" s="139" t="n">
        <f aca="false">G24/J24-1</f>
        <v>0</v>
      </c>
      <c r="L24" s="142" t="n">
        <f aca="false">G24-J24</f>
        <v>0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VLOOKUP(A25,'2024'!$A:$O,2,0)</f>
        <v>50777.76</v>
      </c>
      <c r="F25" s="138" t="n">
        <f aca="false">VLOOKUP($A25,'2025'!$A:$O,2,0)</f>
        <v>0</v>
      </c>
      <c r="G25" s="138"/>
      <c r="H25" s="139" t="str">
        <f aca="false">IFERROR(G25/F25-1,"-")</f>
        <v>-</v>
      </c>
      <c r="I25" s="140" t="n">
        <f aca="false">G25-F25</f>
        <v>0</v>
      </c>
      <c r="J25" s="141" t="n">
        <f aca="false">VLOOKUP(B25,'תקציב  '!$B:$S,4,0)*1</f>
        <v>0</v>
      </c>
      <c r="K25" s="139" t="str">
        <f aca="false">IFERROR(G25/J25-1,"-")</f>
        <v>-</v>
      </c>
      <c r="L25" s="142" t="n">
        <f aca="false">G25-J25</f>
        <v>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VLOOKUP(A26,'2024'!$A:$O,2,0)</f>
        <v>249206.12</v>
      </c>
      <c r="F26" s="138" t="n">
        <f aca="false">VLOOKUP($A26,'2025'!$A:$O,2,0)</f>
        <v>0</v>
      </c>
      <c r="G26" s="138" t="n">
        <v>-1269.06</v>
      </c>
      <c r="H26" s="139" t="str">
        <f aca="false">IFERROR(G26/F26-1,"-")</f>
        <v>-</v>
      </c>
      <c r="I26" s="140" t="n">
        <f aca="false">G26-F26</f>
        <v>-1269.06</v>
      </c>
      <c r="J26" s="141" t="n">
        <f aca="false">VLOOKUP(B26,'תקציב  '!$B:$S,4,0)*1</f>
        <v>0</v>
      </c>
      <c r="K26" s="139" t="str">
        <f aca="false">IFERROR(G26/J26-1,"-")</f>
        <v>-</v>
      </c>
      <c r="L26" s="142" t="n">
        <f aca="false">G26-J26</f>
        <v>-1269.06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VLOOKUP(A27,'2024'!$A:$O,2,0)</f>
        <v>0</v>
      </c>
      <c r="F27" s="138" t="n">
        <f aca="false">VLOOKUP($A27,'2025'!$A:$O,2,0)</f>
        <v>0</v>
      </c>
      <c r="G27" s="138"/>
      <c r="H27" s="139" t="str">
        <f aca="false">IFERROR(G27/F27-1,"-")</f>
        <v>-</v>
      </c>
      <c r="I27" s="140" t="n">
        <f aca="false">G27-F27</f>
        <v>0</v>
      </c>
      <c r="J27" s="141" t="n">
        <f aca="false">VLOOKUP(B27,'תקציב  '!$B:$S,4,0)*1</f>
        <v>0</v>
      </c>
      <c r="K27" s="139" t="str">
        <f aca="false">IFERROR(G27/J27-1,"-")</f>
        <v>-</v>
      </c>
      <c r="L27" s="142" t="n">
        <f aca="false">G27-J27</f>
        <v>0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VLOOKUP(A28,'2024'!$A:$O,2,0)</f>
        <v>0</v>
      </c>
      <c r="F28" s="138" t="n">
        <f aca="false">VLOOKUP($A28,'2025'!$A:$O,2,0)</f>
        <v>0</v>
      </c>
      <c r="G28" s="138"/>
      <c r="H28" s="139" t="str">
        <f aca="false">IFERROR(G28/F28-1,"-")</f>
        <v>-</v>
      </c>
      <c r="I28" s="140" t="n">
        <f aca="false">G28-F28</f>
        <v>0</v>
      </c>
      <c r="J28" s="141" t="n">
        <f aca="false">VLOOKUP(B28,'תקציב  '!$B:$S,4,0)*1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VLOOKUP(A29,'2024'!$A:$O,2,0)</f>
        <v>0</v>
      </c>
      <c r="F29" s="138" t="n">
        <f aca="false">VLOOKUP($A29,'2025'!$A:$O,2,0)</f>
        <v>0</v>
      </c>
      <c r="G29" s="138" t="n">
        <v>27429.74</v>
      </c>
      <c r="H29" s="139" t="str">
        <f aca="false">IFERROR(G29/F29-1,"-")</f>
        <v>-</v>
      </c>
      <c r="I29" s="140" t="n">
        <f aca="false">G29-F29</f>
        <v>27429.74</v>
      </c>
      <c r="J29" s="141" t="n">
        <f aca="false">VLOOKUP(B29,'תקציב  '!$B:$S,4,0)*1</f>
        <v>27429.74</v>
      </c>
      <c r="K29" s="139" t="n">
        <f aca="false">G29/J29-1</f>
        <v>0</v>
      </c>
      <c r="L29" s="142" t="n">
        <f aca="false">G29-J29</f>
        <v>0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VLOOKUP(A30,'2024'!$A:$O,2,0)</f>
        <v>0</v>
      </c>
      <c r="F30" s="138" t="n">
        <f aca="false">VLOOKUP($A30,'2025'!$A:$O,2,0)</f>
        <v>0</v>
      </c>
      <c r="G30" s="138"/>
      <c r="H30" s="139" t="str">
        <f aca="false">IFERROR(G30/F30-1,"-")</f>
        <v>-</v>
      </c>
      <c r="I30" s="140" t="n">
        <f aca="false">G30-F30</f>
        <v>0</v>
      </c>
      <c r="J30" s="141" t="n">
        <f aca="false">VLOOKUP(B30,'תקציב  '!$B:$S,4,0)*1</f>
        <v>0</v>
      </c>
      <c r="K30" s="139" t="str">
        <f aca="false">IFERROR(G30/J30-1,"-")</f>
        <v>-</v>
      </c>
      <c r="L30" s="142" t="n">
        <f aca="false">G30-J30</f>
        <v>0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VLOOKUP(A31,'2024'!$A:$O,2,0)</f>
        <v>0</v>
      </c>
      <c r="F31" s="138" t="n">
        <f aca="false">VLOOKUP($A31,'2025'!$A:$O,2,0)</f>
        <v>19897.57</v>
      </c>
      <c r="G31" s="138"/>
      <c r="H31" s="139" t="n">
        <f aca="false">G31/F31-1</f>
        <v>-1</v>
      </c>
      <c r="I31" s="140" t="n">
        <f aca="false">G31-F31</f>
        <v>-19897.57</v>
      </c>
      <c r="J31" s="141" t="n">
        <f aca="false">VLOOKUP(B31,'תקציב  '!$B:$S,4,0)*1</f>
        <v>0</v>
      </c>
      <c r="K31" s="139" t="str">
        <f aca="false">IFERROR(G31/J31-1,"-")</f>
        <v>-</v>
      </c>
      <c r="L31" s="142" t="n">
        <f aca="false">G31-J31</f>
        <v>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VLOOKUP(A32,'2024'!$A:$O,2,0)</f>
        <v>0</v>
      </c>
      <c r="F32" s="138" t="n">
        <f aca="false">VLOOKUP($A32,'2025'!$A:$O,2,0)</f>
        <v>0</v>
      </c>
      <c r="G32" s="138"/>
      <c r="H32" s="139" t="str">
        <f aca="false">IFERROR(G32/F32-1,"-")</f>
        <v>-</v>
      </c>
      <c r="I32" s="140" t="n">
        <f aca="false">G32-F32</f>
        <v>0</v>
      </c>
      <c r="J32" s="141" t="n">
        <f aca="false">VLOOKUP(B32,'תקציב  '!$B:$S,4,0)*1</f>
        <v>0</v>
      </c>
      <c r="K32" s="139" t="str">
        <f aca="false">IFERROR(G32/J32-1,"-")</f>
        <v>-</v>
      </c>
      <c r="L32" s="142" t="n">
        <f aca="false">G32-J32</f>
        <v>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/>
      <c r="F33" s="138"/>
      <c r="G33" s="138"/>
      <c r="H33" s="139" t="str">
        <f aca="false">IFERROR(G33/F33-1,"-")</f>
        <v>-</v>
      </c>
      <c r="I33" s="140" t="n">
        <f aca="false">G33-F33</f>
        <v>0</v>
      </c>
      <c r="J33" s="141"/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VLOOKUP(A34,'2024'!$A:$O,2,0)</f>
        <v>20732.48</v>
      </c>
      <c r="F34" s="138" t="n">
        <f aca="false">VLOOKUP($A34,'2025'!$A:$O,2,0)</f>
        <v>19111.37</v>
      </c>
      <c r="G34" s="138" t="n">
        <v>18792.66</v>
      </c>
      <c r="H34" s="139" t="n">
        <f aca="false">G34/F34-1</f>
        <v>-0.0166764601386504</v>
      </c>
      <c r="I34" s="140" t="n">
        <f aca="false">G34-F34</f>
        <v>-318.709999999999</v>
      </c>
      <c r="J34" s="141" t="n">
        <f aca="false">VLOOKUP(B34,'תקציב  '!$B:$S,4,0)*1</f>
        <v>18792.66</v>
      </c>
      <c r="K34" s="139" t="n">
        <f aca="false">G34/J34-1</f>
        <v>0</v>
      </c>
      <c r="L34" s="142" t="n">
        <f aca="false">G34-J34</f>
        <v>0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VLOOKUP(A35,'2024'!$A:$O,2,0)</f>
        <v>0</v>
      </c>
      <c r="F35" s="138" t="n">
        <f aca="false">VLOOKUP($A35,'2025'!$A:$O,2,0)</f>
        <v>0</v>
      </c>
      <c r="G35" s="138"/>
      <c r="H35" s="139" t="str">
        <f aca="false">IFERROR(G35/F35-1,"-")</f>
        <v>-</v>
      </c>
      <c r="I35" s="140" t="n">
        <f aca="false">G35-F35</f>
        <v>0</v>
      </c>
      <c r="J35" s="141" t="n">
        <f aca="false">VLOOKUP(B35,'תקציב  '!$B:$S,4,0)*1</f>
        <v>0</v>
      </c>
      <c r="K35" s="139" t="str">
        <f aca="false">IFERROR(G35/J35-1,"-")</f>
        <v>-</v>
      </c>
      <c r="L35" s="142" t="n">
        <f aca="false">G35-J35</f>
        <v>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VLOOKUP(A36,'2024'!$A:$O,2,0)</f>
        <v>0</v>
      </c>
      <c r="F36" s="138" t="n">
        <f aca="false">VLOOKUP($A36,'2025'!$A:$O,2,0)</f>
        <v>0</v>
      </c>
      <c r="G36" s="138"/>
      <c r="H36" s="139" t="str">
        <f aca="false">IFERROR(G36/F36-1,"-")</f>
        <v>-</v>
      </c>
      <c r="I36" s="140" t="n">
        <f aca="false">G36-F36</f>
        <v>0</v>
      </c>
      <c r="J36" s="141"/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VLOOKUP(A37,'2024'!$A:$O,2,0)</f>
        <v>0</v>
      </c>
      <c r="F37" s="138" t="n">
        <f aca="false">VLOOKUP($A37,'2025'!$A:$O,2,0)</f>
        <v>0</v>
      </c>
      <c r="G37" s="138"/>
      <c r="H37" s="139" t="str">
        <f aca="false">IFERROR(G37/F37-1,"-")</f>
        <v>-</v>
      </c>
      <c r="I37" s="140" t="n">
        <f aca="false">G37-F37</f>
        <v>0</v>
      </c>
      <c r="J37" s="141"/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VLOOKUP(A38,'2024'!$A:$O,2,0)</f>
        <v>0</v>
      </c>
      <c r="F38" s="138" t="n">
        <f aca="false">VLOOKUP($A38,'2025'!$A:$O,2,0)</f>
        <v>0</v>
      </c>
      <c r="G38" s="138"/>
      <c r="H38" s="139" t="str">
        <f aca="false">IFERROR(G38/F38-1,"-")</f>
        <v>-</v>
      </c>
      <c r="I38" s="140" t="n">
        <f aca="false">G38-F38</f>
        <v>0</v>
      </c>
      <c r="J38" s="141"/>
      <c r="K38" s="139" t="str">
        <f aca="false">IFERROR(G38/J38-1,"-")</f>
        <v>-</v>
      </c>
      <c r="L38" s="142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/>
      <c r="F39" s="138"/>
      <c r="G39" s="138"/>
      <c r="H39" s="139" t="str">
        <f aca="false">IFERROR(G39/F39-1,"-")</f>
        <v>-</v>
      </c>
      <c r="I39" s="140" t="n">
        <f aca="false">G39-F39</f>
        <v>0</v>
      </c>
      <c r="J39" s="141" t="n">
        <f aca="false">VLOOKUP(B39,'תקציב  '!$B:$S,4,0)*1</f>
        <v>0</v>
      </c>
      <c r="K39" s="139" t="str">
        <f aca="false">IFERROR(G39/J39-1,"-")</f>
        <v>-</v>
      </c>
      <c r="L39" s="142" t="n">
        <f aca="false">G39-J39</f>
        <v>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SUM(E20:E39)+E51+E52</f>
        <v>846127.86</v>
      </c>
      <c r="F40" s="149" t="n">
        <f aca="false">SUM(F20:F39)+F51+F52</f>
        <v>244922.19</v>
      </c>
      <c r="G40" s="149" t="n">
        <f aca="false">SUM(G20:G39)+G51+G52</f>
        <v>430809.29</v>
      </c>
      <c r="H40" s="150" t="n">
        <f aca="false">G40/F40-1</f>
        <v>0.758963897881201</v>
      </c>
      <c r="I40" s="149" t="n">
        <f aca="false">SUM(I20:I39)+I51+I52</f>
        <v>185887.1</v>
      </c>
      <c r="J40" s="149" t="n">
        <f aca="false">SUM(J20:J39)+J51+J52</f>
        <v>526326.7701125</v>
      </c>
      <c r="K40" s="150" t="n">
        <f aca="false">G40/J40-1</f>
        <v>-0.181479425969695</v>
      </c>
      <c r="L40" s="149" t="n">
        <f aca="false">SUM(L20:L39)+L51+L52</f>
        <v>-95517.4801125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2177659.954</v>
      </c>
      <c r="F41" s="152" t="n">
        <f aca="false">F40+F19</f>
        <v>1755643.31</v>
      </c>
      <c r="G41" s="152" t="n">
        <f aca="false">G40+G19</f>
        <v>1897303.44</v>
      </c>
      <c r="H41" s="153" t="n">
        <f aca="false">G41/F41-1</f>
        <v>0.0806884457640751</v>
      </c>
      <c r="I41" s="152" t="n">
        <f aca="false">I40+I19</f>
        <v>141660.129999996</v>
      </c>
      <c r="J41" s="152" t="n">
        <f aca="false">J40+J19</f>
        <v>2378890.53460403</v>
      </c>
      <c r="K41" s="153" t="n">
        <f aca="false">G41/J41-1</f>
        <v>-0.202441889443302</v>
      </c>
      <c r="L41" s="152" t="n">
        <f aca="false">L40+L19</f>
        <v>-481587.094604026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0.388549120557506</v>
      </c>
      <c r="F42" s="155" t="n">
        <f aca="false">F40/F41</f>
        <v>0.139505666444285</v>
      </c>
      <c r="G42" s="155" t="n">
        <f aca="false">G40/G41</f>
        <v>0.227063990354648</v>
      </c>
      <c r="H42" s="156"/>
      <c r="I42" s="5"/>
      <c r="J42" s="76" t="n">
        <f aca="false">J41-'תקציב  '!E41*1</f>
        <v>0</v>
      </c>
    </row>
    <row r="43" customFormat="false" ht="14.25" hidden="false" customHeight="true" outlineLevel="0" collapsed="false">
      <c r="E43" s="157" t="n">
        <f aca="false">E41-'2024'!B38</f>
        <v>0</v>
      </c>
      <c r="I43" s="5"/>
    </row>
    <row r="50" customFormat="false" ht="14.25" hidden="false" customHeight="true" outlineLevel="0" collapsed="false">
      <c r="A50" s="85"/>
      <c r="B50" s="24" t="s">
        <v>176</v>
      </c>
      <c r="C50" s="24" t="s">
        <v>176</v>
      </c>
      <c r="D50" s="26" t="s">
        <v>32</v>
      </c>
      <c r="E50" s="138"/>
      <c r="F50" s="138"/>
      <c r="G50" s="138" t="n">
        <v>0</v>
      </c>
      <c r="H50" s="139" t="str">
        <f aca="false">IFERROR(G50/F50-1,"-")</f>
        <v>-</v>
      </c>
      <c r="I50" s="140" t="n">
        <f aca="false">G50-F50</f>
        <v>0</v>
      </c>
      <c r="J50" s="141"/>
      <c r="K50" s="139" t="str">
        <f aca="false">IFERROR(G50/J50-1,"-")</f>
        <v>-</v>
      </c>
      <c r="L50" s="142" t="n">
        <f aca="false">G50-J50</f>
        <v>0</v>
      </c>
    </row>
    <row r="51" customFormat="false" ht="14.25" hidden="false" customHeight="true" outlineLevel="0" collapsed="false">
      <c r="A51" s="85"/>
      <c r="B51" s="84" t="s">
        <v>177</v>
      </c>
      <c r="C51" s="65" t="s">
        <v>177</v>
      </c>
      <c r="D51" s="26" t="s">
        <v>178</v>
      </c>
      <c r="E51" s="138"/>
      <c r="F51" s="138"/>
      <c r="G51" s="138" t="n">
        <v>0</v>
      </c>
      <c r="H51" s="139" t="str">
        <f aca="false">IFERROR(G51/F51-1,"-")</f>
        <v>-</v>
      </c>
      <c r="I51" s="140" t="n">
        <f aca="false">G51-F51</f>
        <v>0</v>
      </c>
      <c r="J51" s="141"/>
      <c r="K51" s="139" t="str">
        <f aca="false">IFERROR(G51/J51-1,"-")</f>
        <v>-</v>
      </c>
      <c r="L51" s="142" t="n">
        <f aca="false">G51-J51</f>
        <v>0</v>
      </c>
    </row>
    <row r="52" customFormat="false" ht="14.25" hidden="false" customHeight="true" outlineLevel="0" collapsed="false">
      <c r="A52" s="85"/>
      <c r="B52" s="84" t="s">
        <v>179</v>
      </c>
      <c r="C52" s="65" t="s">
        <v>179</v>
      </c>
      <c r="D52" s="26" t="s">
        <v>179</v>
      </c>
      <c r="E52" s="138"/>
      <c r="F52" s="138"/>
      <c r="G52" s="138" t="n">
        <v>0</v>
      </c>
      <c r="H52" s="139" t="str">
        <f aca="false">IFERROR(G52/F52-1,"-")</f>
        <v>-</v>
      </c>
      <c r="I52" s="140" t="n">
        <f aca="false">G52-F52</f>
        <v>0</v>
      </c>
      <c r="J52" s="141"/>
      <c r="K52" s="139" t="str">
        <f aca="false">IFERROR(G52/J52-1,"-")</f>
        <v>-</v>
      </c>
      <c r="L52" s="142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8.12"/>
    <col collapsed="false" customWidth="true" hidden="tru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180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n">
        <v>2.2024</v>
      </c>
      <c r="F2" s="133" t="n">
        <v>2.2025</v>
      </c>
      <c r="G2" s="133" t="n">
        <v>2.2026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VLOOKUP(A3,'2024'!$A:$O,3,0)</f>
        <v>347582.74</v>
      </c>
      <c r="F3" s="138" t="n">
        <f aca="false">VLOOKUP($A3,'2025'!$A:$O,3,0)</f>
        <v>233209.9</v>
      </c>
      <c r="G3" s="138" t="n">
        <v>364352.2</v>
      </c>
      <c r="H3" s="139" t="n">
        <f aca="false">G3/F3-1</f>
        <v>0.562335904264785</v>
      </c>
      <c r="I3" s="140" t="n">
        <f aca="false">G3-F3</f>
        <v>131142.3</v>
      </c>
      <c r="J3" s="141" t="n">
        <f aca="false">VLOOKUP(B3,'תקציב  '!$B:$S,5,0)*1</f>
        <v>168253.968253968</v>
      </c>
      <c r="K3" s="139" t="n">
        <f aca="false">G3/J3-1</f>
        <v>1.16548949056604</v>
      </c>
      <c r="L3" s="142" t="n">
        <f aca="false">G3-J3</f>
        <v>196098.231746032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VLOOKUP(B4,'2024'!$A:$O,3,0)</f>
        <v>422279.312</v>
      </c>
      <c r="F4" s="138" t="n">
        <f aca="false">VLOOKUP($A4,'2025'!$A:$O,3,0)</f>
        <v>406825.346200003</v>
      </c>
      <c r="G4" s="138" t="n">
        <v>469684.033</v>
      </c>
      <c r="H4" s="139" t="n">
        <f aca="false">G4/F4-1</f>
        <v>0.154510252094997</v>
      </c>
      <c r="I4" s="140" t="n">
        <f aca="false">G4-F4</f>
        <v>62858.686799997</v>
      </c>
      <c r="J4" s="141" t="n">
        <f aca="false">VLOOKUP(B4,'תקציב  '!$B:$S,5,0)*1</f>
        <v>532634.920634921</v>
      </c>
      <c r="K4" s="139" t="n">
        <f aca="false">G4/J4-1</f>
        <v>-0.118187683901538</v>
      </c>
      <c r="L4" s="142" t="n">
        <f aca="false">G4-J4</f>
        <v>-62950.8876349211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VLOOKUP(B5,'2024'!$A:$O,3,0)</f>
        <v>82457.193</v>
      </c>
      <c r="F5" s="138" t="n">
        <f aca="false">VLOOKUP($A5,'2025'!$A:$O,3,0)</f>
        <v>65962.26</v>
      </c>
      <c r="G5" s="138" t="n">
        <v>68397.329</v>
      </c>
      <c r="H5" s="139" t="n">
        <f aca="false">G5/F5-1</f>
        <v>0.0369160941423172</v>
      </c>
      <c r="I5" s="140" t="n">
        <f aca="false">G5-F5</f>
        <v>2435.069</v>
      </c>
      <c r="J5" s="141" t="n">
        <f aca="false">VLOOKUP(B5,'תקציב  '!$B:$S,5,0)*1</f>
        <v>73428.5714285714</v>
      </c>
      <c r="K5" s="139" t="n">
        <f aca="false">G5/J5-1</f>
        <v>-0.0685188657587547</v>
      </c>
      <c r="L5" s="142" t="n">
        <f aca="false">G5-J5</f>
        <v>-5031.24242857141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VLOOKUP(B6,'2024'!$A:$O,3,0)</f>
        <v>163451.946</v>
      </c>
      <c r="F6" s="138" t="n">
        <f aca="false">VLOOKUP($A6,'2025'!$A:$O,3,0)</f>
        <v>133409.823800003</v>
      </c>
      <c r="G6" s="138" t="n">
        <v>140722.24</v>
      </c>
      <c r="H6" s="139" t="n">
        <f aca="false">G6/F6-1</f>
        <v>0.0548116772192064</v>
      </c>
      <c r="I6" s="140" t="n">
        <f aca="false">G6-F6</f>
        <v>7312.41619999698</v>
      </c>
      <c r="J6" s="141" t="n">
        <f aca="false">VLOOKUP(A6,'תקציב  '!$B:$S,5,0)*1</f>
        <v>156793.650793651</v>
      </c>
      <c r="K6" s="139" t="n">
        <f aca="false">G6/J6-1</f>
        <v>-0.102500392792064</v>
      </c>
      <c r="L6" s="142" t="n">
        <f aca="false">G6-J6</f>
        <v>-16071.410793651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VLOOKUP(A7,'2024'!$A:$O,3,0)</f>
        <v>385135</v>
      </c>
      <c r="F7" s="138" t="n">
        <f aca="false">VLOOKUP($A7,'2025'!$A:$O,3,0)</f>
        <v>371734.5</v>
      </c>
      <c r="G7" s="138" t="n">
        <v>299047.35</v>
      </c>
      <c r="H7" s="139" t="n">
        <f aca="false">G7/F7-1</f>
        <v>-0.195535119823422</v>
      </c>
      <c r="I7" s="140" t="n">
        <f aca="false">G7-F7</f>
        <v>-72687.15</v>
      </c>
      <c r="J7" s="141" t="n">
        <f aca="false">VLOOKUP(B7,'תקציב  '!$B:$S,5,0)*1</f>
        <v>365000</v>
      </c>
      <c r="K7" s="139" t="n">
        <f aca="false">G7/J7-1</f>
        <v>-0.180692191780822</v>
      </c>
      <c r="L7" s="142" t="n">
        <f aca="false">G7-J7</f>
        <v>-65952.65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VLOOKUP(A8,'2024'!$A:$O,3,0)</f>
        <v>91523.03</v>
      </c>
      <c r="F8" s="138" t="n">
        <f aca="false">VLOOKUP($A8,'2025'!$A:$O,3,0)</f>
        <v>82146.14</v>
      </c>
      <c r="G8" s="138" t="n">
        <v>59215.28</v>
      </c>
      <c r="H8" s="139" t="n">
        <f aca="false">G8/F8-1</f>
        <v>-0.279147139476061</v>
      </c>
      <c r="I8" s="140" t="n">
        <f aca="false">G8-F8</f>
        <v>-22930.86</v>
      </c>
      <c r="J8" s="141" t="n">
        <f aca="false">VLOOKUP(B8,'תקציב  '!$B:$S,5,0)*1</f>
        <v>109365.079365079</v>
      </c>
      <c r="K8" s="139" t="n">
        <f aca="false">G8/J8-1</f>
        <v>-0.458554043541363</v>
      </c>
      <c r="L8" s="142" t="n">
        <f aca="false">G8-J8</f>
        <v>-50149.799365079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VLOOKUP(A9,'2024'!$A:$O,3,0)</f>
        <v>85829.2</v>
      </c>
      <c r="F9" s="138" t="n">
        <f aca="false">VLOOKUP($A9,'2025'!$A:$O,3,0)</f>
        <v>46378.11</v>
      </c>
      <c r="G9" s="138" t="n">
        <v>81282.23</v>
      </c>
      <c r="H9" s="139" t="n">
        <f aca="false">G9/F9-1</f>
        <v>0.752599017079394</v>
      </c>
      <c r="I9" s="140" t="n">
        <f aca="false">G9-F9</f>
        <v>34904.12</v>
      </c>
      <c r="J9" s="141" t="n">
        <f aca="false">VLOOKUP(B9,'תקציב  '!$B:$S,5,0)*1</f>
        <v>155079.365079365</v>
      </c>
      <c r="K9" s="139" t="n">
        <f aca="false">G9/J9-1</f>
        <v>-0.475866889457523</v>
      </c>
      <c r="L9" s="142" t="n">
        <f aca="false">G9-J9</f>
        <v>-73797.135079365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VLOOKUP(A10,'2024'!$A:$O,3,0)</f>
        <v>11131.68</v>
      </c>
      <c r="F10" s="138" t="n">
        <f aca="false">VLOOKUP($A10,'2025'!$A:$O,3,0)</f>
        <v>17589.94</v>
      </c>
      <c r="G10" s="138" t="n">
        <v>11368.09</v>
      </c>
      <c r="H10" s="139" t="n">
        <f aca="false">G10/F10-1</f>
        <v>-0.353716385615869</v>
      </c>
      <c r="I10" s="140" t="n">
        <f aca="false">G10-F10</f>
        <v>-6221.85</v>
      </c>
      <c r="J10" s="141" t="n">
        <f aca="false">VLOOKUP(B10,'תקציב  '!$B:$S,5,0)*1</f>
        <v>15079.3650793651</v>
      </c>
      <c r="K10" s="139" t="n">
        <f aca="false">G10/J10-1</f>
        <v>-0.246116136842106</v>
      </c>
      <c r="L10" s="142" t="n">
        <f aca="false">G10-J10</f>
        <v>-3711.2750793651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VLOOKUP(A11,'2024'!$A:$O,3,0)</f>
        <v>0</v>
      </c>
      <c r="F11" s="138" t="n">
        <f aca="false">VLOOKUP($A11,'2025'!$A:$O,3,0)</f>
        <v>4045.81</v>
      </c>
      <c r="G11" s="138" t="n">
        <v>3319.04</v>
      </c>
      <c r="H11" s="139" t="n">
        <f aca="false">G11/F11-1</f>
        <v>-0.17963522755641</v>
      </c>
      <c r="I11" s="140" t="n">
        <f aca="false">G11-F11</f>
        <v>-726.77</v>
      </c>
      <c r="J11" s="141" t="n">
        <f aca="false">VLOOKUP(B11,'תקציב  '!$B:$S,5,0)*1</f>
        <v>7936.50793650794</v>
      </c>
      <c r="K11" s="139" t="n">
        <f aca="false">G11/J11-1</f>
        <v>-0.58180096</v>
      </c>
      <c r="L11" s="142" t="n">
        <f aca="false">G11-J11</f>
        <v>-4617.46793650794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VLOOKUP(A12,'2024'!$A:$O,3,0)</f>
        <v>0</v>
      </c>
      <c r="F12" s="138" t="n">
        <f aca="false">VLOOKUP($A12,'2025'!$A:$O,3,0)</f>
        <v>569.45</v>
      </c>
      <c r="G12" s="138"/>
      <c r="H12" s="139" t="n">
        <f aca="false">G12/F12-1</f>
        <v>-1</v>
      </c>
      <c r="I12" s="140" t="n">
        <f aca="false">G12-F12</f>
        <v>-569.45</v>
      </c>
      <c r="J12" s="141" t="n">
        <f aca="false">VLOOKUP(B12,'תקציב  '!$B:$S,5,0)*1</f>
        <v>0</v>
      </c>
      <c r="K12" s="139"/>
      <c r="L12" s="142" t="n">
        <f aca="false">G12-J12</f>
        <v>0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VLOOKUP(A13,'2024'!$A:$O,3,0)</f>
        <v>0</v>
      </c>
      <c r="F13" s="138" t="n">
        <f aca="false">VLOOKUP($A13,'2025'!$A:$O,3,0)</f>
        <v>0</v>
      </c>
      <c r="G13" s="138"/>
      <c r="H13" s="139" t="str">
        <f aca="false">IFERROR(G13/F13-1,"-")</f>
        <v>-</v>
      </c>
      <c r="I13" s="140" t="n">
        <f aca="false">G13-F13</f>
        <v>0</v>
      </c>
      <c r="J13" s="141" t="n">
        <f aca="false">VLOOKUP(B13,'תקציב  '!$B:$S,5,0)*1</f>
        <v>0</v>
      </c>
      <c r="K13" s="139" t="str">
        <f aca="false">IFERROR(G13/J13-1,"-")</f>
        <v>-</v>
      </c>
      <c r="L13" s="142" t="n">
        <f aca="false">G13-J13</f>
        <v>0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VLOOKUP(A14,'2024'!$A:$O,3,0)</f>
        <v>0</v>
      </c>
      <c r="F14" s="138" t="n">
        <f aca="false">VLOOKUP($A14,'2025'!$A:$O,3,0)</f>
        <v>11067.51</v>
      </c>
      <c r="G14" s="138" t="n">
        <v>947.38</v>
      </c>
      <c r="H14" s="139" t="n">
        <f aca="false">G14/F14-1</f>
        <v>-0.914399896634383</v>
      </c>
      <c r="I14" s="140" t="n">
        <f aca="false">G14-F14</f>
        <v>-10120.13</v>
      </c>
      <c r="J14" s="141" t="n">
        <f aca="false">VLOOKUP(B14,'תקציב  '!$B:$S,5,0)*1</f>
        <v>0</v>
      </c>
      <c r="K14" s="139"/>
      <c r="L14" s="142" t="n">
        <f aca="false">G14-J14</f>
        <v>947.38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VLOOKUP(A15,'2024'!$A:$O,3,0)</f>
        <v>8592.99</v>
      </c>
      <c r="F15" s="138" t="n">
        <f aca="false">VLOOKUP($A15,'2025'!$A:$O,3,0)</f>
        <v>12501.56</v>
      </c>
      <c r="G15" s="138" t="n">
        <v>15269.72</v>
      </c>
      <c r="H15" s="139" t="n">
        <f aca="false">G15/F15-1</f>
        <v>0.221425166139266</v>
      </c>
      <c r="I15" s="140" t="n">
        <f aca="false">G15-F15</f>
        <v>2768.16</v>
      </c>
      <c r="J15" s="141" t="n">
        <f aca="false">VLOOKUP(B15,'תקציב  '!$B:$S,5,0)*1</f>
        <v>15873.0158730159</v>
      </c>
      <c r="K15" s="139" t="n">
        <f aca="false">G15/J15-1</f>
        <v>-0.0380076400000017</v>
      </c>
      <c r="L15" s="142" t="n">
        <f aca="false">G15-J15</f>
        <v>-603.295873015901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SUM(E3:E15)+E50</f>
        <v>1597983.091</v>
      </c>
      <c r="F16" s="144" t="n">
        <f aca="false">SUM(F3:F15)+F50</f>
        <v>1385440.35000001</v>
      </c>
      <c r="G16" s="144" t="n">
        <f aca="false">SUM(G3:G15)+G50</f>
        <v>1513604.892</v>
      </c>
      <c r="H16" s="145" t="n">
        <f aca="false">G16/F16-1</f>
        <v>0.0925081631987932</v>
      </c>
      <c r="I16" s="144" t="n">
        <f aca="false">SUM(I3:I15)+I50</f>
        <v>128164.541999994</v>
      </c>
      <c r="J16" s="144" t="n">
        <f aca="false">SUM(J3:J15)+J50</f>
        <v>1599444.44444444</v>
      </c>
      <c r="K16" s="145" t="n">
        <f aca="false">G16/J16-1</f>
        <v>-0.0536683551233066</v>
      </c>
      <c r="L16" s="144" t="n">
        <f aca="false">SUM(L3:L15)+L50</f>
        <v>-85839.5524444444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VLOOKUP(A17,'2024'!$A:$O,3,0)</f>
        <v>40630.42</v>
      </c>
      <c r="F17" s="138" t="n">
        <f aca="false">VLOOKUP($A17,'2025'!$A:$O,3,0)</f>
        <v>97231.1799999998</v>
      </c>
      <c r="G17" s="138" t="n">
        <v>236431.199999999</v>
      </c>
      <c r="H17" s="139" t="n">
        <f aca="false">G17/F17-1</f>
        <v>1.43163972709165</v>
      </c>
      <c r="I17" s="140" t="n">
        <f aca="false">G17-F17</f>
        <v>139200.019999999</v>
      </c>
      <c r="J17" s="141" t="n">
        <f aca="false">VLOOKUP(B17,'תקציב  '!$B:$S,5,0)*1</f>
        <v>444915.254237288</v>
      </c>
      <c r="K17" s="139" t="n">
        <f aca="false">G17/J17-1</f>
        <v>-0.468592731428574</v>
      </c>
      <c r="L17" s="142" t="n">
        <f aca="false">G17-J17</f>
        <v>-208484.054237289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VLOOKUP(A18,'2024'!$A:$O,3,0)</f>
        <v>2455.66</v>
      </c>
      <c r="F18" s="138" t="n">
        <f aca="false">VLOOKUP($A18,'2025'!$A:$O,3,0)</f>
        <v>3188.82</v>
      </c>
      <c r="G18" s="138" t="n">
        <v>1747</v>
      </c>
      <c r="H18" s="139" t="n">
        <f aca="false">G18/F18-1</f>
        <v>-0.452148443624915</v>
      </c>
      <c r="I18" s="140" t="n">
        <f aca="false">G18-F18</f>
        <v>-1441.82</v>
      </c>
      <c r="J18" s="141" t="n">
        <f aca="false">VLOOKUP(B18,'תקציב  '!$B:$S,5,0)*1</f>
        <v>2536.92833333333</v>
      </c>
      <c r="K18" s="139" t="n">
        <f aca="false">G18/J18-1</f>
        <v>-0.311371954404177</v>
      </c>
      <c r="L18" s="142" t="n">
        <f aca="false">G18-J18</f>
        <v>-789.92833333333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1641069.171</v>
      </c>
      <c r="F19" s="146" t="n">
        <f aca="false">F16+F17+F18</f>
        <v>1485860.35000001</v>
      </c>
      <c r="G19" s="146" t="n">
        <f aca="false">G16+G17+G18</f>
        <v>1751783.092</v>
      </c>
      <c r="H19" s="147" t="n">
        <f aca="false">G19/F19-1</f>
        <v>0.178968866084886</v>
      </c>
      <c r="I19" s="146" t="n">
        <f aca="false">I16+I17+I18</f>
        <v>265922.741999993</v>
      </c>
      <c r="J19" s="146" t="n">
        <f aca="false">J16+J17+J18</f>
        <v>2046896.62701507</v>
      </c>
      <c r="K19" s="147" t="n">
        <f aca="false">G19/J19-1</f>
        <v>-0.144176081547129</v>
      </c>
      <c r="L19" s="146" t="n">
        <f aca="false">L16+L17+L18</f>
        <v>-295113.535015067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VLOOKUP(A20,'2024'!$A:$O,3,0)</f>
        <v>377981.61</v>
      </c>
      <c r="F20" s="138" t="n">
        <f aca="false">VLOOKUP($A20,'2025'!$A:$O,3,0)</f>
        <v>188313.47</v>
      </c>
      <c r="G20" s="138" t="n">
        <v>194189.2</v>
      </c>
      <c r="H20" s="139" t="n">
        <f aca="false">G20/F20-1</f>
        <v>0.031201857201187</v>
      </c>
      <c r="I20" s="140" t="n">
        <f aca="false">G20-F20</f>
        <v>5875.73000000001</v>
      </c>
      <c r="J20" s="141" t="n">
        <f aca="false">VLOOKUP(B20,'תקציב  '!$B:$S,5,0)*1</f>
        <v>312309.9243</v>
      </c>
      <c r="K20" s="139" t="n">
        <f aca="false">G20/J20-1</f>
        <v>-0.378216364929009</v>
      </c>
      <c r="L20" s="142" t="n">
        <f aca="false">G20-J20</f>
        <v>-118120.7243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VLOOKUP(A21,'2024'!$A:$O,3,0)</f>
        <v>255841.44</v>
      </c>
      <c r="F21" s="138" t="n">
        <f aca="false">VLOOKUP($A21,'2025'!$A:$O,3,0)</f>
        <v>213082.56</v>
      </c>
      <c r="G21" s="158" t="n">
        <v>137198.2</v>
      </c>
      <c r="H21" s="139" t="n">
        <f aca="false">G21/F21-1</f>
        <v>-0.356126564276307</v>
      </c>
      <c r="I21" s="140" t="n">
        <f aca="false">G21-F21</f>
        <v>-75884.36</v>
      </c>
      <c r="J21" s="141" t="n">
        <f aca="false">VLOOKUP(B21,'תקציב  '!$B:$S,5,0)*1</f>
        <v>235200</v>
      </c>
      <c r="K21" s="139" t="n">
        <f aca="false">G21/J21-1</f>
        <v>-0.416674319727891</v>
      </c>
      <c r="L21" s="142" t="n">
        <f aca="false">G21-J21</f>
        <v>-98001.8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VLOOKUP(A22,'2024'!$A:$O,3,0)</f>
        <v>73976.74</v>
      </c>
      <c r="F22" s="138" t="n">
        <f aca="false">VLOOKUP($A22,'2025'!$A:$O,3,0)</f>
        <v>35605.91</v>
      </c>
      <c r="G22" s="158" t="n">
        <v>17835.42</v>
      </c>
      <c r="H22" s="139" t="n">
        <f aca="false">G22/F22-1</f>
        <v>-0.499088213164612</v>
      </c>
      <c r="I22" s="140" t="n">
        <f aca="false">G22-F22</f>
        <v>-17770.49</v>
      </c>
      <c r="J22" s="141" t="n">
        <f aca="false">VLOOKUP(B22,'תקציב  '!$B:$S,5,0)*1</f>
        <v>11714.9</v>
      </c>
      <c r="K22" s="139" t="n">
        <f aca="false">G22/J22-1</f>
        <v>0.522456017550299</v>
      </c>
      <c r="L22" s="142" t="n">
        <f aca="false">G22-J22</f>
        <v>6120.52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VLOOKUP(A23,'2024'!$A:$O,3,0)</f>
        <v>0</v>
      </c>
      <c r="F23" s="138" t="n">
        <f aca="false">VLOOKUP($A23,'2025'!$A:$O,3,0)</f>
        <v>85563.25</v>
      </c>
      <c r="G23" s="158"/>
      <c r="H23" s="139" t="n">
        <f aca="false">G23/F23-1</f>
        <v>-1</v>
      </c>
      <c r="I23" s="140" t="n">
        <f aca="false">G23-F23</f>
        <v>-85563.25</v>
      </c>
      <c r="J23" s="141" t="n">
        <f aca="false">VLOOKUP(B23,'תקציב  '!$B:$S,5,0)*1</f>
        <v>0</v>
      </c>
      <c r="K23" s="139" t="str">
        <f aca="false">IFERROR(G23/J23-1,"-")</f>
        <v>-</v>
      </c>
      <c r="L23" s="142" t="n">
        <f aca="false">G23-J23</f>
        <v>0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VLOOKUP(A24,'2024'!$A:$O,3,0)</f>
        <v>0</v>
      </c>
      <c r="F24" s="138" t="n">
        <f aca="false">VLOOKUP($A24,'2025'!$A:$O,3,0)</f>
        <v>16335.18</v>
      </c>
      <c r="G24" s="158"/>
      <c r="H24" s="139" t="n">
        <f aca="false">G24/F24-1</f>
        <v>-1</v>
      </c>
      <c r="I24" s="140" t="n">
        <f aca="false">G24-F24</f>
        <v>-16335.18</v>
      </c>
      <c r="J24" s="141" t="n">
        <f aca="false">VLOOKUP(B24,'תקציב  '!$B:$S,5,0)*1</f>
        <v>0</v>
      </c>
      <c r="K24" s="139" t="str">
        <f aca="false">IFERROR(G24/J24-1,"-")</f>
        <v>-</v>
      </c>
      <c r="L24" s="142" t="n">
        <f aca="false">G24-J24</f>
        <v>0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VLOOKUP(A25,'2024'!$A:$O,3,0)</f>
        <v>0</v>
      </c>
      <c r="F25" s="138" t="n">
        <f aca="false">VLOOKUP($A25,'2025'!$A:$O,3,0)</f>
        <v>0</v>
      </c>
      <c r="G25" s="158"/>
      <c r="H25" s="139" t="str">
        <f aca="false">IFERROR(G25/F25-1,"-")</f>
        <v>-</v>
      </c>
      <c r="I25" s="140" t="n">
        <f aca="false">G25-F25</f>
        <v>0</v>
      </c>
      <c r="J25" s="141" t="n">
        <f aca="false">VLOOKUP(B25,'תקציב  '!$B:$S,5,0)*1</f>
        <v>0</v>
      </c>
      <c r="K25" s="139" t="str">
        <f aca="false">IFERROR(G25/J25-1,"-")</f>
        <v>-</v>
      </c>
      <c r="L25" s="142" t="n">
        <f aca="false">G25-J25</f>
        <v>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VLOOKUP(A26,'2024'!$A:$O,3,0)</f>
        <v>0</v>
      </c>
      <c r="F26" s="138" t="n">
        <f aca="false">VLOOKUP($A26,'2025'!$A:$O,3,0)</f>
        <v>0</v>
      </c>
      <c r="G26" s="158"/>
      <c r="H26" s="139" t="str">
        <f aca="false">IFERROR(G26/F26-1,"-")</f>
        <v>-</v>
      </c>
      <c r="I26" s="140" t="n">
        <f aca="false">G26-F26</f>
        <v>0</v>
      </c>
      <c r="J26" s="141" t="n">
        <f aca="false">VLOOKUP(B26,'תקציב  '!$B:$S,5,0)*1</f>
        <v>0</v>
      </c>
      <c r="K26" s="139" t="str">
        <f aca="false">IFERROR(G26/J26-1,"-")</f>
        <v>-</v>
      </c>
      <c r="L26" s="142" t="n">
        <f aca="false">G26-J26</f>
        <v>0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VLOOKUP(A27,'2024'!$A:$O,3,0)</f>
        <v>23907.35</v>
      </c>
      <c r="F27" s="138" t="n">
        <f aca="false">VLOOKUP($A27,'2025'!$A:$O,3,0)</f>
        <v>0</v>
      </c>
      <c r="G27" s="158" t="n">
        <v>42152.31</v>
      </c>
      <c r="H27" s="139" t="str">
        <f aca="false">IFERROR(G27/F27-1,"-")</f>
        <v>-</v>
      </c>
      <c r="I27" s="140" t="n">
        <f aca="false">G27-F27</f>
        <v>42152.31</v>
      </c>
      <c r="J27" s="141" t="n">
        <f aca="false">VLOOKUP(B27,'תקציב  '!$B:$S,5,0)*1</f>
        <v>40000</v>
      </c>
      <c r="K27" s="139" t="n">
        <f aca="false">G27/J27-1</f>
        <v>0.05380775</v>
      </c>
      <c r="L27" s="142" t="n">
        <f aca="false">G27-J27</f>
        <v>2152.31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VLOOKUP(A28,'2024'!$A:$O,3,0)</f>
        <v>0</v>
      </c>
      <c r="F28" s="138" t="n">
        <f aca="false">VLOOKUP($A28,'2025'!$A:$O,3,0)</f>
        <v>0</v>
      </c>
      <c r="G28" s="158"/>
      <c r="H28" s="139" t="str">
        <f aca="false">IFERROR(G28/F28-1,"-")</f>
        <v>-</v>
      </c>
      <c r="I28" s="140" t="n">
        <f aca="false">G28-F28</f>
        <v>0</v>
      </c>
      <c r="J28" s="141" t="n">
        <f aca="false">VLOOKUP(B28,'תקציב  '!$B:$S,5,0)*1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VLOOKUP(A29,'2024'!$A:$O,3,0)</f>
        <v>49906.61</v>
      </c>
      <c r="F29" s="138" t="n">
        <f aca="false">VLOOKUP($A29,'2025'!$A:$O,3,0)</f>
        <v>49474.45</v>
      </c>
      <c r="G29" s="158" t="n">
        <v>24695.01</v>
      </c>
      <c r="H29" s="139" t="n">
        <f aca="false">G29/F29-1</f>
        <v>-0.500853268707383</v>
      </c>
      <c r="I29" s="140" t="n">
        <f aca="false">G29-F29</f>
        <v>-24779.44</v>
      </c>
      <c r="J29" s="141" t="n">
        <f aca="false">VLOOKUP(B29,'תקציב  '!$B:$S,5,0)*1</f>
        <v>24919.5</v>
      </c>
      <c r="K29" s="139" t="n">
        <f aca="false">G29/J29-1</f>
        <v>-0.00900860771684831</v>
      </c>
      <c r="L29" s="142" t="n">
        <f aca="false">G29-J29</f>
        <v>-224.490000000002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VLOOKUP(A30,'2024'!$A:$O,3,0)</f>
        <v>0</v>
      </c>
      <c r="F30" s="138" t="n">
        <f aca="false">VLOOKUP($A30,'2025'!$A:$O,3,0)</f>
        <v>0</v>
      </c>
      <c r="G30" s="158"/>
      <c r="H30" s="139" t="str">
        <f aca="false">IFERROR(G30/F30-1,"-")</f>
        <v>-</v>
      </c>
      <c r="I30" s="140" t="n">
        <f aca="false">G30-F30</f>
        <v>0</v>
      </c>
      <c r="J30" s="141" t="n">
        <f aca="false">VLOOKUP(B30,'תקציב  '!$B:$S,5,0)*1</f>
        <v>0</v>
      </c>
      <c r="K30" s="139" t="str">
        <f aca="false">IFERROR(G30/J30-1,"-")</f>
        <v>-</v>
      </c>
      <c r="L30" s="142" t="n">
        <f aca="false">G30-J30</f>
        <v>0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VLOOKUP(A31,'2024'!$A:$O,3,0)</f>
        <v>0</v>
      </c>
      <c r="F31" s="138" t="n">
        <f aca="false">VLOOKUP($A31,'2025'!$A:$O,3,0)</f>
        <v>0</v>
      </c>
      <c r="G31" s="138"/>
      <c r="H31" s="139" t="str">
        <f aca="false">IFERROR(G31/F31-1,"-")</f>
        <v>-</v>
      </c>
      <c r="I31" s="140" t="n">
        <f aca="false">G31-F31</f>
        <v>0</v>
      </c>
      <c r="J31" s="141" t="n">
        <f aca="false">VLOOKUP(B31,'תקציב  '!$B:$S,5,0)*1</f>
        <v>0</v>
      </c>
      <c r="K31" s="139" t="str">
        <f aca="false">IFERROR(G31/J31-1,"-")</f>
        <v>-</v>
      </c>
      <c r="L31" s="142" t="n">
        <f aca="false">G31-J31</f>
        <v>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VLOOKUP(A32,'2024'!$A:$O,3,0)</f>
        <v>0</v>
      </c>
      <c r="F32" s="138" t="n">
        <f aca="false">VLOOKUP($A32,'2025'!$A:$O,3,0)</f>
        <v>0</v>
      </c>
      <c r="G32" s="138"/>
      <c r="H32" s="139" t="str">
        <f aca="false">IFERROR(G32/F32-1,"-")</f>
        <v>-</v>
      </c>
      <c r="I32" s="140" t="n">
        <f aca="false">G32-F32</f>
        <v>0</v>
      </c>
      <c r="J32" s="141" t="n">
        <f aca="false">VLOOKUP(B32,'תקציב  '!$B:$S,5,0)*1</f>
        <v>0</v>
      </c>
      <c r="K32" s="139" t="str">
        <f aca="false">IFERROR(G32/J32-1,"-")</f>
        <v>-</v>
      </c>
      <c r="L32" s="142" t="n">
        <f aca="false">G32-J32</f>
        <v>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/>
      <c r="F33" s="138"/>
      <c r="G33" s="138"/>
      <c r="H33" s="139" t="str">
        <f aca="false">IFERROR(G33/F33-1,"-")</f>
        <v>-</v>
      </c>
      <c r="I33" s="140" t="n">
        <f aca="false">G33-F33</f>
        <v>0</v>
      </c>
      <c r="J33" s="141"/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VLOOKUP(A34,'2024'!$A:$O,3,0)</f>
        <v>19941.82</v>
      </c>
      <c r="F34" s="138" t="n">
        <f aca="false">VLOOKUP($A34,'2025'!$A:$O,3,0)</f>
        <v>1584.32</v>
      </c>
      <c r="G34" s="138"/>
      <c r="H34" s="139" t="n">
        <f aca="false">G34/F34-1</f>
        <v>-1</v>
      </c>
      <c r="I34" s="140" t="n">
        <f aca="false">G34-F34</f>
        <v>-1584.32</v>
      </c>
      <c r="J34" s="141" t="n">
        <f aca="false">VLOOKUP(B34,'תקציב  '!$B:$S,5,0)*1</f>
        <v>0</v>
      </c>
      <c r="K34" s="139" t="str">
        <f aca="false">IFERROR(G34/J34-1,"-")</f>
        <v>-</v>
      </c>
      <c r="L34" s="142" t="n">
        <f aca="false">G34-J34</f>
        <v>0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VLOOKUP(A35,'2024'!$A:$O,3,0)</f>
        <v>34034.18</v>
      </c>
      <c r="F35" s="138" t="n">
        <f aca="false">VLOOKUP($A35,'2025'!$A:$O,3,0)</f>
        <v>0</v>
      </c>
      <c r="G35" s="138"/>
      <c r="H35" s="139" t="str">
        <f aca="false">IFERROR(G35/F35-1,"-")</f>
        <v>-</v>
      </c>
      <c r="I35" s="140" t="n">
        <f aca="false">G35-F35</f>
        <v>0</v>
      </c>
      <c r="J35" s="141" t="n">
        <f aca="false">VLOOKUP(B35,'תקציב  '!$B:$S,5,0)*1</f>
        <v>0</v>
      </c>
      <c r="K35" s="139" t="str">
        <f aca="false">IFERROR(G35/J35-1,"-")</f>
        <v>-</v>
      </c>
      <c r="L35" s="142" t="n">
        <f aca="false">G35-J35</f>
        <v>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VLOOKUP(A36,'2024'!$A:$O,3,0)</f>
        <v>0</v>
      </c>
      <c r="F36" s="138" t="n">
        <f aca="false">VLOOKUP($A36,'2025'!$A:$O,3,0)</f>
        <v>0</v>
      </c>
      <c r="G36" s="138"/>
      <c r="H36" s="139" t="str">
        <f aca="false">IFERROR(G36/F36-1,"-")</f>
        <v>-</v>
      </c>
      <c r="I36" s="140" t="n">
        <f aca="false">G36-F36</f>
        <v>0</v>
      </c>
      <c r="J36" s="141"/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VLOOKUP(A37,'2024'!$A:$O,3,0)</f>
        <v>0</v>
      </c>
      <c r="F37" s="138" t="n">
        <f aca="false">VLOOKUP($A37,'2025'!$A:$O,3,0)</f>
        <v>0</v>
      </c>
      <c r="G37" s="138"/>
      <c r="H37" s="139" t="str">
        <f aca="false">IFERROR(G37/F37-1,"-")</f>
        <v>-</v>
      </c>
      <c r="I37" s="140" t="n">
        <f aca="false">G37-F37</f>
        <v>0</v>
      </c>
      <c r="J37" s="141"/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VLOOKUP(A38,'2024'!$A:$O,3,0)</f>
        <v>0</v>
      </c>
      <c r="F38" s="138" t="n">
        <f aca="false">VLOOKUP($A38,'2025'!$A:$O,3,0)</f>
        <v>0</v>
      </c>
      <c r="G38" s="138"/>
      <c r="H38" s="139" t="str">
        <f aca="false">IFERROR(G38/F38-1,"-")</f>
        <v>-</v>
      </c>
      <c r="I38" s="140" t="n">
        <f aca="false">G38-F38</f>
        <v>0</v>
      </c>
      <c r="J38" s="141"/>
      <c r="K38" s="139" t="str">
        <f aca="false">IFERROR(G38/J38-1,"-")</f>
        <v>-</v>
      </c>
      <c r="L38" s="142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/>
      <c r="F39" s="138"/>
      <c r="G39" s="138"/>
      <c r="H39" s="139" t="str">
        <f aca="false">IFERROR(G39/F39-1,"-")</f>
        <v>-</v>
      </c>
      <c r="I39" s="140" t="n">
        <f aca="false">G39-F39</f>
        <v>0</v>
      </c>
      <c r="J39" s="141" t="n">
        <f aca="false">VLOOKUP(B39,'תקציב  '!$B:$S,5,0)*1</f>
        <v>0</v>
      </c>
      <c r="K39" s="139" t="str">
        <f aca="false">IFERROR(G39/J39-1,"-")</f>
        <v>-</v>
      </c>
      <c r="L39" s="142" t="n">
        <f aca="false">G39-J39</f>
        <v>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SUM(E20:E39)+E51+E52</f>
        <v>835589.75</v>
      </c>
      <c r="F40" s="149" t="n">
        <f aca="false">SUM(F20:F39)+F51+F52</f>
        <v>589959.14</v>
      </c>
      <c r="G40" s="149" t="n">
        <f aca="false">SUM(G20:G39)+G51+G52</f>
        <v>416070.14</v>
      </c>
      <c r="H40" s="150" t="n">
        <f aca="false">G40/F40-1</f>
        <v>-0.294747531159531</v>
      </c>
      <c r="I40" s="149" t="n">
        <f aca="false">SUM(I20:I39)+I51+I52</f>
        <v>-173889</v>
      </c>
      <c r="J40" s="149" t="n">
        <f aca="false">SUM(J20:J39)+J51+J52</f>
        <v>624144.3243</v>
      </c>
      <c r="K40" s="150" t="n">
        <f aca="false">G40/J40-1</f>
        <v>-0.333375112452336</v>
      </c>
      <c r="L40" s="149" t="n">
        <f aca="false">SUM(L20:L39)+L51+L52</f>
        <v>-208074.1843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2476658.921</v>
      </c>
      <c r="F41" s="152" t="n">
        <f aca="false">F40+F19</f>
        <v>2075819.49000001</v>
      </c>
      <c r="G41" s="152" t="n">
        <f aca="false">G40+G19</f>
        <v>2167853.232</v>
      </c>
      <c r="H41" s="153" t="n">
        <f aca="false">G41/F41-1</f>
        <v>0.0443361007271363</v>
      </c>
      <c r="I41" s="152" t="n">
        <f aca="false">I40+I19</f>
        <v>92033.7419999932</v>
      </c>
      <c r="J41" s="152" t="n">
        <f aca="false">J40+J19</f>
        <v>2671040.95131507</v>
      </c>
      <c r="K41" s="153" t="n">
        <f aca="false">G41/J41-1</f>
        <v>-0.188386373884431</v>
      </c>
      <c r="L41" s="152" t="n">
        <f aca="false">L40+L19</f>
        <v>-503187.719315067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0.33738588019323</v>
      </c>
      <c r="F42" s="155" t="n">
        <f aca="false">F40/F41</f>
        <v>0.2842054151828</v>
      </c>
      <c r="G42" s="155" t="n">
        <f aca="false">G40/G41</f>
        <v>0.191927264197745</v>
      </c>
      <c r="H42" s="156"/>
      <c r="I42" s="5"/>
      <c r="J42" s="76" t="n">
        <f aca="false">J41-'תקציב  '!F41*1</f>
        <v>0</v>
      </c>
    </row>
    <row r="43" customFormat="false" ht="14.25" hidden="false" customHeight="true" outlineLevel="0" collapsed="false">
      <c r="E43" s="157" t="n">
        <f aca="false">E41-'2024'!C38</f>
        <v>0</v>
      </c>
      <c r="I43" s="5"/>
    </row>
    <row r="50" customFormat="false" ht="14.25" hidden="false" customHeight="true" outlineLevel="0" collapsed="false">
      <c r="A50" s="85"/>
      <c r="B50" s="24" t="s">
        <v>176</v>
      </c>
      <c r="C50" s="24" t="s">
        <v>176</v>
      </c>
      <c r="D50" s="26" t="s">
        <v>32</v>
      </c>
      <c r="E50" s="138"/>
      <c r="F50" s="138"/>
      <c r="G50" s="138" t="n">
        <v>0</v>
      </c>
      <c r="H50" s="139" t="str">
        <f aca="false">IFERROR(G50/F50-1,"-")</f>
        <v>-</v>
      </c>
      <c r="I50" s="140" t="n">
        <f aca="false">G50-F50</f>
        <v>0</v>
      </c>
      <c r="J50" s="141"/>
      <c r="K50" s="139" t="str">
        <f aca="false">IFERROR(G50/J50-1,"-")</f>
        <v>-</v>
      </c>
      <c r="L50" s="142" t="n">
        <f aca="false">G50-J50</f>
        <v>0</v>
      </c>
    </row>
    <row r="51" customFormat="false" ht="14.25" hidden="false" customHeight="true" outlineLevel="0" collapsed="false">
      <c r="A51" s="85"/>
      <c r="B51" s="84" t="s">
        <v>177</v>
      </c>
      <c r="C51" s="65" t="s">
        <v>177</v>
      </c>
      <c r="D51" s="26" t="s">
        <v>178</v>
      </c>
      <c r="E51" s="138"/>
      <c r="F51" s="138"/>
      <c r="G51" s="138" t="n">
        <v>0</v>
      </c>
      <c r="H51" s="139" t="str">
        <f aca="false">IFERROR(G51/F51-1,"-")</f>
        <v>-</v>
      </c>
      <c r="I51" s="140" t="n">
        <f aca="false">G51-F51</f>
        <v>0</v>
      </c>
      <c r="J51" s="141"/>
      <c r="K51" s="139" t="str">
        <f aca="false">IFERROR(G51/J51-1,"-")</f>
        <v>-</v>
      </c>
      <c r="L51" s="142" t="n">
        <f aca="false">G51-J51</f>
        <v>0</v>
      </c>
    </row>
    <row r="52" customFormat="false" ht="14.25" hidden="false" customHeight="true" outlineLevel="0" collapsed="false">
      <c r="A52" s="85"/>
      <c r="B52" s="84" t="s">
        <v>179</v>
      </c>
      <c r="C52" s="65" t="s">
        <v>179</v>
      </c>
      <c r="D52" s="26" t="s">
        <v>179</v>
      </c>
      <c r="E52" s="138"/>
      <c r="F52" s="138"/>
      <c r="G52" s="138" t="n">
        <v>0</v>
      </c>
      <c r="H52" s="139" t="str">
        <f aca="false">IFERROR(G52/F52-1,"-")</f>
        <v>-</v>
      </c>
      <c r="I52" s="140" t="n">
        <f aca="false">G52-F52</f>
        <v>0</v>
      </c>
      <c r="J52" s="141"/>
      <c r="K52" s="139" t="str">
        <f aca="false">IFERROR(G52/J52-1,"-")</f>
        <v>-</v>
      </c>
      <c r="L52" s="142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E3" activeCellId="0" sqref="E3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181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s">
        <v>182</v>
      </c>
      <c r="F2" s="133" t="s">
        <v>183</v>
      </c>
      <c r="G2" s="133" t="s">
        <v>184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ינואר!E3+פברואר!E3</f>
        <v>346988.66</v>
      </c>
      <c r="F3" s="138" t="n">
        <f aca="false">ינואר!F3+פברואר!F3</f>
        <v>291637.7</v>
      </c>
      <c r="G3" s="138" t="n">
        <f aca="false">ינואר!G3+פברואר!G3</f>
        <v>427456.2</v>
      </c>
      <c r="H3" s="139" t="n">
        <f aca="false">G3/F3-1</f>
        <v>0.465709680195668</v>
      </c>
      <c r="I3" s="140" t="n">
        <f aca="false">G3-F3</f>
        <v>135818.5</v>
      </c>
      <c r="J3" s="138" t="n">
        <f aca="false">ינואר!J3+פברואר!J3</f>
        <v>344920.634920635</v>
      </c>
      <c r="K3" s="139" t="n">
        <f aca="false">G3/J3-1</f>
        <v>0.239288568798895</v>
      </c>
      <c r="L3" s="142" t="n">
        <f aca="false">G3-J3</f>
        <v>82535.565079365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ינואר!E4+פברואר!E4</f>
        <v>874720.392</v>
      </c>
      <c r="F4" s="138" t="n">
        <f aca="false">ינואר!F4+פברואר!F4</f>
        <v>1077707.54590001</v>
      </c>
      <c r="G4" s="138" t="n">
        <f aca="false">ינואר!G4+פברואר!G4</f>
        <v>893640.293</v>
      </c>
      <c r="H4" s="139" t="n">
        <f aca="false">G4/F4-1</f>
        <v>-0.170795178710836</v>
      </c>
      <c r="I4" s="140" t="n">
        <f aca="false">G4-F4</f>
        <v>-184067.252900008</v>
      </c>
      <c r="J4" s="138" t="n">
        <f aca="false">ינואר!J4+פברואר!J4</f>
        <v>1069301.58730159</v>
      </c>
      <c r="K4" s="139" t="n">
        <f aca="false">G4/J4-1</f>
        <v>-0.164276660941722</v>
      </c>
      <c r="L4" s="142" t="n">
        <f aca="false">G4-J4</f>
        <v>-175661.294301588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ינואר!E5+פברואר!E5</f>
        <v>145758.613</v>
      </c>
      <c r="F5" s="138" t="n">
        <f aca="false">ינואר!F5+פברואר!F5</f>
        <v>120452.15</v>
      </c>
      <c r="G5" s="138" t="n">
        <f aca="false">ינואר!G5+פברואר!G5</f>
        <v>136033.079</v>
      </c>
      <c r="H5" s="139" t="n">
        <f aca="false">G5/F5-1</f>
        <v>0.129353681109055</v>
      </c>
      <c r="I5" s="140" t="n">
        <f aca="false">G5-F5</f>
        <v>15580.929</v>
      </c>
      <c r="J5" s="138" t="n">
        <f aca="false">ינואר!J5+פברואר!J5</f>
        <v>146428.571428571</v>
      </c>
      <c r="K5" s="139" t="n">
        <f aca="false">G5/J5-1</f>
        <v>-0.0709936068292683</v>
      </c>
      <c r="L5" s="142" t="n">
        <f aca="false">G5-J5</f>
        <v>-10395.4924285714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ינואר!E6+פברואר!E6</f>
        <v>328166.53</v>
      </c>
      <c r="F6" s="138" t="n">
        <f aca="false">ינואר!F6+פברואר!F6</f>
        <v>269570.204100001</v>
      </c>
      <c r="G6" s="138" t="n">
        <f aca="false">ינואר!G6+פברואר!G6</f>
        <v>332892.03</v>
      </c>
      <c r="H6" s="139" t="n">
        <f aca="false">G6/F6-1</f>
        <v>0.234899202274258</v>
      </c>
      <c r="I6" s="140" t="n">
        <f aca="false">G6-F6</f>
        <v>63321.825899999</v>
      </c>
      <c r="J6" s="138" t="n">
        <f aca="false">ינואר!J6+פברואר!J6</f>
        <v>309126.984126984</v>
      </c>
      <c r="K6" s="139" t="n">
        <f aca="false">G6/J6-1</f>
        <v>0.0768779404364575</v>
      </c>
      <c r="L6" s="142" t="n">
        <f aca="false">G6-J6</f>
        <v>23765.045873016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ינואר!E7+פברואר!E7</f>
        <v>800096</v>
      </c>
      <c r="F7" s="138" t="n">
        <f aca="false">ינואר!F7+פברואר!F7</f>
        <v>698202</v>
      </c>
      <c r="G7" s="138" t="n">
        <f aca="false">ינואר!G7+פברואר!G7</f>
        <v>619233.55</v>
      </c>
      <c r="H7" s="139" t="n">
        <f aca="false">G7/F7-1</f>
        <v>-0.113102583493029</v>
      </c>
      <c r="I7" s="140" t="n">
        <f aca="false">G7-F7</f>
        <v>-78968.45</v>
      </c>
      <c r="J7" s="138" t="n">
        <f aca="false">ינואר!J7+פברואר!J7</f>
        <v>730000</v>
      </c>
      <c r="K7" s="139" t="n">
        <f aca="false">G7/J7-1</f>
        <v>-0.151734863013699</v>
      </c>
      <c r="L7" s="142" t="n">
        <f aca="false">G7-J7</f>
        <v>-110766.45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ינואר!E8+פברואר!E8</f>
        <v>166341</v>
      </c>
      <c r="F8" s="138" t="n">
        <f aca="false">ינואר!F8+פברואר!F8</f>
        <v>139980.78</v>
      </c>
      <c r="G8" s="138" t="n">
        <f aca="false">ינואר!G8+פברואר!G8</f>
        <v>119640.42</v>
      </c>
      <c r="H8" s="139" t="n">
        <f aca="false">G8/F8-1</f>
        <v>-0.145308234459045</v>
      </c>
      <c r="I8" s="140" t="n">
        <f aca="false">G8-F8</f>
        <v>-20340.36</v>
      </c>
      <c r="J8" s="138" t="n">
        <f aca="false">ינואר!J8+פברואר!J8</f>
        <v>192698.412698412</v>
      </c>
      <c r="K8" s="139" t="n">
        <f aca="false">G8/J8-1</f>
        <v>-0.379131263591432</v>
      </c>
      <c r="L8" s="142" t="n">
        <f aca="false">G8-J8</f>
        <v>-73057.9926984123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ינואר!E9+פברואר!E9</f>
        <v>177719.3</v>
      </c>
      <c r="F9" s="138" t="n">
        <f aca="false">ינואר!F9+פברואר!F9</f>
        <v>119011.41</v>
      </c>
      <c r="G9" s="138" t="n">
        <f aca="false">ינואר!G9+פברואר!G9</f>
        <v>167900.26</v>
      </c>
      <c r="H9" s="139" t="n">
        <f aca="false">G9/F9-1</f>
        <v>0.410791284633969</v>
      </c>
      <c r="I9" s="140" t="n">
        <f aca="false">G9-F9</f>
        <v>48888.85</v>
      </c>
      <c r="J9" s="138" t="n">
        <f aca="false">ינואר!J9+פברואר!J9</f>
        <v>282662.698412698</v>
      </c>
      <c r="K9" s="139" t="n">
        <f aca="false">G9/J9-1</f>
        <v>-0.406004892251968</v>
      </c>
      <c r="L9" s="142" t="n">
        <f aca="false">G9-J9</f>
        <v>-114762.438412698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ינואר!E10+פברואר!E10</f>
        <v>27010.61</v>
      </c>
      <c r="F10" s="138" t="n">
        <f aca="false">ינואר!F10+פברואר!F10</f>
        <v>33992.62</v>
      </c>
      <c r="G10" s="138" t="n">
        <f aca="false">ינואר!G10+פברואר!G10</f>
        <v>29441.75</v>
      </c>
      <c r="H10" s="139" t="n">
        <f aca="false">G10/F10-1</f>
        <v>-0.133878177086673</v>
      </c>
      <c r="I10" s="140" t="n">
        <f aca="false">G10-F10</f>
        <v>-4550.87</v>
      </c>
      <c r="J10" s="138" t="n">
        <f aca="false">ינואר!J10+פברואר!J10</f>
        <v>30912.6984126984</v>
      </c>
      <c r="K10" s="139" t="n">
        <f aca="false">G10/J10-1</f>
        <v>-0.0475839537869058</v>
      </c>
      <c r="L10" s="142" t="n">
        <f aca="false">G10-J10</f>
        <v>-1470.9484126984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ינואר!E11+פברואר!E11</f>
        <v>5667.68</v>
      </c>
      <c r="F11" s="138" t="n">
        <f aca="false">ינואר!F11+פברואר!F11</f>
        <v>10071.31</v>
      </c>
      <c r="G11" s="138" t="n">
        <f aca="false">ינואר!G11+פברואר!G11</f>
        <v>9213.72</v>
      </c>
      <c r="H11" s="139" t="n">
        <f aca="false">G11/F11-1</f>
        <v>-0.0851517826380082</v>
      </c>
      <c r="I11" s="140" t="n">
        <f aca="false">G11-F11</f>
        <v>-857.589999999998</v>
      </c>
      <c r="J11" s="138" t="n">
        <f aca="false">ינואר!J11+פברואר!J11</f>
        <v>14269.8412698413</v>
      </c>
      <c r="K11" s="139" t="n">
        <f aca="false">G11/J11-1</f>
        <v>-0.354322180200222</v>
      </c>
      <c r="L11" s="142" t="n">
        <f aca="false">G11-J11</f>
        <v>-5056.12126984127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ינואר!E12+פברואר!E12</f>
        <v>0</v>
      </c>
      <c r="F12" s="138" t="n">
        <f aca="false">ינואר!F12+פברואר!F12</f>
        <v>1732.3</v>
      </c>
      <c r="G12" s="138" t="n">
        <f aca="false">ינואר!G12+פברואר!G12</f>
        <v>810.6</v>
      </c>
      <c r="H12" s="139" t="n">
        <f aca="false">G12/F12-1</f>
        <v>-0.532067193904058</v>
      </c>
      <c r="I12" s="140" t="n">
        <f aca="false">G12-F12</f>
        <v>-921.7</v>
      </c>
      <c r="J12" s="138" t="n">
        <f aca="false">ינואר!J12+פברואר!J12</f>
        <v>0</v>
      </c>
      <c r="K12" s="139"/>
      <c r="L12" s="142" t="n">
        <f aca="false">G12-J12</f>
        <v>810.6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ינואר!E13+פברואר!E13</f>
        <v>0</v>
      </c>
      <c r="F13" s="138" t="n">
        <f aca="false">ינואר!F13+פברואר!F13</f>
        <v>0</v>
      </c>
      <c r="G13" s="138" t="n">
        <f aca="false">ינואר!G13+פברואר!G13</f>
        <v>0</v>
      </c>
      <c r="H13" s="139" t="str">
        <f aca="false">IFERROR(G13/F13-1,"-")</f>
        <v>-</v>
      </c>
      <c r="I13" s="140" t="n">
        <f aca="false">G13-F13</f>
        <v>0</v>
      </c>
      <c r="J13" s="138" t="n">
        <f aca="false">ינואר!J13+פברואר!J13</f>
        <v>0</v>
      </c>
      <c r="K13" s="139" t="str">
        <f aca="false">IFERROR(G13/J13-1,"-")</f>
        <v>-</v>
      </c>
      <c r="L13" s="142" t="n">
        <f aca="false">G13-J13</f>
        <v>0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ינואר!E14+פברואר!E14</f>
        <v>0</v>
      </c>
      <c r="F14" s="138" t="n">
        <f aca="false">ינואר!F14+פברואר!F14</f>
        <v>11067.51</v>
      </c>
      <c r="G14" s="138" t="n">
        <f aca="false">ינואר!G14+פברואר!G14</f>
        <v>3470.98</v>
      </c>
      <c r="H14" s="139" t="n">
        <f aca="false">G14/F14-1</f>
        <v>-0.686381128185111</v>
      </c>
      <c r="I14" s="140" t="n">
        <f aca="false">G14-F14</f>
        <v>-7596.53</v>
      </c>
      <c r="J14" s="138" t="n">
        <f aca="false">ינואר!J14+פברואר!J14</f>
        <v>0</v>
      </c>
      <c r="K14" s="139"/>
      <c r="L14" s="142" t="n">
        <f aca="false">G14-J14</f>
        <v>3470.98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ינואר!E15+פברואר!E15</f>
        <v>12728.48</v>
      </c>
      <c r="F15" s="138" t="n">
        <f aca="false">ינואר!F15+פברואר!F15</f>
        <v>27715.47</v>
      </c>
      <c r="G15" s="138" t="n">
        <f aca="false">ינואר!G15+פברואר!G15</f>
        <v>26737.64</v>
      </c>
      <c r="H15" s="139" t="n">
        <f aca="false">G15/F15-1</f>
        <v>-0.0352810181461835</v>
      </c>
      <c r="I15" s="140" t="n">
        <f aca="false">G15-F15</f>
        <v>-977.830000000002</v>
      </c>
      <c r="J15" s="138" t="n">
        <f aca="false">ינואר!J15+פברואר!J15</f>
        <v>32539.6825396826</v>
      </c>
      <c r="K15" s="139" t="n">
        <f aca="false">G15/J15-1</f>
        <v>-0.178306673170733</v>
      </c>
      <c r="L15" s="142" t="n">
        <f aca="false">G15-J15</f>
        <v>-5802.0425396826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</f>
        <v>2885197.265</v>
      </c>
      <c r="F16" s="144" t="n">
        <f aca="false">SUM(F3:F15)</f>
        <v>2801141.00000001</v>
      </c>
      <c r="G16" s="144" t="n">
        <f aca="false">SUM(G3:G15)</f>
        <v>2766470.522</v>
      </c>
      <c r="H16" s="145" t="n">
        <f aca="false">G16/F16-1</f>
        <v>-0.0123772698339744</v>
      </c>
      <c r="I16" s="144" t="n">
        <f aca="false">SUM(I3:I15)</f>
        <v>-34670.4780000088</v>
      </c>
      <c r="J16" s="144" t="n">
        <f aca="false">SUM(J3:J15)</f>
        <v>3152861.11111111</v>
      </c>
      <c r="K16" s="145" t="n">
        <f aca="false">G16/J16-1</f>
        <v>-0.12255236608724</v>
      </c>
      <c r="L16" s="144" t="n">
        <f aca="false">SUM(L3:L15)</f>
        <v>-386390.589111111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ינואר!E17+פברואר!E17</f>
        <v>83293.46</v>
      </c>
      <c r="F17" s="138" t="n">
        <f aca="false">ינואר!F17+פברואר!F17</f>
        <v>190219.349999999</v>
      </c>
      <c r="G17" s="138" t="n">
        <f aca="false">ינואר!G17+פברואר!G17</f>
        <v>448785.319999998</v>
      </c>
      <c r="H17" s="139" t="n">
        <f aca="false">G17/F17-1</f>
        <v>1.35930424533571</v>
      </c>
      <c r="I17" s="140" t="n">
        <f aca="false">G17-F17</f>
        <v>258565.969999999</v>
      </c>
      <c r="J17" s="138" t="n">
        <f aca="false">ינואר!J17+פברואר!J17</f>
        <v>741525.423728813</v>
      </c>
      <c r="K17" s="139" t="n">
        <f aca="false">G17/J17-1</f>
        <v>-0.394780939885717</v>
      </c>
      <c r="L17" s="142" t="n">
        <f aca="false">G17-J17</f>
        <v>-292740.103728815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ינואר!E18+פברואר!E18</f>
        <v>4110.54</v>
      </c>
      <c r="F18" s="138" t="n">
        <f aca="false">ינואר!F18+פברואר!F18</f>
        <v>5221.12</v>
      </c>
      <c r="G18" s="138" t="n">
        <f aca="false">ינואר!G18+פברואר!G18</f>
        <v>3021.4</v>
      </c>
      <c r="H18" s="139" t="n">
        <f aca="false">G18/F18-1</f>
        <v>-0.421311902427065</v>
      </c>
      <c r="I18" s="140" t="n">
        <f aca="false">G18-F18</f>
        <v>-2199.72</v>
      </c>
      <c r="J18" s="138" t="n">
        <f aca="false">ינואר!J18+פברואר!J18</f>
        <v>5073.85666666666</v>
      </c>
      <c r="K18" s="139" t="n">
        <f aca="false">G18/J18-1</f>
        <v>-0.404516091309897</v>
      </c>
      <c r="L18" s="142" t="n">
        <f aca="false">G18-J18</f>
        <v>-2052.45666666666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2972601.265</v>
      </c>
      <c r="F19" s="146" t="n">
        <f aca="false">F16+F17+F18</f>
        <v>2996581.47000001</v>
      </c>
      <c r="G19" s="146" t="n">
        <f aca="false">G16+G17+G18</f>
        <v>3218277.242</v>
      </c>
      <c r="H19" s="147" t="n">
        <f aca="false">G19/F19-1</f>
        <v>0.0739828949152477</v>
      </c>
      <c r="I19" s="146" t="n">
        <f aca="false">I16+I17+I18</f>
        <v>221695.77199999</v>
      </c>
      <c r="J19" s="146" t="n">
        <f aca="false">J16+J17+J18</f>
        <v>3899460.39150659</v>
      </c>
      <c r="K19" s="147" t="n">
        <f aca="false">G19/J19-1</f>
        <v>-0.174686515854931</v>
      </c>
      <c r="L19" s="146" t="n">
        <f aca="false">L16+L17+L18</f>
        <v>-681183.149506593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ינואר!E20+פברואר!E20</f>
        <v>769502.56</v>
      </c>
      <c r="F20" s="138" t="n">
        <f aca="false">ינואר!F20+פברואר!F20</f>
        <v>375709.11</v>
      </c>
      <c r="G20" s="138" t="n">
        <f aca="false">ינואר!G20+פברואר!G20</f>
        <v>372215.89</v>
      </c>
      <c r="H20" s="139" t="n">
        <f aca="false">G20/F20-1</f>
        <v>-0.00929767180785146</v>
      </c>
      <c r="I20" s="140" t="n">
        <f aca="false">G20-F20</f>
        <v>-3493.21999999997</v>
      </c>
      <c r="J20" s="138" t="n">
        <f aca="false">ינואר!J20+פברואר!J20</f>
        <v>584585.0344125</v>
      </c>
      <c r="K20" s="139" t="n">
        <f aca="false">G20/J20-1</f>
        <v>-0.363281869892424</v>
      </c>
      <c r="L20" s="142" t="n">
        <f aca="false">G20-J20</f>
        <v>-212369.1444125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ינואר!E21+פברואר!E21</f>
        <v>256045.17</v>
      </c>
      <c r="F21" s="138" t="n">
        <f aca="false">ינואר!F21+פברואר!F21</f>
        <v>213082.56</v>
      </c>
      <c r="G21" s="138" t="n">
        <f aca="false">ינואר!G21+פברואר!G21</f>
        <v>137198.2</v>
      </c>
      <c r="H21" s="139" t="n">
        <f aca="false">G21/F21-1</f>
        <v>-0.356126564276307</v>
      </c>
      <c r="I21" s="140" t="n">
        <f aca="false">G21-F21</f>
        <v>-75884.36</v>
      </c>
      <c r="J21" s="138" t="n">
        <f aca="false">ינואר!J21+פברואר!J21</f>
        <v>235200</v>
      </c>
      <c r="K21" s="139" t="n">
        <f aca="false">G21/J21-1</f>
        <v>-0.416674319727891</v>
      </c>
      <c r="L21" s="142" t="n">
        <f aca="false">G21-J21</f>
        <v>-98001.8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ינואר!E22+פברואר!E22</f>
        <v>123135.33</v>
      </c>
      <c r="F22" s="138" t="n">
        <f aca="false">ינואר!F22+פברואר!F22</f>
        <v>54123.52</v>
      </c>
      <c r="G22" s="138" t="n">
        <f aca="false">ינואר!G22+פברואר!G22</f>
        <v>142730.79</v>
      </c>
      <c r="H22" s="139" t="n">
        <f aca="false">G22/F22-1</f>
        <v>1.63713058574165</v>
      </c>
      <c r="I22" s="140" t="n">
        <f aca="false">G22-F22</f>
        <v>88607.27</v>
      </c>
      <c r="J22" s="138" t="n">
        <f aca="false">ינואר!J22+פברואר!J22</f>
        <v>136610.27</v>
      </c>
      <c r="K22" s="139" t="n">
        <f aca="false">G22/J22-1</f>
        <v>0.0448027809329414</v>
      </c>
      <c r="L22" s="142" t="n">
        <f aca="false">G22-J22</f>
        <v>6120.51999999999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ינואר!E23+פברואר!E23</f>
        <v>68604.55</v>
      </c>
      <c r="F23" s="138" t="n">
        <f aca="false">ינואר!F23+פברואר!F23</f>
        <v>85563.25</v>
      </c>
      <c r="G23" s="138" t="n">
        <f aca="false">ינואר!G23+פברואר!G23</f>
        <v>67158.97</v>
      </c>
      <c r="H23" s="139" t="n">
        <f aca="false">G23/F23-1</f>
        <v>-0.215095616400733</v>
      </c>
      <c r="I23" s="140" t="n">
        <f aca="false">G23-F23</f>
        <v>-18404.28</v>
      </c>
      <c r="J23" s="138" t="n">
        <f aca="false">ינואר!J23+פברואר!J23</f>
        <v>67158.97</v>
      </c>
      <c r="K23" s="139" t="n">
        <f aca="false">G23/J23-1</f>
        <v>0</v>
      </c>
      <c r="L23" s="142" t="n">
        <f aca="false">G23-J23</f>
        <v>0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ינואר!E24+פברואר!E24</f>
        <v>15923.68</v>
      </c>
      <c r="F24" s="138" t="n">
        <f aca="false">ינואר!F24+פברואר!F24</f>
        <v>16335.18</v>
      </c>
      <c r="G24" s="138" t="n">
        <f aca="false">ינואר!G24+פברואר!G24</f>
        <v>15774.92</v>
      </c>
      <c r="H24" s="139" t="n">
        <f aca="false">G24/F24-1</f>
        <v>-0.0342977549068942</v>
      </c>
      <c r="I24" s="140" t="n">
        <f aca="false">G24-F24</f>
        <v>-560.26</v>
      </c>
      <c r="J24" s="138" t="n">
        <f aca="false">ינואר!J24+פברואר!J24</f>
        <v>15774.92</v>
      </c>
      <c r="K24" s="139" t="n">
        <f aca="false">G24/J24-1</f>
        <v>0</v>
      </c>
      <c r="L24" s="142" t="n">
        <f aca="false">G24-J24</f>
        <v>0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ינואר!E25+פברואר!E25</f>
        <v>50777.76</v>
      </c>
      <c r="F25" s="138" t="n">
        <f aca="false">ינואר!F25+פברואר!F25</f>
        <v>0</v>
      </c>
      <c r="G25" s="138" t="n">
        <f aca="false">ינואר!G25+פברואר!G25</f>
        <v>0</v>
      </c>
      <c r="H25" s="139" t="str">
        <f aca="false">IFERROR(G25/F25-1,"-")</f>
        <v>-</v>
      </c>
      <c r="I25" s="140" t="n">
        <f aca="false">G25-F25</f>
        <v>0</v>
      </c>
      <c r="J25" s="138" t="n">
        <f aca="false">ינואר!J25+פברואר!J25</f>
        <v>0</v>
      </c>
      <c r="K25" s="139" t="str">
        <f aca="false">IFERROR(G25/J25-1,"-")</f>
        <v>-</v>
      </c>
      <c r="L25" s="142" t="n">
        <f aca="false">G25-J25</f>
        <v>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ינואר!E26+פברואר!E26</f>
        <v>249206.12</v>
      </c>
      <c r="F26" s="138" t="n">
        <f aca="false">ינואר!F26+פברואר!F26</f>
        <v>0</v>
      </c>
      <c r="G26" s="138" t="n">
        <f aca="false">ינואר!G26+פברואר!G26</f>
        <v>-1269.06</v>
      </c>
      <c r="H26" s="139" t="str">
        <f aca="false">IFERROR(G26/F26-1,"-")</f>
        <v>-</v>
      </c>
      <c r="I26" s="140" t="n">
        <f aca="false">G26-F26</f>
        <v>-1269.06</v>
      </c>
      <c r="J26" s="138" t="n">
        <f aca="false">ינואר!J26+פברואר!J26</f>
        <v>0</v>
      </c>
      <c r="K26" s="139" t="str">
        <f aca="false">IFERROR(G26/J26-1,"-")</f>
        <v>-</v>
      </c>
      <c r="L26" s="142" t="n">
        <f aca="false">G26-J26</f>
        <v>-1269.06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ינואר!E27+פברואר!E27</f>
        <v>23907.35</v>
      </c>
      <c r="F27" s="138" t="n">
        <f aca="false">ינואר!F27+פברואר!F27</f>
        <v>0</v>
      </c>
      <c r="G27" s="138" t="n">
        <f aca="false">ינואר!G27+פברואר!G27</f>
        <v>42152.31</v>
      </c>
      <c r="H27" s="139" t="str">
        <f aca="false">IFERROR(G27/F27-1,"-")</f>
        <v>-</v>
      </c>
      <c r="I27" s="140" t="n">
        <f aca="false">G27-F27</f>
        <v>42152.31</v>
      </c>
      <c r="J27" s="138" t="n">
        <f aca="false">ינואר!J27+פברואר!J27</f>
        <v>40000</v>
      </c>
      <c r="K27" s="139" t="n">
        <f aca="false">G27/J27-1</f>
        <v>0.05380775</v>
      </c>
      <c r="L27" s="142" t="n">
        <f aca="false">G27-J27</f>
        <v>2152.31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ינואר!E28+פברואר!E28</f>
        <v>0</v>
      </c>
      <c r="F28" s="138" t="n">
        <f aca="false">ינואר!F28+פברואר!F28</f>
        <v>0</v>
      </c>
      <c r="G28" s="138" t="n">
        <f aca="false">ינואר!G28+פברואר!G28</f>
        <v>0</v>
      </c>
      <c r="H28" s="139" t="str">
        <f aca="false">IFERROR(G28/F28-1,"-")</f>
        <v>-</v>
      </c>
      <c r="I28" s="140" t="n">
        <f aca="false">G28-F28</f>
        <v>0</v>
      </c>
      <c r="J28" s="138" t="n">
        <f aca="false">ינואר!J28+פברואר!J28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ינואר!E29+פברואר!E29</f>
        <v>49906.61</v>
      </c>
      <c r="F29" s="138" t="n">
        <f aca="false">ינואר!F29+פברואר!F29</f>
        <v>49474.45</v>
      </c>
      <c r="G29" s="138" t="n">
        <f aca="false">ינואר!G29+פברואר!G29</f>
        <v>52124.75</v>
      </c>
      <c r="H29" s="139" t="n">
        <f aca="false">G29/F29-1</f>
        <v>0.0535690644362898</v>
      </c>
      <c r="I29" s="140" t="n">
        <f aca="false">G29-F29</f>
        <v>2650.3</v>
      </c>
      <c r="J29" s="138" t="n">
        <f aca="false">ינואר!J29+פברואר!J29</f>
        <v>52349.24</v>
      </c>
      <c r="K29" s="139" t="n">
        <f aca="false">G29/J29-1</f>
        <v>-0.00428831440532862</v>
      </c>
      <c r="L29" s="142" t="n">
        <f aca="false">G29-J29</f>
        <v>-224.490000000005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ינואר!E30+פברואר!E30</f>
        <v>0</v>
      </c>
      <c r="F30" s="138" t="n">
        <f aca="false">ינואר!F30+פברואר!F30</f>
        <v>0</v>
      </c>
      <c r="G30" s="138" t="n">
        <f aca="false">ינואר!G30+פברואר!G30</f>
        <v>0</v>
      </c>
      <c r="H30" s="139" t="str">
        <f aca="false">IFERROR(G30/F30-1,"-")</f>
        <v>-</v>
      </c>
      <c r="I30" s="140" t="n">
        <f aca="false">G30-F30</f>
        <v>0</v>
      </c>
      <c r="J30" s="138" t="n">
        <f aca="false">ינואר!J30+פברואר!J30</f>
        <v>0</v>
      </c>
      <c r="K30" s="139" t="str">
        <f aca="false">IFERROR(G30/J30-1,"-")</f>
        <v>-</v>
      </c>
      <c r="L30" s="142" t="n">
        <f aca="false">G30-J30</f>
        <v>0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ינואר!E31+פברואר!E31</f>
        <v>0</v>
      </c>
      <c r="F31" s="138" t="n">
        <f aca="false">ינואר!F31+פברואר!F31</f>
        <v>19897.57</v>
      </c>
      <c r="G31" s="138" t="n">
        <f aca="false">ינואר!G31+פברואר!G31</f>
        <v>0</v>
      </c>
      <c r="H31" s="139" t="n">
        <f aca="false">G31/F31-1</f>
        <v>-1</v>
      </c>
      <c r="I31" s="140" t="n">
        <f aca="false">G31-F31</f>
        <v>-19897.57</v>
      </c>
      <c r="J31" s="138" t="n">
        <f aca="false">ינואר!J31+פברואר!J31</f>
        <v>0</v>
      </c>
      <c r="K31" s="139" t="str">
        <f aca="false">IFERROR(G31/J31-1,"-")</f>
        <v>-</v>
      </c>
      <c r="L31" s="142" t="n">
        <f aca="false">G31-J31</f>
        <v>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ינואר!E32+פברואר!E32</f>
        <v>0</v>
      </c>
      <c r="F32" s="138" t="n">
        <f aca="false">ינואר!F32+פברואר!F32</f>
        <v>0</v>
      </c>
      <c r="G32" s="138" t="n">
        <f aca="false">ינואר!G32+פברואר!G32</f>
        <v>0</v>
      </c>
      <c r="H32" s="139" t="str">
        <f aca="false">IFERROR(G32/F32-1,"-")</f>
        <v>-</v>
      </c>
      <c r="I32" s="140" t="n">
        <f aca="false">G32-F32</f>
        <v>0</v>
      </c>
      <c r="J32" s="138" t="n">
        <f aca="false">ינואר!J32+פברואר!J32</f>
        <v>0</v>
      </c>
      <c r="K32" s="139" t="str">
        <f aca="false">IFERROR(G32/J32-1,"-")</f>
        <v>-</v>
      </c>
      <c r="L32" s="142" t="n">
        <f aca="false">G32-J32</f>
        <v>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 t="n">
        <f aca="false">ינואר!E33+פברואר!E33</f>
        <v>0</v>
      </c>
      <c r="F33" s="138" t="n">
        <f aca="false">ינואר!F33+פברואר!F33</f>
        <v>0</v>
      </c>
      <c r="G33" s="138" t="n">
        <f aca="false">ינואר!G33+פברואר!G33</f>
        <v>0</v>
      </c>
      <c r="H33" s="139" t="str">
        <f aca="false">IFERROR(G33/F33-1,"-")</f>
        <v>-</v>
      </c>
      <c r="I33" s="140" t="n">
        <f aca="false">G33-F33</f>
        <v>0</v>
      </c>
      <c r="J33" s="138" t="n">
        <f aca="false">ינואר!J33+פברואר!J33</f>
        <v>0</v>
      </c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ינואר!E34+פברואר!E34</f>
        <v>40674.3</v>
      </c>
      <c r="F34" s="138" t="n">
        <f aca="false">ינואר!F34+פברואר!F34</f>
        <v>20695.69</v>
      </c>
      <c r="G34" s="138" t="n">
        <f aca="false">ינואר!G34+פברואר!G34</f>
        <v>18792.66</v>
      </c>
      <c r="H34" s="139" t="n">
        <f aca="false">G34/F34-1</f>
        <v>-0.0919529621868128</v>
      </c>
      <c r="I34" s="140" t="n">
        <f aca="false">G34-F34</f>
        <v>-1903.03</v>
      </c>
      <c r="J34" s="138" t="n">
        <f aca="false">ינואר!J34+פברואר!J34</f>
        <v>18792.66</v>
      </c>
      <c r="K34" s="139" t="n">
        <f aca="false">G34/J34-1</f>
        <v>0</v>
      </c>
      <c r="L34" s="142" t="n">
        <f aca="false">G34-J34</f>
        <v>0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ינואר!E35+פברואר!E35</f>
        <v>34034.18</v>
      </c>
      <c r="F35" s="138" t="n">
        <f aca="false">ינואר!F35+פברואר!F35</f>
        <v>0</v>
      </c>
      <c r="G35" s="138" t="n">
        <f aca="false">ינואר!G35+פברואר!G35</f>
        <v>0</v>
      </c>
      <c r="H35" s="139" t="str">
        <f aca="false">IFERROR(G35/F35-1,"-")</f>
        <v>-</v>
      </c>
      <c r="I35" s="140" t="n">
        <f aca="false">G35-F35</f>
        <v>0</v>
      </c>
      <c r="J35" s="138" t="n">
        <f aca="false">ינואר!J35+פברואר!J35</f>
        <v>0</v>
      </c>
      <c r="K35" s="139" t="str">
        <f aca="false">IFERROR(G35/J35-1,"-")</f>
        <v>-</v>
      </c>
      <c r="L35" s="142" t="n">
        <f aca="false">G35-J35</f>
        <v>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ינואר!E36+פברואר!E36</f>
        <v>0</v>
      </c>
      <c r="F36" s="138" t="n">
        <f aca="false">ינואר!F36+פברואר!F36</f>
        <v>0</v>
      </c>
      <c r="G36" s="138" t="n">
        <f aca="false">ינואר!G36+פברואר!G36</f>
        <v>0</v>
      </c>
      <c r="H36" s="139" t="str">
        <f aca="false">IFERROR(G36/F36-1,"-")</f>
        <v>-</v>
      </c>
      <c r="I36" s="140" t="n">
        <f aca="false">G36-F36</f>
        <v>0</v>
      </c>
      <c r="J36" s="138" t="n">
        <f aca="false">ינואר!J36+פברואר!J36</f>
        <v>0</v>
      </c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ינואר!E37+פברואר!E37</f>
        <v>0</v>
      </c>
      <c r="F37" s="138" t="n">
        <f aca="false">ינואר!F37+פברואר!F37</f>
        <v>0</v>
      </c>
      <c r="G37" s="138" t="n">
        <f aca="false">ינואר!G37+פברואר!G37</f>
        <v>0</v>
      </c>
      <c r="H37" s="139" t="str">
        <f aca="false">IFERROR(G37/F37-1,"-")</f>
        <v>-</v>
      </c>
      <c r="I37" s="140" t="n">
        <f aca="false">G37-F37</f>
        <v>0</v>
      </c>
      <c r="J37" s="138" t="n">
        <f aca="false">ינואר!J37+פברואר!J37</f>
        <v>0</v>
      </c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ינואר!E38+פברואר!E38</f>
        <v>0</v>
      </c>
      <c r="F38" s="138" t="n">
        <f aca="false">ינואר!F38+פברואר!F38</f>
        <v>0</v>
      </c>
      <c r="G38" s="138" t="n">
        <f aca="false">ינואר!G38+פברואר!G38</f>
        <v>0</v>
      </c>
      <c r="H38" s="139" t="str">
        <f aca="false">IFERROR(G38/F38-1,"-")</f>
        <v>-</v>
      </c>
      <c r="I38" s="140" t="n">
        <f aca="false">G38-F38</f>
        <v>0</v>
      </c>
      <c r="J38" s="138" t="n">
        <f aca="false">ינואר!J38+פברואר!J38</f>
        <v>0</v>
      </c>
      <c r="K38" s="139" t="str">
        <f aca="false">IFERROR(G38/J38-1,"-")</f>
        <v>-</v>
      </c>
      <c r="L38" s="142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 t="n">
        <f aca="false">ינואר!E39+פברואר!E39</f>
        <v>0</v>
      </c>
      <c r="F39" s="138" t="n">
        <f aca="false">ינואר!F39+פברואר!F39</f>
        <v>0</v>
      </c>
      <c r="G39" s="138" t="n">
        <f aca="false">ינואר!G39+פברואר!G39</f>
        <v>0</v>
      </c>
      <c r="H39" s="139" t="str">
        <f aca="false">IFERROR(G39/F39-1,"-")</f>
        <v>-</v>
      </c>
      <c r="I39" s="140" t="n">
        <f aca="false">G39-F39</f>
        <v>0</v>
      </c>
      <c r="J39" s="138" t="n">
        <f aca="false">ינואר!J39+פברואר!J39</f>
        <v>0</v>
      </c>
      <c r="K39" s="139" t="str">
        <f aca="false">IFERROR(G39/J39-1,"-")</f>
        <v>-</v>
      </c>
      <c r="L39" s="142" t="n">
        <f aca="false">G39-J39</f>
        <v>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</f>
        <v>1681717.61</v>
      </c>
      <c r="F40" s="149" t="n">
        <f aca="false">SUM(F20:F39)</f>
        <v>834881.33</v>
      </c>
      <c r="G40" s="149" t="n">
        <f aca="false">SUM(G20:G39)</f>
        <v>846879.43</v>
      </c>
      <c r="H40" s="150" t="n">
        <f aca="false">G40/F40-1</f>
        <v>0.01437102444248</v>
      </c>
      <c r="I40" s="149" t="n">
        <f aca="false">SUM(I20:I39)</f>
        <v>11998.1</v>
      </c>
      <c r="J40" s="149" t="n">
        <f aca="false">SUM(J20:J39)</f>
        <v>1150471.0944125</v>
      </c>
      <c r="K40" s="150" t="n">
        <f aca="false">G40/J40-1</f>
        <v>-0.263884652023815</v>
      </c>
      <c r="L40" s="149" t="n">
        <f aca="false">SUM(L20:L39)</f>
        <v>-303591.6644125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4654318.875</v>
      </c>
      <c r="F41" s="152" t="n">
        <f aca="false">F40+F19</f>
        <v>3831462.80000001</v>
      </c>
      <c r="G41" s="152" t="n">
        <f aca="false">G40+G19</f>
        <v>4065156.672</v>
      </c>
      <c r="H41" s="153" t="n">
        <f aca="false">G41/F41-1</f>
        <v>0.0609933814312353</v>
      </c>
      <c r="I41" s="152" t="n">
        <f aca="false">I40+I19</f>
        <v>233693.87199999</v>
      </c>
      <c r="J41" s="152" t="n">
        <f aca="false">J40+J19</f>
        <v>5049931.48591909</v>
      </c>
      <c r="K41" s="153" t="n">
        <f aca="false">G41/J41-1</f>
        <v>-0.195007559343127</v>
      </c>
      <c r="L41" s="152" t="n">
        <f aca="false">L40+L19</f>
        <v>-984774.813919093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0.361324106741612</v>
      </c>
      <c r="F42" s="155" t="n">
        <f aca="false">F40/F41</f>
        <v>0.21790145789749</v>
      </c>
      <c r="G42" s="155" t="n">
        <f aca="false">G40/G41</f>
        <v>0.208326393871395</v>
      </c>
      <c r="H42" s="156"/>
      <c r="I42" s="5"/>
      <c r="J42" s="76" t="n">
        <f aca="false">J40-ינואר!J40-פברואר!J40</f>
        <v>0</v>
      </c>
    </row>
    <row r="43" customFormat="false" ht="14.25" hidden="false" customHeight="true" outlineLevel="0" collapsed="false">
      <c r="E43" s="76" t="n">
        <f aca="false">E41-ינואר!E41-פברואר!E41</f>
        <v>0</v>
      </c>
      <c r="I43" s="5"/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4" ySplit="2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L6" activeCellId="0" sqref="L6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185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n">
        <v>3.2024</v>
      </c>
      <c r="F2" s="133" t="n">
        <v>3.2025</v>
      </c>
      <c r="G2" s="133" t="n">
        <v>3.2026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VLOOKUP(A3,'2024'!$A:$O,4,0)</f>
        <v>0</v>
      </c>
      <c r="F3" s="138" t="n">
        <f aca="false">VLOOKUP($A3,'2025'!$A:$O,4,0)</f>
        <v>66608.1</v>
      </c>
      <c r="G3" s="138" t="n">
        <v>123280.14</v>
      </c>
      <c r="H3" s="139" t="n">
        <f aca="false">G3/F3-1</f>
        <v>0.850828052444072</v>
      </c>
      <c r="I3" s="140" t="n">
        <f aca="false">G3-F3</f>
        <v>56672.04</v>
      </c>
      <c r="J3" s="141" t="n">
        <f aca="false">VLOOKUP(B3,'תקציב  '!$B:$S,6,0)*1</f>
        <v>193492.063492064</v>
      </c>
      <c r="K3" s="139" t="n">
        <f aca="false">G3/J3-1</f>
        <v>-0.362867200984415</v>
      </c>
      <c r="L3" s="142" t="n">
        <f aca="false">G3-J3</f>
        <v>-70211.923492064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VLOOKUP(B4,'2024'!$A:$O,4,0)</f>
        <v>442108.94</v>
      </c>
      <c r="F4" s="138" t="n">
        <f aca="false">VLOOKUP($A4,'2025'!$A:$O,4,0)</f>
        <v>437918.572000002</v>
      </c>
      <c r="G4" s="138" t="n">
        <v>418342.47</v>
      </c>
      <c r="H4" s="139" t="n">
        <f aca="false">G4/F4-1</f>
        <v>-0.0447026074062051</v>
      </c>
      <c r="I4" s="140" t="n">
        <f aca="false">G4-F4</f>
        <v>-19576.1020000021</v>
      </c>
      <c r="J4" s="141" t="n">
        <f aca="false">VLOOKUP(B4,'תקציב  '!$B:$S,6,0)*1</f>
        <v>610730.158730159</v>
      </c>
      <c r="K4" s="139" t="n">
        <f aca="false">G4/J4-1</f>
        <v>-0.315012589406384</v>
      </c>
      <c r="L4" s="142" t="n">
        <f aca="false">G4-J4</f>
        <v>-192387.688730159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VLOOKUP(B5,'2024'!$A:$O,4,0)</f>
        <v>98496.489</v>
      </c>
      <c r="F5" s="138" t="n">
        <f aca="false">VLOOKUP($A5,'2025'!$A:$O,4,0)</f>
        <v>58257.29</v>
      </c>
      <c r="G5" s="138" t="n">
        <v>59847.151</v>
      </c>
      <c r="H5" s="139" t="n">
        <f aca="false">G5/F5-1</f>
        <v>0.0272903356815946</v>
      </c>
      <c r="I5" s="140" t="n">
        <f aca="false">G5-F5</f>
        <v>1589.861</v>
      </c>
      <c r="J5" s="141" t="n">
        <f aca="false">VLOOKUP(B5,'תקציב  '!$B:$S,6,0)*1</f>
        <v>82142.8571428571</v>
      </c>
      <c r="K5" s="139" t="n">
        <f aca="false">G5/J5-1</f>
        <v>-0.271425987826087</v>
      </c>
      <c r="L5" s="142" t="n">
        <f aca="false">G5-J5</f>
        <v>-22295.7061428571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VLOOKUP(B6,'2024'!$A:$O,4,0)</f>
        <v>155174.617</v>
      </c>
      <c r="F6" s="138" t="n">
        <f aca="false">VLOOKUP($A6,'2025'!$A:$O,4,0)</f>
        <v>153012.03</v>
      </c>
      <c r="G6" s="138" t="n">
        <v>122676.557</v>
      </c>
      <c r="H6" s="139" t="n">
        <f aca="false">G6/F6-1</f>
        <v>-0.198255477036675</v>
      </c>
      <c r="I6" s="140" t="n">
        <f aca="false">G6-F6</f>
        <v>-30335.473</v>
      </c>
      <c r="J6" s="141" t="n">
        <f aca="false">VLOOKUP(A6,'תקציב  '!$B:$S,6,0)*1</f>
        <v>173412.698412698</v>
      </c>
      <c r="K6" s="139" t="n">
        <f aca="false">G6/J6-1</f>
        <v>-0.292574545446223</v>
      </c>
      <c r="L6" s="142" t="n">
        <f aca="false">G6-J6</f>
        <v>-50736.141412698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VLOOKUP(A7,'2024'!$A:$O,4,0)</f>
        <v>389673.5</v>
      </c>
      <c r="F7" s="138" t="n">
        <f aca="false">VLOOKUP($A7,'2025'!$A:$O,4,0)</f>
        <v>376182</v>
      </c>
      <c r="G7" s="138" t="n">
        <v>244180.55</v>
      </c>
      <c r="H7" s="139" t="n">
        <f aca="false">G7/F7-1</f>
        <v>-0.350897836685434</v>
      </c>
      <c r="I7" s="140" t="n">
        <f aca="false">G7-F7</f>
        <v>-132001.45</v>
      </c>
      <c r="J7" s="141" t="n">
        <f aca="false">VLOOKUP(B7,'תקציב  '!$B:$S,6,0)*1</f>
        <v>365000</v>
      </c>
      <c r="K7" s="139" t="n">
        <f aca="false">G7/J7-1</f>
        <v>-0.331012191780822</v>
      </c>
      <c r="L7" s="142" t="n">
        <f aca="false">G7-J7</f>
        <v>-120819.45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VLOOKUP(A8,'2024'!$A:$O,4,0)</f>
        <v>77394.37</v>
      </c>
      <c r="F8" s="138" t="n">
        <f aca="false">VLOOKUP($A8,'2025'!$A:$O,4,0)</f>
        <v>74502.3</v>
      </c>
      <c r="G8" s="138" t="n">
        <v>55389.04</v>
      </c>
      <c r="H8" s="139" t="n">
        <f aca="false">G8/F8-1</f>
        <v>-0.256545905294199</v>
      </c>
      <c r="I8" s="140" t="n">
        <f aca="false">G8-F8</f>
        <v>-19113.26</v>
      </c>
      <c r="J8" s="141" t="n">
        <f aca="false">VLOOKUP(B8,'תקציב  '!$B:$S,6,0)*1</f>
        <v>111269.841269841</v>
      </c>
      <c r="K8" s="139" t="n">
        <f aca="false">G8/J8-1</f>
        <v>-0.502209768901568</v>
      </c>
      <c r="L8" s="142" t="n">
        <f aca="false">G8-J8</f>
        <v>-55880.801269841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VLOOKUP(A9,'2024'!$A:$O,4,0)</f>
        <v>87247.96</v>
      </c>
      <c r="F9" s="138" t="n">
        <f aca="false">VLOOKUP($A9,'2025'!$A:$O,4,0)</f>
        <v>65531.82</v>
      </c>
      <c r="G9" s="138" t="n">
        <v>48951.14</v>
      </c>
      <c r="H9" s="139" t="n">
        <f aca="false">G9/F9-1</f>
        <v>-0.253017236511972</v>
      </c>
      <c r="I9" s="140" t="n">
        <f aca="false">G9-F9</f>
        <v>-16580.68</v>
      </c>
      <c r="J9" s="141" t="n">
        <f aca="false">VLOOKUP(B9,'תקציב  '!$B:$S,6,0)*1</f>
        <v>160591.26984127</v>
      </c>
      <c r="K9" s="139" t="n">
        <f aca="false">G9/J9-1</f>
        <v>-0.695181811262942</v>
      </c>
      <c r="L9" s="142" t="n">
        <f aca="false">G9-J9</f>
        <v>-111640.12984127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VLOOKUP(A10,'2024'!$A:$O,4,0)</f>
        <v>21528.06</v>
      </c>
      <c r="F10" s="138" t="n">
        <f aca="false">VLOOKUP($A10,'2025'!$A:$O,4,0)</f>
        <v>21300.79</v>
      </c>
      <c r="G10" s="138" t="n">
        <v>6765.24</v>
      </c>
      <c r="H10" s="139" t="n">
        <f aca="false">G10/F10-1</f>
        <v>-0.682394878312025</v>
      </c>
      <c r="I10" s="140" t="n">
        <f aca="false">G10-F10</f>
        <v>-14535.55</v>
      </c>
      <c r="J10" s="141" t="n">
        <f aca="false">VLOOKUP(B10,'תקציב  '!$B:$S,6,0)*1</f>
        <v>17341.2698412698</v>
      </c>
      <c r="K10" s="139" t="n">
        <f aca="false">G10/J10-1</f>
        <v>-0.609876320366132</v>
      </c>
      <c r="L10" s="142" t="n">
        <f aca="false">G10-J10</f>
        <v>-10576.0298412698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VLOOKUP(A11,'2024'!$A:$O,4,0)</f>
        <v>3573.08</v>
      </c>
      <c r="F11" s="138" t="n">
        <f aca="false">VLOOKUP($A11,'2025'!$A:$O,4,0)</f>
        <v>11352.51</v>
      </c>
      <c r="G11" s="138" t="n">
        <v>3196.2</v>
      </c>
      <c r="H11" s="139" t="n">
        <f aca="false">G11/F11-1</f>
        <v>-0.718458737318884</v>
      </c>
      <c r="I11" s="140" t="n">
        <f aca="false">G11-F11</f>
        <v>-8156.31</v>
      </c>
      <c r="J11" s="141" t="n">
        <f aca="false">VLOOKUP(B11,'תקציב  '!$B:$S,6,0)*1</f>
        <v>9126.98412698413</v>
      </c>
      <c r="K11" s="139" t="n">
        <f aca="false">G11/J11-1</f>
        <v>-0.649807652173913</v>
      </c>
      <c r="L11" s="142" t="n">
        <f aca="false">G11-J11</f>
        <v>-5930.78412698413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VLOOKUP(A12,'2024'!$A:$O,4,0)</f>
        <v>0</v>
      </c>
      <c r="F12" s="138" t="n">
        <f aca="false">VLOOKUP($A12,'2025'!$A:$O,4,0)</f>
        <v>0</v>
      </c>
      <c r="G12" s="138" t="n">
        <v>1106.56</v>
      </c>
      <c r="H12" s="139" t="str">
        <f aca="false">IFERROR(G12/F12-1,"-")</f>
        <v>-</v>
      </c>
      <c r="I12" s="140" t="n">
        <f aca="false">G12-F12</f>
        <v>1106.56</v>
      </c>
      <c r="J12" s="141" t="n">
        <f aca="false">VLOOKUP(B12,'תקציב  '!$B:$S,6,0)*1</f>
        <v>0</v>
      </c>
      <c r="K12" s="139"/>
      <c r="L12" s="142" t="n">
        <f aca="false">G12-J12</f>
        <v>1106.56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VLOOKUP(A13,'2024'!$A:$O,4,0)</f>
        <v>0</v>
      </c>
      <c r="F13" s="138" t="n">
        <f aca="false">VLOOKUP($A13,'2025'!$A:$O,4,0)</f>
        <v>0</v>
      </c>
      <c r="G13" s="138"/>
      <c r="H13" s="139" t="str">
        <f aca="false">IFERROR(G13/F13-1,"-")</f>
        <v>-</v>
      </c>
      <c r="I13" s="140" t="n">
        <f aca="false">G13-F13</f>
        <v>0</v>
      </c>
      <c r="J13" s="141" t="n">
        <f aca="false">VLOOKUP(B13,'תקציב  '!$B:$S,6,0)*1</f>
        <v>0</v>
      </c>
      <c r="K13" s="139" t="str">
        <f aca="false">IFERROR(G13/J13-1,"-")</f>
        <v>-</v>
      </c>
      <c r="L13" s="142" t="n">
        <f aca="false">G13-J13</f>
        <v>0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VLOOKUP(A14,'2024'!$A:$O,4,0)</f>
        <v>1275.21</v>
      </c>
      <c r="F14" s="138" t="n">
        <f aca="false">VLOOKUP($A14,'2025'!$A:$O,4,0)</f>
        <v>0</v>
      </c>
      <c r="G14" s="138"/>
      <c r="H14" s="139" t="str">
        <f aca="false">IFERROR(G14/F14-1,"-")</f>
        <v>-</v>
      </c>
      <c r="I14" s="140" t="n">
        <f aca="false">G14-F14</f>
        <v>0</v>
      </c>
      <c r="J14" s="141" t="n">
        <f aca="false">VLOOKUP(B14,'תקציב  '!$B:$S,6,0)*1</f>
        <v>0</v>
      </c>
      <c r="K14" s="139"/>
      <c r="L14" s="142" t="n">
        <f aca="false">G14-J14</f>
        <v>0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VLOOKUP(A15,'2024'!$A:$O,4,0)</f>
        <v>7451.5</v>
      </c>
      <c r="F15" s="138" t="n">
        <f aca="false">VLOOKUP($A15,'2025'!$A:$O,4,0)</f>
        <v>2138.43</v>
      </c>
      <c r="G15" s="138" t="n">
        <v>6672.87</v>
      </c>
      <c r="H15" s="139" t="n">
        <f aca="false">G15/F15-1</f>
        <v>2.12045285559967</v>
      </c>
      <c r="I15" s="140" t="n">
        <f aca="false">G15-F15</f>
        <v>4534.44</v>
      </c>
      <c r="J15" s="141" t="n">
        <f aca="false">VLOOKUP(B15,'תקציב  '!$B:$S,6,0)*1</f>
        <v>18253.9682539683</v>
      </c>
      <c r="K15" s="139" t="n">
        <f aca="false">G15/J15-1</f>
        <v>-0.634442773913045</v>
      </c>
      <c r="L15" s="142" t="n">
        <f aca="false">G15-J15</f>
        <v>-11581.0982539683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SUM(E3:E15)+E50</f>
        <v>1283923.726</v>
      </c>
      <c r="F16" s="144" t="n">
        <f aca="false">SUM(F3:F15)+F50</f>
        <v>1266803.842</v>
      </c>
      <c r="G16" s="144" t="n">
        <f aca="false">SUM(G3:G15)+G50</f>
        <v>1090407.918</v>
      </c>
      <c r="H16" s="145" t="n">
        <f aca="false">G16/F16-1</f>
        <v>-0.139244860294639</v>
      </c>
      <c r="I16" s="144" t="n">
        <f aca="false">SUM(I3:I15)+I50</f>
        <v>-176395.924000002</v>
      </c>
      <c r="J16" s="144" t="n">
        <f aca="false">SUM(J3:J15)+J50</f>
        <v>1741361.11111111</v>
      </c>
      <c r="K16" s="145" t="n">
        <f aca="false">G16/J16-1</f>
        <v>-0.373818611750068</v>
      </c>
      <c r="L16" s="144" t="n">
        <f aca="false">SUM(L3:L15)+L50</f>
        <v>-650953.193111111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VLOOKUP(A17,'2024'!$A:$O,4,0)</f>
        <v>45122.89</v>
      </c>
      <c r="F17" s="138" t="n">
        <f aca="false">VLOOKUP($A17,'2025'!$A:$O,4,0)</f>
        <v>98819.24</v>
      </c>
      <c r="G17" s="138" t="n">
        <v>409497.070000013</v>
      </c>
      <c r="H17" s="139" t="n">
        <f aca="false">G17/F17-1</f>
        <v>3.14390021619285</v>
      </c>
      <c r="I17" s="140" t="n">
        <f aca="false">G17-F17</f>
        <v>310677.830000013</v>
      </c>
      <c r="J17" s="141" t="n">
        <f aca="false">VLOOKUP(B17,'תקציב  '!$B:$S,6,0)*1</f>
        <v>489406.779661017</v>
      </c>
      <c r="K17" s="139" t="n">
        <f aca="false">G17/J17-1</f>
        <v>-0.163278714112528</v>
      </c>
      <c r="L17" s="142" t="n">
        <f aca="false">G17-J17</f>
        <v>-79909.709661004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VLOOKUP(A18,'2024'!$A:$O,4,0)</f>
        <v>2233.52</v>
      </c>
      <c r="F18" s="138" t="n">
        <f aca="false">VLOOKUP($A18,'2025'!$A:$O,4,0)</f>
        <v>3577.56</v>
      </c>
      <c r="G18" s="138" t="n">
        <v>2065.63</v>
      </c>
      <c r="H18" s="139" t="n">
        <f aca="false">G18/F18-1</f>
        <v>-0.42261485481725</v>
      </c>
      <c r="I18" s="140" t="n">
        <f aca="false">G18-F18</f>
        <v>-1511.93</v>
      </c>
      <c r="J18" s="141" t="n">
        <f aca="false">VLOOKUP(B18,'תקציב  '!$B:$S,6,0)*1</f>
        <v>2536.92833333333</v>
      </c>
      <c r="K18" s="139" t="n">
        <f aca="false">G18/J18-1</f>
        <v>-0.185775186133887</v>
      </c>
      <c r="L18" s="142" t="n">
        <f aca="false">G18-J18</f>
        <v>-471.29833333333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1331280.136</v>
      </c>
      <c r="F19" s="146" t="n">
        <f aca="false">F16+F17+F18</f>
        <v>1369200.642</v>
      </c>
      <c r="G19" s="146" t="n">
        <f aca="false">G16+G17+G18</f>
        <v>1501970.61800001</v>
      </c>
      <c r="H19" s="147" t="n">
        <f aca="false">G19/F19-1</f>
        <v>0.0969689700160179</v>
      </c>
      <c r="I19" s="146" t="n">
        <f aca="false">I16+I17+I18</f>
        <v>132769.976000011</v>
      </c>
      <c r="J19" s="146" t="n">
        <f aca="false">J16+J17+J18</f>
        <v>2233304.81910546</v>
      </c>
      <c r="K19" s="147" t="n">
        <f aca="false">G19/J19-1</f>
        <v>-0.327467256081228</v>
      </c>
      <c r="L19" s="146" t="n">
        <f aca="false">L16+L17+L18</f>
        <v>-731334.201105449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VLOOKUP(A20,'2024'!$A:$O,4,0)</f>
        <v>334336.04</v>
      </c>
      <c r="F20" s="138" t="n">
        <f aca="false">VLOOKUP($A20,'2025'!$A:$O,4,0)</f>
        <v>239973.2</v>
      </c>
      <c r="G20" s="138" t="n">
        <v>213959.66</v>
      </c>
      <c r="H20" s="139" t="n">
        <f aca="false">G20/F20-1</f>
        <v>-0.108401854873794</v>
      </c>
      <c r="I20" s="140" t="n">
        <f aca="false">G20-F20</f>
        <v>-26013.54</v>
      </c>
      <c r="J20" s="141" t="n">
        <f aca="false">VLOOKUP(B20,'תקציב  '!$B:$S,6,0)*1</f>
        <v>332824.444425</v>
      </c>
      <c r="K20" s="139" t="n">
        <f aca="false">G20/J20-1</f>
        <v>-0.357139586397734</v>
      </c>
      <c r="L20" s="142" t="n">
        <f aca="false">G20-J20</f>
        <v>-118864.784425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VLOOKUP(A21,'2024'!$A:$O,4,0)</f>
        <v>0</v>
      </c>
      <c r="F21" s="138" t="n">
        <f aca="false">VLOOKUP($A21,'2025'!$A:$O,4,0)</f>
        <v>0</v>
      </c>
      <c r="G21" s="138"/>
      <c r="H21" s="139" t="str">
        <f aca="false">IFERROR(G21/F21-1,"-")</f>
        <v>-</v>
      </c>
      <c r="I21" s="140" t="n">
        <f aca="false">G21-F21</f>
        <v>0</v>
      </c>
      <c r="J21" s="141" t="n">
        <f aca="false">VLOOKUP(B21,'תקציב  '!$B:$S,6,0)*1</f>
        <v>0</v>
      </c>
      <c r="K21" s="139" t="str">
        <f aca="false">IFERROR(G21/J21-1,"-")</f>
        <v>-</v>
      </c>
      <c r="L21" s="142" t="n">
        <f aca="false">G21-J21</f>
        <v>0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VLOOKUP(A22,'2024'!$A:$O,4,0)</f>
        <v>11470.17</v>
      </c>
      <c r="F22" s="138" t="n">
        <f aca="false">VLOOKUP($A22,'2025'!$A:$O,4,0)</f>
        <v>26449.51</v>
      </c>
      <c r="G22" s="138" t="n">
        <v>6418.64</v>
      </c>
      <c r="H22" s="139" t="n">
        <f aca="false">G22/F22-1</f>
        <v>-0.757324804882964</v>
      </c>
      <c r="I22" s="140" t="n">
        <f aca="false">G22-F22</f>
        <v>-20030.87</v>
      </c>
      <c r="J22" s="141" t="n">
        <f aca="false">VLOOKUP(B22,'תקציב  '!$B:$S,6,0)*1</f>
        <v>15000</v>
      </c>
      <c r="K22" s="139" t="n">
        <f aca="false">G22/J22-1</f>
        <v>-0.572090666666667</v>
      </c>
      <c r="L22" s="142" t="n">
        <f aca="false">G22-J22</f>
        <v>-8581.36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VLOOKUP(A23,'2024'!$A:$O,4,0)</f>
        <v>84607.51</v>
      </c>
      <c r="F23" s="138" t="n">
        <f aca="false">VLOOKUP($A23,'2025'!$A:$O,4,0)</f>
        <v>0</v>
      </c>
      <c r="G23" s="158"/>
      <c r="H23" s="139" t="str">
        <f aca="false">IFERROR(G23/F23-1,"-")</f>
        <v>-</v>
      </c>
      <c r="I23" s="140" t="n">
        <f aca="false">G23-F23</f>
        <v>0</v>
      </c>
      <c r="J23" s="141" t="n">
        <f aca="false">VLOOKUP(B23,'תקציב  '!$B:$S,6,0)*1</f>
        <v>95000</v>
      </c>
      <c r="K23" s="139" t="n">
        <f aca="false">G23/J23-1</f>
        <v>-1</v>
      </c>
      <c r="L23" s="142" t="n">
        <f aca="false">G23-J23</f>
        <v>-95000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VLOOKUP(A24,'2024'!$A:$O,4,0)</f>
        <v>16377.13</v>
      </c>
      <c r="F24" s="138" t="n">
        <f aca="false">VLOOKUP($A24,'2025'!$A:$O,4,0)</f>
        <v>13664.6</v>
      </c>
      <c r="G24" s="158" t="n">
        <v>29021.19</v>
      </c>
      <c r="H24" s="139" t="n">
        <f aca="false">G24/F24-1</f>
        <v>1.12382287077558</v>
      </c>
      <c r="I24" s="140" t="n">
        <f aca="false">G24-F24</f>
        <v>15356.59</v>
      </c>
      <c r="J24" s="141" t="n">
        <f aca="false">VLOOKUP(B24,'תקציב  '!$B:$S,6,0)*1</f>
        <v>17000</v>
      </c>
      <c r="K24" s="139" t="n">
        <f aca="false">G24/J24-1</f>
        <v>0.707128823529412</v>
      </c>
      <c r="L24" s="142" t="n">
        <f aca="false">G24-J24</f>
        <v>12021.19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VLOOKUP(A25,'2024'!$A:$O,4,0)</f>
        <v>0</v>
      </c>
      <c r="F25" s="138" t="n">
        <f aca="false">VLOOKUP($A25,'2025'!$A:$O,4,0)</f>
        <v>42132.93</v>
      </c>
      <c r="G25" s="138"/>
      <c r="H25" s="139" t="n">
        <f aca="false">G25/F25-1</f>
        <v>-1</v>
      </c>
      <c r="I25" s="140" t="n">
        <f aca="false">G25-F25</f>
        <v>-42132.93</v>
      </c>
      <c r="J25" s="141" t="n">
        <f aca="false">VLOOKUP(B25,'תקציב  '!$B:$S,6,0)*1</f>
        <v>5000</v>
      </c>
      <c r="K25" s="139" t="n">
        <f aca="false">G25/J25-1</f>
        <v>-1</v>
      </c>
      <c r="L25" s="142" t="n">
        <f aca="false">G25-J25</f>
        <v>-5000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VLOOKUP(A26,'2024'!$A:$O,4,0)</f>
        <v>0</v>
      </c>
      <c r="F26" s="138" t="n">
        <f aca="false">VLOOKUP($A26,'2025'!$A:$O,4,0)</f>
        <v>0</v>
      </c>
      <c r="G26" s="138"/>
      <c r="H26" s="139" t="str">
        <f aca="false">IFERROR(G26/F26-1,"-")</f>
        <v>-</v>
      </c>
      <c r="I26" s="140" t="n">
        <f aca="false">G26-F26</f>
        <v>0</v>
      </c>
      <c r="J26" s="141" t="n">
        <f aca="false">VLOOKUP(B26,'תקציב  '!$B:$S,6,0)*1</f>
        <v>0</v>
      </c>
      <c r="K26" s="139" t="str">
        <f aca="false">IFERROR(G26/J26-1,"-")</f>
        <v>-</v>
      </c>
      <c r="L26" s="142" t="n">
        <f aca="false">G26-J26</f>
        <v>0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VLOOKUP(A27,'2024'!$A:$O,4,0)</f>
        <v>38588.13</v>
      </c>
      <c r="F27" s="138" t="n">
        <f aca="false">VLOOKUP($A27,'2025'!$A:$O,4,0)</f>
        <v>0</v>
      </c>
      <c r="G27" s="138"/>
      <c r="H27" s="139" t="str">
        <f aca="false">IFERROR(G27/F27-1,"-")</f>
        <v>-</v>
      </c>
      <c r="I27" s="140" t="n">
        <f aca="false">G27-F27</f>
        <v>0</v>
      </c>
      <c r="J27" s="141" t="n">
        <f aca="false">VLOOKUP(B27,'תקציב  '!$B:$S,6,0)*1</f>
        <v>0</v>
      </c>
      <c r="K27" s="139" t="str">
        <f aca="false">IFERROR(G27/J27-1,"-")</f>
        <v>-</v>
      </c>
      <c r="L27" s="142" t="n">
        <f aca="false">G27-J27</f>
        <v>0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VLOOKUP(A28,'2024'!$A:$O,4,0)</f>
        <v>171813.81</v>
      </c>
      <c r="F28" s="138" t="n">
        <f aca="false">VLOOKUP($A28,'2025'!$A:$O,4,0)</f>
        <v>0.22</v>
      </c>
      <c r="G28" s="138"/>
      <c r="H28" s="139" t="n">
        <f aca="false">G28/F28-1</f>
        <v>-1</v>
      </c>
      <c r="I28" s="140" t="n">
        <f aca="false">G28-F28</f>
        <v>-0.22</v>
      </c>
      <c r="J28" s="141" t="n">
        <f aca="false">VLOOKUP(B28,'תקציב  '!$B:$S,6,0)*1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VLOOKUP(A29,'2024'!$A:$O,4,0)</f>
        <v>25514.68</v>
      </c>
      <c r="F29" s="138" t="n">
        <f aca="false">VLOOKUP($A29,'2025'!$A:$O,4,0)</f>
        <v>43871.72</v>
      </c>
      <c r="G29" s="158"/>
      <c r="H29" s="139" t="n">
        <f aca="false">G29/F29-1</f>
        <v>-1</v>
      </c>
      <c r="I29" s="140" t="n">
        <f aca="false">G29-F29</f>
        <v>-43871.72</v>
      </c>
      <c r="J29" s="141" t="n">
        <f aca="false">VLOOKUP(B29,'תקציב  '!$B:$S,6,0)*1</f>
        <v>39765.076</v>
      </c>
      <c r="K29" s="139" t="n">
        <f aca="false">G29/J29-1</f>
        <v>-1</v>
      </c>
      <c r="L29" s="142" t="n">
        <f aca="false">G29-J29</f>
        <v>-39765.076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VLOOKUP(A30,'2024'!$A:$O,4,0)</f>
        <v>0</v>
      </c>
      <c r="F30" s="138" t="n">
        <f aca="false">VLOOKUP($A30,'2025'!$A:$O,4,0)</f>
        <v>32010.18</v>
      </c>
      <c r="G30" s="138"/>
      <c r="H30" s="139" t="n">
        <f aca="false">G30/F30-1</f>
        <v>-1</v>
      </c>
      <c r="I30" s="140" t="n">
        <f aca="false">G30-F30</f>
        <v>-32010.18</v>
      </c>
      <c r="J30" s="141" t="n">
        <f aca="false">VLOOKUP(B30,'תקציב  '!$B:$S,6,0)*1</f>
        <v>0</v>
      </c>
      <c r="K30" s="139" t="str">
        <f aca="false">IFERROR(G30/J30-1,"-")</f>
        <v>-</v>
      </c>
      <c r="L30" s="142" t="n">
        <f aca="false">G30-J30</f>
        <v>0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VLOOKUP(A31,'2024'!$A:$O,4,0)</f>
        <v>0</v>
      </c>
      <c r="F31" s="138" t="n">
        <f aca="false">VLOOKUP($A31,'2025'!$A:$O,4,0)</f>
        <v>0</v>
      </c>
      <c r="G31" s="158"/>
      <c r="H31" s="139" t="str">
        <f aca="false">IFERROR(G31/F31-1,"-")</f>
        <v>-</v>
      </c>
      <c r="I31" s="140" t="n">
        <f aca="false">G31-F31</f>
        <v>0</v>
      </c>
      <c r="J31" s="141" t="n">
        <f aca="false">VLOOKUP(B31,'תקציב  '!$B:$S,6,0)*1</f>
        <v>20000</v>
      </c>
      <c r="K31" s="139" t="n">
        <f aca="false">G31/J31-1</f>
        <v>-1</v>
      </c>
      <c r="L31" s="142" t="n">
        <f aca="false">G31-J31</f>
        <v>-20000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VLOOKUP(A32,'2024'!$A:$O,4,0)</f>
        <v>0</v>
      </c>
      <c r="F32" s="138" t="n">
        <f aca="false">VLOOKUP($A32,'2025'!$A:$O,4,0)</f>
        <v>16024.5</v>
      </c>
      <c r="G32" s="138"/>
      <c r="H32" s="139" t="n">
        <f aca="false">G32/F32-1</f>
        <v>-1</v>
      </c>
      <c r="I32" s="140" t="n">
        <f aca="false">G32-F32</f>
        <v>-16024.5</v>
      </c>
      <c r="J32" s="141" t="n">
        <f aca="false">VLOOKUP(B32,'תקציב  '!$B:$S,6,0)*1</f>
        <v>18000</v>
      </c>
      <c r="K32" s="139" t="n">
        <f aca="false">G32/J32-1</f>
        <v>-1</v>
      </c>
      <c r="L32" s="142" t="n">
        <f aca="false">G32-J32</f>
        <v>-18000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/>
      <c r="F33" s="138"/>
      <c r="G33" s="138"/>
      <c r="H33" s="139" t="str">
        <f aca="false">IFERROR(G33/F33-1,"-")</f>
        <v>-</v>
      </c>
      <c r="I33" s="140" t="n">
        <f aca="false">G33-F33</f>
        <v>0</v>
      </c>
      <c r="J33" s="141"/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VLOOKUP(A34,'2024'!$A:$O,4,0)</f>
        <v>-20732.48</v>
      </c>
      <c r="F34" s="138" t="n">
        <f aca="false">VLOOKUP($A34,'2025'!$A:$O,4,0)</f>
        <v>0</v>
      </c>
      <c r="G34" s="138"/>
      <c r="H34" s="139" t="str">
        <f aca="false">IFERROR(G34/F34-1,"-")</f>
        <v>-</v>
      </c>
      <c r="I34" s="140" t="n">
        <f aca="false">G34-F34</f>
        <v>0</v>
      </c>
      <c r="J34" s="141" t="n">
        <f aca="false">VLOOKUP(B34,'תקציב  '!$B:$S,6,0)*1</f>
        <v>0</v>
      </c>
      <c r="K34" s="139" t="str">
        <f aca="false">IFERROR(G34/J34-1,"-")</f>
        <v>-</v>
      </c>
      <c r="L34" s="142" t="n">
        <f aca="false">G34-J34</f>
        <v>0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VLOOKUP(A35,'2024'!$A:$O,4,0)</f>
        <v>0</v>
      </c>
      <c r="F35" s="138" t="n">
        <f aca="false">VLOOKUP($A35,'2025'!$A:$O,4,0)</f>
        <v>0</v>
      </c>
      <c r="G35" s="138"/>
      <c r="H35" s="139" t="str">
        <f aca="false">IFERROR(G35/F35-1,"-")</f>
        <v>-</v>
      </c>
      <c r="I35" s="140" t="n">
        <f aca="false">G35-F35</f>
        <v>0</v>
      </c>
      <c r="J35" s="141" t="n">
        <f aca="false">VLOOKUP(B35,'תקציב  '!$B:$S,6,0)*1</f>
        <v>0</v>
      </c>
      <c r="K35" s="139" t="str">
        <f aca="false">IFERROR(G35/J35-1,"-")</f>
        <v>-</v>
      </c>
      <c r="L35" s="142" t="n">
        <f aca="false">G35-J35</f>
        <v>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VLOOKUP(A36,'2024'!$A:$O,4,0)</f>
        <v>0</v>
      </c>
      <c r="F36" s="138" t="n">
        <f aca="false">VLOOKUP($A36,'2025'!$A:$O,4,0)</f>
        <v>0</v>
      </c>
      <c r="G36" s="138"/>
      <c r="H36" s="139" t="str">
        <f aca="false">IFERROR(G36/F36-1,"-")</f>
        <v>-</v>
      </c>
      <c r="I36" s="140" t="n">
        <f aca="false">G36-F36</f>
        <v>0</v>
      </c>
      <c r="J36" s="141"/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VLOOKUP(A37,'2024'!$A:$O,4,0)</f>
        <v>0</v>
      </c>
      <c r="F37" s="138" t="n">
        <f aca="false">VLOOKUP($A37,'2025'!$A:$O,4,0)</f>
        <v>0</v>
      </c>
      <c r="G37" s="138"/>
      <c r="H37" s="139" t="str">
        <f aca="false">IFERROR(G37/F37-1,"-")</f>
        <v>-</v>
      </c>
      <c r="I37" s="140" t="n">
        <f aca="false">G37-F37</f>
        <v>0</v>
      </c>
      <c r="J37" s="141"/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VLOOKUP(A38,'2024'!$A:$O,4,0)</f>
        <v>0</v>
      </c>
      <c r="F38" s="138" t="n">
        <f aca="false">VLOOKUP($A38,'2025'!$A:$O,4,0)</f>
        <v>0</v>
      </c>
      <c r="G38" s="138"/>
      <c r="H38" s="139" t="str">
        <f aca="false">IFERROR(G38/F38-1,"-")</f>
        <v>-</v>
      </c>
      <c r="I38" s="140" t="n">
        <f aca="false">G38-F38</f>
        <v>0</v>
      </c>
      <c r="J38" s="141"/>
      <c r="K38" s="139" t="str">
        <f aca="false">IFERROR(G38/J38-1,"-")</f>
        <v>-</v>
      </c>
      <c r="L38" s="142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/>
      <c r="F39" s="138"/>
      <c r="G39" s="138"/>
      <c r="H39" s="139" t="str">
        <f aca="false">IFERROR(G39/F39-1,"-")</f>
        <v>-</v>
      </c>
      <c r="I39" s="140" t="n">
        <f aca="false">G39-F39</f>
        <v>0</v>
      </c>
      <c r="J39" s="141" t="n">
        <f aca="false">VLOOKUP(B39,'תקציב  '!$B:$S,6,0)*1</f>
        <v>0</v>
      </c>
      <c r="K39" s="139" t="str">
        <f aca="false">IFERROR(G39/J39-1,"-")</f>
        <v>-</v>
      </c>
      <c r="L39" s="142" t="n">
        <f aca="false">G39-J39</f>
        <v>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SUM(E20:E39)+E51+E52</f>
        <v>661974.99</v>
      </c>
      <c r="F40" s="149" t="n">
        <f aca="false">SUM(F20:F39)+F51+F52</f>
        <v>414126.86</v>
      </c>
      <c r="G40" s="149" t="n">
        <f aca="false">SUM(G20:G39)+G51+G52</f>
        <v>249399.49</v>
      </c>
      <c r="H40" s="150" t="n">
        <f aca="false">G40/F40-1</f>
        <v>-0.397770311251968</v>
      </c>
      <c r="I40" s="149" t="n">
        <f aca="false">SUM(I20:I39)+I51+I52</f>
        <v>-164727.37</v>
      </c>
      <c r="J40" s="149" t="n">
        <f aca="false">SUM(J20:J39)+J51+J52</f>
        <v>542589.520425</v>
      </c>
      <c r="K40" s="150" t="n">
        <f aca="false">G40/J40-1</f>
        <v>-0.540353286210448</v>
      </c>
      <c r="L40" s="149" t="n">
        <f aca="false">SUM(L20:L39)+L51+L52</f>
        <v>-293190.030425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1993255.126</v>
      </c>
      <c r="F41" s="152" t="n">
        <f aca="false">F40+F19</f>
        <v>1783327.502</v>
      </c>
      <c r="G41" s="152" t="n">
        <f aca="false">G40+G19</f>
        <v>1751370.10800001</v>
      </c>
      <c r="H41" s="153" t="n">
        <f aca="false">G41/F41-1</f>
        <v>-0.0179200926157137</v>
      </c>
      <c r="I41" s="152" t="n">
        <f aca="false">I40+I19</f>
        <v>-31957.3939999891</v>
      </c>
      <c r="J41" s="152" t="n">
        <f aca="false">J40+J19</f>
        <v>2775894.33953046</v>
      </c>
      <c r="K41" s="153" t="n">
        <f aca="false">G41/J41-1</f>
        <v>-0.369078972834299</v>
      </c>
      <c r="L41" s="152" t="n">
        <f aca="false">L40+L19</f>
        <v>-1024524.23153045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0.332107506643382</v>
      </c>
      <c r="F42" s="155" t="n">
        <f aca="false">F40/F41</f>
        <v>0.232221428501246</v>
      </c>
      <c r="G42" s="155" t="n">
        <f aca="false">G40/G41</f>
        <v>0.142402504679495</v>
      </c>
      <c r="H42" s="156"/>
      <c r="I42" s="5"/>
      <c r="J42" s="76" t="n">
        <f aca="false">J41-'תקציב  '!G41*1</f>
        <v>0</v>
      </c>
    </row>
    <row r="43" customFormat="false" ht="14.25" hidden="false" customHeight="true" outlineLevel="0" collapsed="false">
      <c r="E43" s="157" t="n">
        <f aca="false">E41-'2024'!D38</f>
        <v>0</v>
      </c>
      <c r="I43" s="5"/>
    </row>
    <row r="50" customFormat="false" ht="14.25" hidden="false" customHeight="true" outlineLevel="0" collapsed="false">
      <c r="A50" s="85"/>
      <c r="B50" s="24" t="s">
        <v>176</v>
      </c>
      <c r="C50" s="24" t="s">
        <v>176</v>
      </c>
      <c r="D50" s="26" t="s">
        <v>32</v>
      </c>
      <c r="E50" s="138"/>
      <c r="F50" s="138"/>
      <c r="G50" s="138" t="n">
        <v>0</v>
      </c>
      <c r="H50" s="139" t="str">
        <f aca="false">IFERROR(G50/F50-1,"-")</f>
        <v>-</v>
      </c>
      <c r="I50" s="140" t="n">
        <f aca="false">G50-F50</f>
        <v>0</v>
      </c>
      <c r="J50" s="141"/>
      <c r="K50" s="139" t="str">
        <f aca="false">IFERROR(G50/J50-1,"-")</f>
        <v>-</v>
      </c>
      <c r="L50" s="142" t="n">
        <f aca="false">G50-J50</f>
        <v>0</v>
      </c>
    </row>
    <row r="51" customFormat="false" ht="14.25" hidden="false" customHeight="true" outlineLevel="0" collapsed="false">
      <c r="A51" s="85"/>
      <c r="B51" s="84" t="s">
        <v>177</v>
      </c>
      <c r="C51" s="65" t="s">
        <v>177</v>
      </c>
      <c r="D51" s="26" t="s">
        <v>178</v>
      </c>
      <c r="E51" s="138"/>
      <c r="F51" s="138"/>
      <c r="G51" s="138" t="n">
        <v>0</v>
      </c>
      <c r="H51" s="139" t="str">
        <f aca="false">IFERROR(G51/F51-1,"-")</f>
        <v>-</v>
      </c>
      <c r="I51" s="140" t="n">
        <f aca="false">G51-F51</f>
        <v>0</v>
      </c>
      <c r="J51" s="141"/>
      <c r="K51" s="139" t="str">
        <f aca="false">IFERROR(G51/J51-1,"-")</f>
        <v>-</v>
      </c>
      <c r="L51" s="142" t="n">
        <f aca="false">G51-J51</f>
        <v>0</v>
      </c>
    </row>
    <row r="52" customFormat="false" ht="14.25" hidden="false" customHeight="true" outlineLevel="0" collapsed="false">
      <c r="A52" s="85"/>
      <c r="B52" s="84" t="s">
        <v>179</v>
      </c>
      <c r="C52" s="65" t="s">
        <v>179</v>
      </c>
      <c r="D52" s="26" t="s">
        <v>179</v>
      </c>
      <c r="E52" s="138"/>
      <c r="F52" s="138"/>
      <c r="G52" s="138" t="n">
        <v>0</v>
      </c>
      <c r="H52" s="139" t="str">
        <f aca="false">IFERROR(G52/F52-1,"-")</f>
        <v>-</v>
      </c>
      <c r="I52" s="140" t="n">
        <f aca="false">G52-F52</f>
        <v>0</v>
      </c>
      <c r="J52" s="141"/>
      <c r="K52" s="139" t="str">
        <f aca="false">IFERROR(G52/J52-1,"-")</f>
        <v>-</v>
      </c>
      <c r="L52" s="142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L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F36" activeCellId="0" sqref="F36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186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s">
        <v>187</v>
      </c>
      <c r="F2" s="133" t="s">
        <v>188</v>
      </c>
      <c r="G2" s="133" t="s">
        <v>189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ינואר!E3+פברואר!E3+מרץ!E3</f>
        <v>346988.66</v>
      </c>
      <c r="F3" s="138" t="n">
        <f aca="false">ינואר!F3+פברואר!F3+מרץ!F3</f>
        <v>358245.8</v>
      </c>
      <c r="G3" s="138" t="n">
        <f aca="false">ינואר!G3+פברואר!G3+מרץ!G3</f>
        <v>550736.34</v>
      </c>
      <c r="H3" s="139" t="n">
        <f aca="false">G3/F3-1</f>
        <v>0.537314156928008</v>
      </c>
      <c r="I3" s="140" t="n">
        <f aca="false">G3-F3</f>
        <v>192490.54</v>
      </c>
      <c r="J3" s="138" t="n">
        <f aca="false">ינואר!J3+פברואר!J3+מרץ!J3</f>
        <v>538412.698412699</v>
      </c>
      <c r="K3" s="139" t="n">
        <f aca="false">G3/J3-1</f>
        <v>0.0228888390330175</v>
      </c>
      <c r="L3" s="142" t="n">
        <f aca="false">G3-J3</f>
        <v>12323.6415873009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ינואר!E4+פברואר!E4+מרץ!E4</f>
        <v>1316829.332</v>
      </c>
      <c r="F4" s="138" t="n">
        <f aca="false">ינואר!F4+פברואר!F4+מרץ!F4</f>
        <v>1515626.11790001</v>
      </c>
      <c r="G4" s="138" t="n">
        <f aca="false">ינואר!G4+פברואר!G4+מרץ!G4</f>
        <v>1311982.763</v>
      </c>
      <c r="H4" s="139" t="n">
        <f aca="false">G4/F4-1</f>
        <v>-0.134362526809824</v>
      </c>
      <c r="I4" s="140" t="n">
        <f aca="false">G4-F4</f>
        <v>-203643.35490001</v>
      </c>
      <c r="J4" s="138" t="n">
        <f aca="false">ינואר!J4+פברואר!J4+מרץ!J4</f>
        <v>1680031.74603175</v>
      </c>
      <c r="K4" s="139" t="n">
        <f aca="false">G4/J4-1</f>
        <v>-0.219072635919579</v>
      </c>
      <c r="L4" s="142" t="n">
        <f aca="false">G4-J4</f>
        <v>-368048.983031747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ינואר!E5+פברואר!E5+מרץ!E5</f>
        <v>244255.102</v>
      </c>
      <c r="F5" s="138" t="n">
        <f aca="false">ינואר!F5+פברואר!F5+מרץ!F5</f>
        <v>178709.44</v>
      </c>
      <c r="G5" s="138" t="n">
        <f aca="false">ינואר!G5+פברואר!G5+מרץ!G5</f>
        <v>195880.23</v>
      </c>
      <c r="H5" s="139" t="n">
        <f aca="false">G5/F5-1</f>
        <v>0.0960821655532018</v>
      </c>
      <c r="I5" s="140" t="n">
        <f aca="false">G5-F5</f>
        <v>17170.79</v>
      </c>
      <c r="J5" s="138" t="n">
        <f aca="false">ינואר!J5+פברואר!J5+מרץ!J5</f>
        <v>228571.428571429</v>
      </c>
      <c r="K5" s="139" t="n">
        <f aca="false">G5/J5-1</f>
        <v>-0.14302399375</v>
      </c>
      <c r="L5" s="142" t="n">
        <f aca="false">G5-J5</f>
        <v>-32691.1985714285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ינואר!E6+פברואר!E6+מרץ!E6</f>
        <v>483341.147</v>
      </c>
      <c r="F6" s="138" t="n">
        <f aca="false">ינואר!F6+פברואר!F6+מרץ!F6</f>
        <v>422582.234100001</v>
      </c>
      <c r="G6" s="138" t="n">
        <f aca="false">ינואר!G6+פברואר!G6+מרץ!G6</f>
        <v>455568.587</v>
      </c>
      <c r="H6" s="139" t="n">
        <f aca="false">G6/F6-1</f>
        <v>0.07805901488086</v>
      </c>
      <c r="I6" s="140" t="n">
        <f aca="false">G6-F6</f>
        <v>32986.352899999</v>
      </c>
      <c r="J6" s="138" t="n">
        <f aca="false">ינואר!J6+פברואר!J6+מרץ!J6</f>
        <v>482539.682539682</v>
      </c>
      <c r="K6" s="139" t="n">
        <f aca="false">G6/J6-1</f>
        <v>-0.0558940466776304</v>
      </c>
      <c r="L6" s="142" t="n">
        <f aca="false">G6-J6</f>
        <v>-26971.095539682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ינואר!E7+פברואר!E7+מרץ!E7</f>
        <v>1189769.5</v>
      </c>
      <c r="F7" s="138" t="n">
        <f aca="false">ינואר!F7+פברואר!F7+מרץ!F7</f>
        <v>1074384</v>
      </c>
      <c r="G7" s="138" t="n">
        <f aca="false">ינואר!G7+פברואר!G7+מרץ!G7</f>
        <v>863414.1</v>
      </c>
      <c r="H7" s="139" t="n">
        <f aca="false">G7/F7-1</f>
        <v>-0.196363590671492</v>
      </c>
      <c r="I7" s="140" t="n">
        <f aca="false">G7-F7</f>
        <v>-210969.9</v>
      </c>
      <c r="J7" s="138" t="n">
        <f aca="false">ינואר!J7+פברואר!J7+מרץ!J7</f>
        <v>1095000</v>
      </c>
      <c r="K7" s="139" t="n">
        <f aca="false">G7/J7-1</f>
        <v>-0.21149397260274</v>
      </c>
      <c r="L7" s="142" t="n">
        <f aca="false">G7-J7</f>
        <v>-231585.9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ינואר!E8+פברואר!E8+מרץ!E8</f>
        <v>243735.37</v>
      </c>
      <c r="F8" s="138" t="n">
        <f aca="false">ינואר!F8+פברואר!F8+מרץ!F8</f>
        <v>214483.08</v>
      </c>
      <c r="G8" s="138" t="n">
        <f aca="false">ינואר!G8+פברואר!G8+מרץ!G8</f>
        <v>175029.46</v>
      </c>
      <c r="H8" s="139" t="n">
        <f aca="false">G8/F8-1</f>
        <v>-0.183947470355237</v>
      </c>
      <c r="I8" s="140" t="n">
        <f aca="false">G8-F8</f>
        <v>-39453.62</v>
      </c>
      <c r="J8" s="138" t="n">
        <f aca="false">ינואר!J8+פברואר!J8+מרץ!J8</f>
        <v>303968.253968253</v>
      </c>
      <c r="K8" s="139" t="n">
        <f aca="false">G8/J8-1</f>
        <v>-0.424185066318537</v>
      </c>
      <c r="L8" s="142" t="n">
        <f aca="false">G8-J8</f>
        <v>-128938.793968253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ינואר!E9+פברואר!E9+מרץ!E9</f>
        <v>264967.26</v>
      </c>
      <c r="F9" s="138" t="n">
        <f aca="false">ינואר!F9+פברואר!F9+מרץ!F9</f>
        <v>184543.23</v>
      </c>
      <c r="G9" s="138" t="n">
        <f aca="false">ינואר!G9+פברואר!G9+מרץ!G9</f>
        <v>216851.4</v>
      </c>
      <c r="H9" s="139" t="n">
        <f aca="false">G9/F9-1</f>
        <v>0.175071011816581</v>
      </c>
      <c r="I9" s="140" t="n">
        <f aca="false">G9-F9</f>
        <v>32308.17</v>
      </c>
      <c r="J9" s="138" t="n">
        <f aca="false">ינואר!J9+פברואר!J9+מרץ!J9</f>
        <v>443253.968253968</v>
      </c>
      <c r="K9" s="139" t="n">
        <f aca="false">G9/J9-1</f>
        <v>-0.510773923008057</v>
      </c>
      <c r="L9" s="142" t="n">
        <f aca="false">G9-J9</f>
        <v>-226402.568253968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ינואר!E10+פברואר!E10+מרץ!E10</f>
        <v>48538.67</v>
      </c>
      <c r="F10" s="138" t="n">
        <f aca="false">ינואר!F10+פברואר!F10+מרץ!F10</f>
        <v>55293.41</v>
      </c>
      <c r="G10" s="138" t="n">
        <f aca="false">ינואר!G10+פברואר!G10+מרץ!G10</f>
        <v>36206.99</v>
      </c>
      <c r="H10" s="139" t="n">
        <f aca="false">G10/F10-1</f>
        <v>-0.345184353795507</v>
      </c>
      <c r="I10" s="140" t="n">
        <f aca="false">G10-F10</f>
        <v>-19086.42</v>
      </c>
      <c r="J10" s="138" t="n">
        <f aca="false">ינואר!J10+פברואר!J10+מרץ!J10</f>
        <v>48253.9682539682</v>
      </c>
      <c r="K10" s="139" t="n">
        <f aca="false">G10/J10-1</f>
        <v>-0.249657773026315</v>
      </c>
      <c r="L10" s="142" t="n">
        <f aca="false">G10-J10</f>
        <v>-12046.9782539682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ינואר!E11+פברואר!E11+מרץ!E11</f>
        <v>9240.76</v>
      </c>
      <c r="F11" s="138" t="n">
        <f aca="false">ינואר!F11+פברואר!F11+מרץ!F11</f>
        <v>21423.82</v>
      </c>
      <c r="G11" s="138" t="n">
        <f aca="false">ינואר!G11+פברואר!G11+מרץ!G11</f>
        <v>12409.92</v>
      </c>
      <c r="H11" s="139" t="n">
        <f aca="false">G11/F11-1</f>
        <v>-0.42074195918375</v>
      </c>
      <c r="I11" s="140" t="n">
        <f aca="false">G11-F11</f>
        <v>-9013.9</v>
      </c>
      <c r="J11" s="138" t="n">
        <f aca="false">ינואר!J11+פברואר!J11+מרץ!J11</f>
        <v>23396.8253968254</v>
      </c>
      <c r="K11" s="139" t="n">
        <f aca="false">G11/J11-1</f>
        <v>-0.469589579375848</v>
      </c>
      <c r="L11" s="142" t="n">
        <f aca="false">G11-J11</f>
        <v>-10986.9053968254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ינואר!E12+פברואר!E12+מרץ!E12</f>
        <v>0</v>
      </c>
      <c r="F12" s="138" t="n">
        <f aca="false">ינואר!F12+פברואר!F12+מרץ!F12</f>
        <v>1732.3</v>
      </c>
      <c r="G12" s="138" t="n">
        <f aca="false">ינואר!G12+פברואר!G12+מרץ!G12</f>
        <v>1917.16</v>
      </c>
      <c r="H12" s="139" t="n">
        <f aca="false">G12/F12-1</f>
        <v>0.106713617733649</v>
      </c>
      <c r="I12" s="140" t="n">
        <f aca="false">G12-F12</f>
        <v>184.86</v>
      </c>
      <c r="J12" s="138" t="n">
        <f aca="false">ינואר!J12+פברואר!J12+מרץ!J12</f>
        <v>0</v>
      </c>
      <c r="K12" s="139"/>
      <c r="L12" s="142" t="n">
        <f aca="false">G12-J12</f>
        <v>1917.16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ינואר!E13+פברואר!E13+מרץ!E13</f>
        <v>0</v>
      </c>
      <c r="F13" s="138" t="n">
        <f aca="false">ינואר!F13+פברואר!F13+מרץ!F13</f>
        <v>0</v>
      </c>
      <c r="G13" s="138" t="n">
        <f aca="false">ינואר!G13+פברואר!G13+מרץ!G13</f>
        <v>0</v>
      </c>
      <c r="H13" s="139" t="str">
        <f aca="false">IFERROR(G13/F13-1,"-")</f>
        <v>-</v>
      </c>
      <c r="I13" s="140" t="n">
        <f aca="false">G13-F13</f>
        <v>0</v>
      </c>
      <c r="J13" s="138" t="n">
        <f aca="false">ינואר!J13+פברואר!J13+מרץ!J13</f>
        <v>0</v>
      </c>
      <c r="K13" s="139"/>
      <c r="L13" s="142" t="n">
        <f aca="false">G13-J13</f>
        <v>0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ינואר!E14+פברואר!E14+מרץ!E14</f>
        <v>1275.21</v>
      </c>
      <c r="F14" s="138" t="n">
        <f aca="false">ינואר!F14+פברואר!F14+מרץ!F14</f>
        <v>11067.51</v>
      </c>
      <c r="G14" s="138" t="n">
        <f aca="false">ינואר!G14+פברואר!G14+מרץ!G14</f>
        <v>3470.98</v>
      </c>
      <c r="H14" s="139" t="n">
        <f aca="false">G14/F14-1</f>
        <v>-0.686381128185111</v>
      </c>
      <c r="I14" s="140" t="n">
        <f aca="false">G14-F14</f>
        <v>-7596.53</v>
      </c>
      <c r="J14" s="138" t="n">
        <f aca="false">ינואר!J14+פברואר!J14+מרץ!J14</f>
        <v>0</v>
      </c>
      <c r="K14" s="139"/>
      <c r="L14" s="142" t="n">
        <f aca="false">G14-J14</f>
        <v>3470.98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ינואר!E15+פברואר!E15+מרץ!E15</f>
        <v>20179.98</v>
      </c>
      <c r="F15" s="138" t="n">
        <f aca="false">ינואר!F15+פברואר!F15+מרץ!F15</f>
        <v>29853.9</v>
      </c>
      <c r="G15" s="138" t="n">
        <f aca="false">ינואר!G15+פברואר!G15+מרץ!G15</f>
        <v>33410.51</v>
      </c>
      <c r="H15" s="139" t="n">
        <f aca="false">G15/F15-1</f>
        <v>0.119133848508905</v>
      </c>
      <c r="I15" s="140" t="n">
        <f aca="false">G15-F15</f>
        <v>3556.61</v>
      </c>
      <c r="J15" s="138" t="n">
        <f aca="false">ינואר!J15+פברואר!J15+מרץ!J15</f>
        <v>50793.6507936509</v>
      </c>
      <c r="K15" s="139" t="n">
        <f aca="false">G15/J15-1</f>
        <v>-0.342230584375001</v>
      </c>
      <c r="L15" s="142" t="n">
        <f aca="false">G15-J15</f>
        <v>-17383.1407936509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</f>
        <v>4169120.991</v>
      </c>
      <c r="F16" s="144" t="n">
        <f aca="false">SUM(F3:F15)</f>
        <v>4067944.84200001</v>
      </c>
      <c r="G16" s="144" t="n">
        <f aca="false">SUM(G3:G15)</f>
        <v>3856878.44</v>
      </c>
      <c r="H16" s="145" t="n">
        <f aca="false">G16/F16-1</f>
        <v>-0.051885266442364</v>
      </c>
      <c r="I16" s="144" t="n">
        <f aca="false">SUM(I3:I15)</f>
        <v>-211066.402000011</v>
      </c>
      <c r="J16" s="144" t="n">
        <f aca="false">SUM(J3:J15)</f>
        <v>4894222.22222222</v>
      </c>
      <c r="K16" s="145" t="n">
        <f aca="false">G16/J16-1</f>
        <v>-0.211952734289866</v>
      </c>
      <c r="L16" s="144" t="n">
        <f aca="false">SUM(L3:L15)</f>
        <v>-1037343.78222222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ינואר!E17+פברואר!E17+מרץ!E17</f>
        <v>128416.35</v>
      </c>
      <c r="F17" s="138" t="n">
        <f aca="false">ינואר!F17+פברואר!F17+מרץ!F17</f>
        <v>289038.589999999</v>
      </c>
      <c r="G17" s="138" t="n">
        <f aca="false">ינואר!G17+פברואר!G17+מרץ!G17</f>
        <v>858282.390000011</v>
      </c>
      <c r="H17" s="139" t="n">
        <f aca="false">G17/F17-1</f>
        <v>1.96943875210578</v>
      </c>
      <c r="I17" s="140" t="n">
        <f aca="false">G17-F17</f>
        <v>569243.800000012</v>
      </c>
      <c r="J17" s="138" t="n">
        <f aca="false">ינואר!J17+פברואר!J17+מרץ!J17</f>
        <v>1230932.20338983</v>
      </c>
      <c r="K17" s="139" t="n">
        <f aca="false">G17/J17-1</f>
        <v>-0.302737886265051</v>
      </c>
      <c r="L17" s="142" t="n">
        <f aca="false">G17-J17</f>
        <v>-372649.813389819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ינואר!E18+פברואר!E18+מרץ!E18</f>
        <v>6344.06</v>
      </c>
      <c r="F18" s="138" t="n">
        <f aca="false">ינואר!F18+פברואר!F18+מרץ!F18</f>
        <v>8798.68</v>
      </c>
      <c r="G18" s="138" t="n">
        <f aca="false">ינואר!G18+פברואר!G18+מרץ!G18</f>
        <v>5087.03</v>
      </c>
      <c r="H18" s="139" t="n">
        <f aca="false">G18/F18-1</f>
        <v>-0.421841685343711</v>
      </c>
      <c r="I18" s="140" t="n">
        <f aca="false">G18-F18</f>
        <v>-3711.65</v>
      </c>
      <c r="J18" s="138" t="n">
        <f aca="false">ינואר!J18+פברואר!J18+מרץ!J18</f>
        <v>7610.78499999999</v>
      </c>
      <c r="K18" s="139" t="n">
        <f aca="false">G18/J18-1</f>
        <v>-0.331602456251227</v>
      </c>
      <c r="L18" s="142" t="n">
        <f aca="false">G18-J18</f>
        <v>-2523.75499999999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4303881.401</v>
      </c>
      <c r="F19" s="146" t="n">
        <f aca="false">F16+F17+F18</f>
        <v>4365782.11200001</v>
      </c>
      <c r="G19" s="146" t="n">
        <f aca="false">G16+G17+G18</f>
        <v>4720247.86000001</v>
      </c>
      <c r="H19" s="147" t="n">
        <f aca="false">G19/F19-1</f>
        <v>0.0811918091435895</v>
      </c>
      <c r="I19" s="146" t="n">
        <f aca="false">I16+I17+I18</f>
        <v>354465.748000001</v>
      </c>
      <c r="J19" s="146" t="n">
        <f aca="false">J16+J17+J18</f>
        <v>6132765.21061205</v>
      </c>
      <c r="K19" s="147" t="n">
        <f aca="false">G19/J19-1</f>
        <v>-0.230323076475819</v>
      </c>
      <c r="L19" s="146" t="n">
        <f aca="false">L16+L17+L18</f>
        <v>-1412517.35061204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ינואר!E20+פברואר!E20+מרץ!E20</f>
        <v>1103838.6</v>
      </c>
      <c r="F20" s="138" t="n">
        <f aca="false">ינואר!F20+פברואר!F20+מרץ!F20</f>
        <v>615682.31</v>
      </c>
      <c r="G20" s="138" t="n">
        <f aca="false">ינואר!G20+פברואר!G20+מרץ!G20</f>
        <v>586175.55</v>
      </c>
      <c r="H20" s="139" t="n">
        <f aca="false">G20/F20-1</f>
        <v>-0.0479253009559427</v>
      </c>
      <c r="I20" s="140" t="n">
        <f aca="false">G20-F20</f>
        <v>-29506.76</v>
      </c>
      <c r="J20" s="138" t="n">
        <f aca="false">ינואר!J20+פברואר!J20+מרץ!J20</f>
        <v>917409.4788375</v>
      </c>
      <c r="K20" s="139" t="n">
        <f aca="false">G20/J20-1</f>
        <v>-0.361053527872008</v>
      </c>
      <c r="L20" s="142" t="n">
        <f aca="false">G20-J20</f>
        <v>-331233.9288375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ינואר!E21+פברואר!E21+מרץ!E21</f>
        <v>256045.17</v>
      </c>
      <c r="F21" s="138" t="n">
        <f aca="false">ינואר!F21+פברואר!F21+מרץ!F21</f>
        <v>213082.56</v>
      </c>
      <c r="G21" s="138" t="n">
        <f aca="false">ינואר!G21+פברואר!G21+מרץ!G21</f>
        <v>137198.2</v>
      </c>
      <c r="H21" s="139" t="n">
        <f aca="false">G21/F21-1</f>
        <v>-0.356126564276307</v>
      </c>
      <c r="I21" s="140" t="n">
        <f aca="false">G21-F21</f>
        <v>-75884.36</v>
      </c>
      <c r="J21" s="138" t="n">
        <f aca="false">ינואר!J21+פברואר!J21+מרץ!J21</f>
        <v>235200</v>
      </c>
      <c r="K21" s="139" t="n">
        <f aca="false">G21/J21-1</f>
        <v>-0.416674319727891</v>
      </c>
      <c r="L21" s="142" t="n">
        <f aca="false">G21-J21</f>
        <v>-98001.8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ינואר!E22+פברואר!E22+מרץ!E22</f>
        <v>134605.5</v>
      </c>
      <c r="F22" s="138" t="n">
        <f aca="false">ינואר!F22+פברואר!F22+מרץ!F22</f>
        <v>80573.03</v>
      </c>
      <c r="G22" s="138" t="n">
        <f aca="false">ינואר!G22+פברואר!G22+מרץ!G22</f>
        <v>149149.43</v>
      </c>
      <c r="H22" s="139" t="n">
        <f aca="false">G22/F22-1</f>
        <v>0.851108615376634</v>
      </c>
      <c r="I22" s="140" t="n">
        <f aca="false">G22-F22</f>
        <v>68576.4</v>
      </c>
      <c r="J22" s="138" t="n">
        <f aca="false">ינואר!J22+פברואר!J22+מרץ!J22</f>
        <v>151610.27</v>
      </c>
      <c r="K22" s="139" t="n">
        <f aca="false">G22/J22-1</f>
        <v>-0.0162313542479675</v>
      </c>
      <c r="L22" s="142" t="n">
        <f aca="false">G22-J22</f>
        <v>-2460.84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ינואר!E23+פברואר!E23+מרץ!E23</f>
        <v>153212.06</v>
      </c>
      <c r="F23" s="138" t="n">
        <f aca="false">ינואר!F23+פברואר!F23+מרץ!F23</f>
        <v>85563.25</v>
      </c>
      <c r="G23" s="138" t="n">
        <f aca="false">ינואר!G23+פברואר!G23+מרץ!G23</f>
        <v>67158.97</v>
      </c>
      <c r="H23" s="139" t="n">
        <f aca="false">G23/F23-1</f>
        <v>-0.215095616400733</v>
      </c>
      <c r="I23" s="140" t="n">
        <f aca="false">G23-F23</f>
        <v>-18404.28</v>
      </c>
      <c r="J23" s="138" t="n">
        <f aca="false">ינואר!J23+פברואר!J23+מרץ!J23</f>
        <v>162158.97</v>
      </c>
      <c r="K23" s="139" t="n">
        <f aca="false">G23/J23-1</f>
        <v>-0.585844865689514</v>
      </c>
      <c r="L23" s="142" t="n">
        <f aca="false">G23-J23</f>
        <v>-95000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ינואר!E24+פברואר!E24+מרץ!E24</f>
        <v>32300.81</v>
      </c>
      <c r="F24" s="138" t="n">
        <f aca="false">ינואר!F24+פברואר!F24+מרץ!F24</f>
        <v>29999.78</v>
      </c>
      <c r="G24" s="138" t="n">
        <f aca="false">ינואר!G24+פברואר!G24+מרץ!G24</f>
        <v>44796.11</v>
      </c>
      <c r="H24" s="139" t="n">
        <f aca="false">G24/F24-1</f>
        <v>0.493214616907191</v>
      </c>
      <c r="I24" s="140" t="n">
        <f aca="false">G24-F24</f>
        <v>14796.33</v>
      </c>
      <c r="J24" s="138" t="n">
        <f aca="false">ינואר!J24+פברואר!J24+מרץ!J24</f>
        <v>32774.92</v>
      </c>
      <c r="K24" s="139" t="n">
        <f aca="false">G24/J24-1</f>
        <v>0.366780147747119</v>
      </c>
      <c r="L24" s="142" t="n">
        <f aca="false">G24-J24</f>
        <v>12021.19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ינואר!E25+פברואר!E25+מרץ!E25</f>
        <v>50777.76</v>
      </c>
      <c r="F25" s="138" t="n">
        <f aca="false">ינואר!F25+פברואר!F25+מרץ!F25</f>
        <v>42132.93</v>
      </c>
      <c r="G25" s="138" t="n">
        <f aca="false">ינואר!G25+פברואר!G25+מרץ!G25</f>
        <v>0</v>
      </c>
      <c r="H25" s="139" t="n">
        <f aca="false">G25/F25-1</f>
        <v>-1</v>
      </c>
      <c r="I25" s="140" t="n">
        <f aca="false">G25-F25</f>
        <v>-42132.93</v>
      </c>
      <c r="J25" s="138" t="n">
        <f aca="false">ינואר!J25+פברואר!J25+מרץ!J25</f>
        <v>5000</v>
      </c>
      <c r="K25" s="139" t="n">
        <f aca="false">G25/J25-1</f>
        <v>-1</v>
      </c>
      <c r="L25" s="142" t="n">
        <f aca="false">G25-J25</f>
        <v>-5000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ינואר!E26+פברואר!E26+מרץ!E26</f>
        <v>249206.12</v>
      </c>
      <c r="F26" s="138" t="n">
        <f aca="false">ינואר!F26+פברואר!F26+מרץ!F26</f>
        <v>0</v>
      </c>
      <c r="G26" s="138" t="n">
        <f aca="false">ינואר!G26+פברואר!G26+מרץ!G26</f>
        <v>-1269.06</v>
      </c>
      <c r="H26" s="139" t="str">
        <f aca="false">IFERROR(G26/F26-1,"-")</f>
        <v>-</v>
      </c>
      <c r="I26" s="140" t="n">
        <f aca="false">G26-F26</f>
        <v>-1269.06</v>
      </c>
      <c r="J26" s="138" t="n">
        <f aca="false">ינואר!J26+פברואר!J26+מרץ!J26</f>
        <v>0</v>
      </c>
      <c r="K26" s="139" t="str">
        <f aca="false">IFERROR(G26/J26-1,"-")</f>
        <v>-</v>
      </c>
      <c r="L26" s="142" t="n">
        <f aca="false">G26-J26</f>
        <v>-1269.06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ינואר!E27+פברואר!E27+מרץ!E27</f>
        <v>62495.48</v>
      </c>
      <c r="F27" s="138" t="n">
        <f aca="false">ינואר!F27+פברואר!F27+מרץ!F27</f>
        <v>0</v>
      </c>
      <c r="G27" s="138" t="n">
        <f aca="false">ינואר!G27+פברואר!G27+מרץ!G27</f>
        <v>42152.31</v>
      </c>
      <c r="H27" s="139" t="str">
        <f aca="false">IFERROR(G27/F27-1,"-")</f>
        <v>-</v>
      </c>
      <c r="I27" s="140" t="n">
        <f aca="false">G27-F27</f>
        <v>42152.31</v>
      </c>
      <c r="J27" s="138" t="n">
        <f aca="false">ינואר!J27+פברואר!J27+מרץ!J27</f>
        <v>40000</v>
      </c>
      <c r="K27" s="139" t="n">
        <f aca="false">G27/J27-1</f>
        <v>0.05380775</v>
      </c>
      <c r="L27" s="142" t="n">
        <f aca="false">G27-J27</f>
        <v>2152.31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ינואר!E28+פברואר!E28+מרץ!E28</f>
        <v>171813.81</v>
      </c>
      <c r="F28" s="138" t="n">
        <f aca="false">ינואר!F28+פברואר!F28+מרץ!F28</f>
        <v>0.22</v>
      </c>
      <c r="G28" s="138" t="n">
        <f aca="false">ינואר!G28+פברואר!G28+מרץ!G28</f>
        <v>0</v>
      </c>
      <c r="H28" s="139" t="n">
        <f aca="false">G28/F28-1</f>
        <v>-1</v>
      </c>
      <c r="I28" s="140" t="n">
        <f aca="false">G28-F28</f>
        <v>-0.22</v>
      </c>
      <c r="J28" s="138" t="n">
        <f aca="false">ינואר!J28+פברואר!J28+מרץ!J28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ינואר!E29+פברואר!E29+מרץ!E29</f>
        <v>75421.29</v>
      </c>
      <c r="F29" s="138" t="n">
        <f aca="false">ינואר!F29+פברואר!F29+מרץ!F29</f>
        <v>93346.17</v>
      </c>
      <c r="G29" s="138" t="n">
        <f aca="false">ינואר!G29+פברואר!G29+מרץ!G29</f>
        <v>52124.75</v>
      </c>
      <c r="H29" s="139" t="n">
        <f aca="false">G29/F29-1</f>
        <v>-0.441597336023535</v>
      </c>
      <c r="I29" s="140" t="n">
        <f aca="false">G29-F29</f>
        <v>-41221.42</v>
      </c>
      <c r="J29" s="138" t="n">
        <f aca="false">ינואר!J29+פברואר!J29+מרץ!J29</f>
        <v>92114.316</v>
      </c>
      <c r="K29" s="139" t="n">
        <f aca="false">G29/J29-1</f>
        <v>-0.434129761111183</v>
      </c>
      <c r="L29" s="142" t="n">
        <f aca="false">G29-J29</f>
        <v>-39989.566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ינואר!E30+פברואר!E30+מרץ!E30</f>
        <v>0</v>
      </c>
      <c r="F30" s="138" t="n">
        <f aca="false">ינואר!F30+פברואר!F30+מרץ!F30</f>
        <v>32010.18</v>
      </c>
      <c r="G30" s="138" t="n">
        <f aca="false">ינואר!G30+פברואר!G30+מרץ!G30</f>
        <v>0</v>
      </c>
      <c r="H30" s="139" t="n">
        <f aca="false">G30/F30-1</f>
        <v>-1</v>
      </c>
      <c r="I30" s="140" t="n">
        <f aca="false">G30-F30</f>
        <v>-32010.18</v>
      </c>
      <c r="J30" s="138" t="n">
        <f aca="false">ינואר!J30+פברואר!J30+מרץ!J30</f>
        <v>0</v>
      </c>
      <c r="K30" s="139" t="str">
        <f aca="false">IFERROR(G30/J30-1,"-")</f>
        <v>-</v>
      </c>
      <c r="L30" s="142" t="n">
        <f aca="false">G30-J30</f>
        <v>0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ינואר!E31+פברואר!E31+מרץ!E31</f>
        <v>0</v>
      </c>
      <c r="F31" s="138" t="n">
        <f aca="false">ינואר!F31+פברואר!F31+מרץ!F31</f>
        <v>19897.57</v>
      </c>
      <c r="G31" s="138" t="n">
        <f aca="false">ינואר!G31+פברואר!G31+מרץ!G31</f>
        <v>0</v>
      </c>
      <c r="H31" s="139" t="n">
        <f aca="false">G31/F31-1</f>
        <v>-1</v>
      </c>
      <c r="I31" s="140" t="n">
        <f aca="false">G31-F31</f>
        <v>-19897.57</v>
      </c>
      <c r="J31" s="138" t="n">
        <f aca="false">ינואר!J31+פברואר!J31+מרץ!J31</f>
        <v>20000</v>
      </c>
      <c r="K31" s="139" t="n">
        <f aca="false">G31/J31-1</f>
        <v>-1</v>
      </c>
      <c r="L31" s="142" t="n">
        <f aca="false">G31-J31</f>
        <v>-20000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ינואר!E32+פברואר!E32+מרץ!E32</f>
        <v>0</v>
      </c>
      <c r="F32" s="138" t="n">
        <f aca="false">ינואר!F32+פברואר!F32+מרץ!F32</f>
        <v>16024.5</v>
      </c>
      <c r="G32" s="138" t="n">
        <f aca="false">ינואר!G32+פברואר!G32+מרץ!G32</f>
        <v>0</v>
      </c>
      <c r="H32" s="139" t="n">
        <f aca="false">G32/F32-1</f>
        <v>-1</v>
      </c>
      <c r="I32" s="140" t="n">
        <f aca="false">G32-F32</f>
        <v>-16024.5</v>
      </c>
      <c r="J32" s="138" t="n">
        <f aca="false">ינואר!J32+פברואר!J32+מרץ!J32</f>
        <v>18000</v>
      </c>
      <c r="K32" s="139" t="n">
        <f aca="false">G32/J32-1</f>
        <v>-1</v>
      </c>
      <c r="L32" s="142" t="n">
        <f aca="false">G32-J32</f>
        <v>-18000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 t="n">
        <f aca="false">ינואר!E33+פברואר!E33+מרץ!E33</f>
        <v>0</v>
      </c>
      <c r="F33" s="138" t="n">
        <f aca="false">ינואר!F33+פברואר!F33+מרץ!F33</f>
        <v>0</v>
      </c>
      <c r="G33" s="138" t="n">
        <f aca="false">ינואר!G33+פברואר!G33+מרץ!G33</f>
        <v>0</v>
      </c>
      <c r="H33" s="139" t="str">
        <f aca="false">IFERROR(G33/F33-1,"-")</f>
        <v>-</v>
      </c>
      <c r="I33" s="140" t="n">
        <f aca="false">G33-F33</f>
        <v>0</v>
      </c>
      <c r="J33" s="138" t="n">
        <f aca="false">ינואר!J33+פברואר!J33+מרץ!J33</f>
        <v>0</v>
      </c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ינואר!E34+פברואר!E34+מרץ!E34</f>
        <v>19941.82</v>
      </c>
      <c r="F34" s="138" t="n">
        <f aca="false">ינואר!F34+פברואר!F34+מרץ!F34</f>
        <v>20695.69</v>
      </c>
      <c r="G34" s="138" t="n">
        <f aca="false">ינואר!G34+פברואר!G34+מרץ!G34</f>
        <v>18792.66</v>
      </c>
      <c r="H34" s="139" t="n">
        <f aca="false">G34/F34-1</f>
        <v>-0.0919529621868128</v>
      </c>
      <c r="I34" s="140" t="n">
        <f aca="false">G34-F34</f>
        <v>-1903.03</v>
      </c>
      <c r="J34" s="138" t="n">
        <f aca="false">ינואר!J34+פברואר!J34+מרץ!J34</f>
        <v>18792.66</v>
      </c>
      <c r="K34" s="139" t="n">
        <f aca="false">G34/J34-1</f>
        <v>0</v>
      </c>
      <c r="L34" s="142" t="n">
        <f aca="false">G34-J34</f>
        <v>0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ינואר!E35+פברואר!E35+מרץ!E35</f>
        <v>34034.18</v>
      </c>
      <c r="F35" s="138" t="n">
        <f aca="false">ינואר!F35+פברואר!F35+מרץ!F35</f>
        <v>0</v>
      </c>
      <c r="G35" s="138" t="n">
        <f aca="false">ינואר!G35+פברואר!G35+מרץ!G35</f>
        <v>0</v>
      </c>
      <c r="H35" s="139" t="str">
        <f aca="false">IFERROR(G35/F35-1,"-")</f>
        <v>-</v>
      </c>
      <c r="I35" s="140" t="n">
        <f aca="false">G35-F35</f>
        <v>0</v>
      </c>
      <c r="J35" s="138" t="n">
        <f aca="false">ינואר!J35+פברואר!J35+מרץ!J35</f>
        <v>0</v>
      </c>
      <c r="K35" s="139" t="str">
        <f aca="false">IFERROR(G35/J35-1,"-")</f>
        <v>-</v>
      </c>
      <c r="L35" s="142" t="n">
        <f aca="false">G35-J35</f>
        <v>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ינואר!E36+פברואר!E36+מרץ!E36</f>
        <v>0</v>
      </c>
      <c r="F36" s="138" t="n">
        <f aca="false">ינואר!F36+פברואר!F36+מרץ!F36</f>
        <v>0</v>
      </c>
      <c r="G36" s="138" t="n">
        <f aca="false">ינואר!G36+פברואר!G36+מרץ!G36</f>
        <v>0</v>
      </c>
      <c r="H36" s="139" t="str">
        <f aca="false">IFERROR(G36/F36-1,"-")</f>
        <v>-</v>
      </c>
      <c r="I36" s="140" t="n">
        <f aca="false">G36-F36</f>
        <v>0</v>
      </c>
      <c r="J36" s="138" t="n">
        <f aca="false">ינואר!J36+פברואר!J36+מרץ!J36</f>
        <v>0</v>
      </c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ינואר!E37+פברואר!E37+מרץ!E37</f>
        <v>0</v>
      </c>
      <c r="F37" s="138" t="n">
        <f aca="false">ינואר!F37+פברואר!F37+מרץ!F37</f>
        <v>0</v>
      </c>
      <c r="G37" s="138" t="n">
        <f aca="false">ינואר!G37+פברואר!G37+מרץ!G37</f>
        <v>0</v>
      </c>
      <c r="H37" s="139" t="str">
        <f aca="false">IFERROR(G37/F37-1,"-")</f>
        <v>-</v>
      </c>
      <c r="I37" s="140" t="n">
        <f aca="false">G37-F37</f>
        <v>0</v>
      </c>
      <c r="J37" s="138" t="n">
        <f aca="false">ינואר!J37+פברואר!J37+מרץ!J37</f>
        <v>0</v>
      </c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ינואר!E38+פברואר!E38+מרץ!E38</f>
        <v>0</v>
      </c>
      <c r="F38" s="138" t="n">
        <f aca="false">ינואר!F38+פברואר!F38+מרץ!F38</f>
        <v>0</v>
      </c>
      <c r="G38" s="138" t="n">
        <f aca="false">ינואר!G38+פברואר!G38+מרץ!G38</f>
        <v>0</v>
      </c>
      <c r="H38" s="139" t="str">
        <f aca="false">IFERROR(G38/F38-1,"-")</f>
        <v>-</v>
      </c>
      <c r="I38" s="140" t="n">
        <f aca="false">G38-F38</f>
        <v>0</v>
      </c>
      <c r="J38" s="138" t="n">
        <f aca="false">ינואר!J38+פברואר!J38+מרץ!J38</f>
        <v>0</v>
      </c>
      <c r="K38" s="139" t="str">
        <f aca="false">IFERROR(G38/J38-1,"-")</f>
        <v>-</v>
      </c>
      <c r="L38" s="142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 t="n">
        <f aca="false">ינואר!E39+פברואר!E39+מרץ!E39</f>
        <v>0</v>
      </c>
      <c r="F39" s="138" t="n">
        <f aca="false">ינואר!F39+פברואר!F39+מרץ!F39</f>
        <v>0</v>
      </c>
      <c r="G39" s="138" t="n">
        <f aca="false">ינואר!G39+פברואר!G39+מרץ!G39</f>
        <v>0</v>
      </c>
      <c r="H39" s="139" t="str">
        <f aca="false">IFERROR(G39/F39-1,"-")</f>
        <v>-</v>
      </c>
      <c r="I39" s="140" t="n">
        <f aca="false">G39-F39</f>
        <v>0</v>
      </c>
      <c r="J39" s="138" t="n">
        <f aca="false">ינואר!J39+פברואר!J39+מרץ!J39</f>
        <v>0</v>
      </c>
      <c r="K39" s="139" t="str">
        <f aca="false">IFERROR(G39/J39-1,"-")</f>
        <v>-</v>
      </c>
      <c r="L39" s="142" t="n">
        <f aca="false">G39-J39</f>
        <v>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</f>
        <v>2343692.6</v>
      </c>
      <c r="F40" s="149" t="n">
        <f aca="false">SUM(F20:F39)</f>
        <v>1249008.19</v>
      </c>
      <c r="G40" s="149" t="n">
        <f aca="false">SUM(G20:G39)</f>
        <v>1096278.92</v>
      </c>
      <c r="H40" s="150" t="n">
        <f aca="false">G40/F40-1</f>
        <v>-0.122280439169899</v>
      </c>
      <c r="I40" s="149" t="n">
        <f aca="false">SUM(I20:I39)</f>
        <v>-152729.27</v>
      </c>
      <c r="J40" s="149" t="n">
        <f aca="false">SUM(J20:J39)</f>
        <v>1693060.6148375</v>
      </c>
      <c r="K40" s="150" t="n">
        <f aca="false">G40/J40-1</f>
        <v>-0.352486904253442</v>
      </c>
      <c r="L40" s="149" t="n">
        <f aca="false">SUM(L20:L39)</f>
        <v>-596781.6948375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6647574.001</v>
      </c>
      <c r="F41" s="152" t="n">
        <f aca="false">F40+F19</f>
        <v>5614790.30200001</v>
      </c>
      <c r="G41" s="152" t="n">
        <f aca="false">G40+G19</f>
        <v>5816526.78000001</v>
      </c>
      <c r="H41" s="153" t="n">
        <f aca="false">G41/F41-1</f>
        <v>0.0359294768191327</v>
      </c>
      <c r="I41" s="152" t="n">
        <f aca="false">I40+I19</f>
        <v>201736.478000001</v>
      </c>
      <c r="J41" s="152" t="n">
        <f aca="false">J40+J19</f>
        <v>7825825.82544955</v>
      </c>
      <c r="K41" s="153" t="n">
        <f aca="false">G41/J41-1</f>
        <v>-0.256752333909005</v>
      </c>
      <c r="L41" s="152" t="n">
        <f aca="false">L40+L19</f>
        <v>-2009299.04544954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0.352563596832083</v>
      </c>
      <c r="F42" s="155" t="n">
        <f aca="false">F40/F41</f>
        <v>0.222449659349718</v>
      </c>
      <c r="G42" s="155" t="n">
        <f aca="false">G40/G41</f>
        <v>0.188476553356468</v>
      </c>
      <c r="H42" s="156"/>
      <c r="I42" s="5"/>
      <c r="J42" s="76" t="n">
        <f aca="false">J40-ינואר!J40-פברואר!J40-מרץ!J40</f>
        <v>0</v>
      </c>
    </row>
    <row r="43" customFormat="false" ht="14.25" hidden="false" customHeight="true" outlineLevel="0" collapsed="false">
      <c r="E43" s="76" t="n">
        <f aca="false">E41-ינואר!E41-פברואר!E41-מרץ!E41</f>
        <v>0</v>
      </c>
      <c r="I43" s="5"/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E50" activeCellId="0" sqref="E50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38"/>
    <col collapsed="false" customWidth="true" hidden="true" outlineLevel="0" max="3" min="2" style="1" width="28"/>
    <col collapsed="false" customWidth="true" hidden="false" outlineLevel="0" max="4" min="4" style="1" width="28"/>
    <col collapsed="false" customWidth="true" hidden="false" outlineLevel="0" max="5" min="5" style="1" width="13.38"/>
    <col collapsed="false" customWidth="true" hidden="false" outlineLevel="0" max="8" min="6" style="1" width="10.88"/>
    <col collapsed="false" customWidth="true" hidden="false" outlineLevel="0" max="9" min="9" style="111" width="10.75"/>
    <col collapsed="false" customWidth="true" hidden="false" outlineLevel="0" max="11" min="10" style="1" width="10.88"/>
    <col collapsed="false" customWidth="true" hidden="false" outlineLevel="0" max="12" min="12" style="111" width="10.75"/>
    <col collapsed="false" customWidth="true" hidden="false" outlineLevel="0" max="13" min="13" style="1" width="10.88"/>
    <col collapsed="false" customWidth="true" hidden="false" outlineLevel="0" max="15" min="15" style="1" width="12.62"/>
    <col collapsed="false" customWidth="true" hidden="false" outlineLevel="0" max="16" min="16" style="1" width="10.88"/>
  </cols>
  <sheetData>
    <row r="1" customFormat="false" ht="15.75" hidden="false" customHeight="true" outlineLevel="0" collapsed="false">
      <c r="B1" s="7"/>
      <c r="C1" s="7" t="s">
        <v>190</v>
      </c>
      <c r="D1" s="7" t="s">
        <v>190</v>
      </c>
      <c r="E1" s="7"/>
      <c r="F1" s="159"/>
      <c r="G1" s="159"/>
      <c r="H1" s="159"/>
      <c r="I1" s="160"/>
      <c r="J1" s="159"/>
      <c r="K1" s="159"/>
      <c r="L1" s="160"/>
      <c r="M1" s="159"/>
    </row>
    <row r="2" customFormat="false" ht="15" hidden="false" customHeight="true" outlineLevel="0" collapsed="false">
      <c r="A2" s="161" t="s">
        <v>2</v>
      </c>
      <c r="B2" s="162"/>
      <c r="C2" s="162"/>
      <c r="D2" s="162"/>
      <c r="E2" s="162" t="s">
        <v>3</v>
      </c>
      <c r="F2" s="163" t="s">
        <v>191</v>
      </c>
      <c r="G2" s="163" t="s">
        <v>192</v>
      </c>
      <c r="H2" s="163" t="s">
        <v>193</v>
      </c>
      <c r="I2" s="164" t="s">
        <v>168</v>
      </c>
      <c r="J2" s="163" t="s">
        <v>169</v>
      </c>
      <c r="K2" s="163" t="s">
        <v>170</v>
      </c>
      <c r="L2" s="164" t="s">
        <v>114</v>
      </c>
      <c r="M2" s="163" t="s">
        <v>115</v>
      </c>
    </row>
    <row r="3" customFormat="false" ht="14.25" hidden="false" customHeight="true" outlineLevel="0" collapsed="false">
      <c r="A3" s="165" t="n">
        <v>5</v>
      </c>
      <c r="B3" s="166" t="s">
        <v>143</v>
      </c>
      <c r="C3" s="166" t="s">
        <v>31</v>
      </c>
      <c r="D3" s="166" t="s">
        <v>31</v>
      </c>
      <c r="E3" s="166" t="s">
        <v>32</v>
      </c>
      <c r="F3" s="158" t="n">
        <f aca="false">ינואר!E3+פברואר!E3+מרץ!E3+אפריל!E3+מאי!E3+יוני!E3</f>
        <v>910277.96</v>
      </c>
      <c r="G3" s="158" t="n">
        <f aca="false">ינואר!F3+פברואר!F3+מרץ!F3+אפריל!F3+מאי!F3+יוני!F3</f>
        <v>826817.4</v>
      </c>
      <c r="H3" s="158" t="n">
        <f aca="false">ינואר!G3+פברואר!G3+מרץ!G3+אפריל!G3+מאי!G3+יוני!G3</f>
        <v>740443.3</v>
      </c>
      <c r="I3" s="167" t="n">
        <f aca="false">H3/G3-1</f>
        <v>-0.104465750236993</v>
      </c>
      <c r="J3" s="158" t="n">
        <f aca="false">H3-G3</f>
        <v>-86374.1000000001</v>
      </c>
      <c r="K3" s="158" t="n">
        <f aca="false">ינואר!J3+פברואר!J3+מרץ!J3+אפריל!J3+מאי!J3+יוני!J3</f>
        <v>1134761.90476191</v>
      </c>
      <c r="L3" s="167" t="n">
        <f aca="false">H3/K3-1</f>
        <v>-0.347490167855644</v>
      </c>
      <c r="M3" s="158" t="n">
        <f aca="false">H3-K3</f>
        <v>-394318.604761905</v>
      </c>
    </row>
    <row r="4" customFormat="false" ht="14.25" hidden="false" customHeight="true" outlineLevel="0" collapsed="false">
      <c r="A4" s="168" t="n">
        <v>1</v>
      </c>
      <c r="B4" s="166" t="s">
        <v>33</v>
      </c>
      <c r="C4" s="166" t="s">
        <v>33</v>
      </c>
      <c r="D4" s="166" t="s">
        <v>33</v>
      </c>
      <c r="E4" s="166" t="s">
        <v>32</v>
      </c>
      <c r="F4" s="158" t="n">
        <f aca="false">ינואר!E4+פברואר!E4+מרץ!E4+אפריל!E4+מאי!E4+יוני!E4</f>
        <v>2779958.09</v>
      </c>
      <c r="G4" s="158" t="n">
        <f aca="false">ינואר!F4+פברואר!F4+מרץ!F4+אפריל!F4+מאי!F4+יוני!F4</f>
        <v>3246648.62260003</v>
      </c>
      <c r="H4" s="158" t="n">
        <f aca="false">ינואר!G4+פברואר!G4+מרץ!G4+אפריל!G4+מאי!G4+יוני!G4</f>
        <v>2774937.893</v>
      </c>
      <c r="I4" s="167" t="n">
        <f aca="false">H4/G4-1</f>
        <v>-0.14529158662765</v>
      </c>
      <c r="J4" s="158" t="n">
        <f aca="false">H4-G4</f>
        <v>-471710.729600033</v>
      </c>
      <c r="K4" s="158" t="n">
        <f aca="false">ינואר!J4+פברואר!J4+מרץ!J4+אפריל!J4+מאי!J4+יוני!J4</f>
        <v>3319904.76190476</v>
      </c>
      <c r="L4" s="167" t="n">
        <f aca="false">H4/K4-1</f>
        <v>-0.164151356134715</v>
      </c>
      <c r="M4" s="158" t="n">
        <f aca="false">H4-K4</f>
        <v>-544966.868904764</v>
      </c>
    </row>
    <row r="5" customFormat="false" ht="14.25" hidden="false" customHeight="true" outlineLevel="0" collapsed="false">
      <c r="A5" s="168" t="n">
        <v>7</v>
      </c>
      <c r="B5" s="166" t="s">
        <v>34</v>
      </c>
      <c r="C5" s="166" t="s">
        <v>34</v>
      </c>
      <c r="D5" s="166" t="s">
        <v>34</v>
      </c>
      <c r="E5" s="166" t="s">
        <v>32</v>
      </c>
      <c r="F5" s="158" t="n">
        <f aca="false">ינואר!E5+פברואר!E5+מרץ!E5+אפריל!E5+מאי!E5+יוני!E5</f>
        <v>543790.884</v>
      </c>
      <c r="G5" s="158" t="n">
        <f aca="false">ינואר!F5+פברואר!F5+מרץ!F5+אפריל!F5+מאי!F5+יוני!F5</f>
        <v>421646.86</v>
      </c>
      <c r="H5" s="158" t="n">
        <f aca="false">ינואר!G5+פברואר!G5+מרץ!G5+אפריל!G5+מאי!G5+יוני!G5</f>
        <v>437274.565</v>
      </c>
      <c r="I5" s="167" t="n">
        <f aca="false">H5/G5-1</f>
        <v>0.0370634919467918</v>
      </c>
      <c r="J5" s="158" t="n">
        <f aca="false">H5-G5</f>
        <v>15627.705</v>
      </c>
      <c r="K5" s="158" t="n">
        <f aca="false">ינואר!J5+פברואר!J5+מרץ!J5+אפריל!J5+מאי!J5+יוני!J5</f>
        <v>439285.714285714</v>
      </c>
      <c r="L5" s="167" t="n">
        <f aca="false">H5/K5-1</f>
        <v>-0.00457822601626001</v>
      </c>
      <c r="M5" s="158" t="n">
        <f aca="false">H5-K5</f>
        <v>-2011.1492857142</v>
      </c>
    </row>
    <row r="6" customFormat="false" ht="14.25" hidden="false" customHeight="true" outlineLevel="0" collapsed="false">
      <c r="A6" s="168" t="n">
        <v>4</v>
      </c>
      <c r="B6" s="166" t="s">
        <v>35</v>
      </c>
      <c r="C6" s="166" t="s">
        <v>35</v>
      </c>
      <c r="D6" s="166" t="s">
        <v>35</v>
      </c>
      <c r="E6" s="166" t="s">
        <v>32</v>
      </c>
      <c r="F6" s="158" t="n">
        <f aca="false">ינואר!E6+פברואר!E6+מרץ!E6+אפריל!E6+מאי!E6+יוני!E6</f>
        <v>1002133.417</v>
      </c>
      <c r="G6" s="158" t="n">
        <f aca="false">ינואר!F6+פברואר!F6+מרץ!F6+אפריל!F6+מאי!F6+יוני!F6</f>
        <v>942787.379400002</v>
      </c>
      <c r="H6" s="158" t="n">
        <f aca="false">ינואר!G6+פברואר!G6+מרץ!G6+אפריל!G6+מאי!G6+יוני!G6</f>
        <v>918523.978</v>
      </c>
      <c r="I6" s="167" t="n">
        <f aca="false">H6/G6-1</f>
        <v>-0.0257358148084705</v>
      </c>
      <c r="J6" s="158" t="n">
        <f aca="false">H6-G6</f>
        <v>-24263.4014000017</v>
      </c>
      <c r="K6" s="158" t="n">
        <f aca="false">ינואר!J6+פברואר!J6+מרץ!J6+אפריל!J6+מאי!J6+יוני!J6</f>
        <v>948380.952380952</v>
      </c>
      <c r="L6" s="167" t="n">
        <f aca="false">H6/K6-1</f>
        <v>-0.0314820477003409</v>
      </c>
      <c r="M6" s="158" t="n">
        <f aca="false">H6-K6</f>
        <v>-29856.9743809518</v>
      </c>
    </row>
    <row r="7" customFormat="false" ht="14.25" hidden="false" customHeight="true" outlineLevel="0" collapsed="false">
      <c r="A7" s="168" t="n">
        <v>3</v>
      </c>
      <c r="B7" s="166" t="s">
        <v>148</v>
      </c>
      <c r="C7" s="166" t="s">
        <v>36</v>
      </c>
      <c r="D7" s="166" t="s">
        <v>36</v>
      </c>
      <c r="E7" s="166" t="s">
        <v>32</v>
      </c>
      <c r="F7" s="158" t="n">
        <f aca="false">ינואר!E7+פברואר!E7+מרץ!E7+אפריל!E7+מאי!E7+יוני!E7</f>
        <v>2077589</v>
      </c>
      <c r="G7" s="158" t="n">
        <f aca="false">ינואר!F7+פברואר!F7+מרץ!F7+אפריל!F7+מאי!F7+יוני!F7</f>
        <v>2008545.5</v>
      </c>
      <c r="H7" s="158" t="n">
        <f aca="false">ינואר!G7+פברואר!G7+מרץ!G7+אפריל!G7+מאי!G7+יוני!G7</f>
        <v>1742410.85</v>
      </c>
      <c r="I7" s="167" t="n">
        <f aca="false">H7/G7-1</f>
        <v>-0.132501180580674</v>
      </c>
      <c r="J7" s="158" t="n">
        <f aca="false">H7-G7</f>
        <v>-266134.65</v>
      </c>
      <c r="K7" s="158" t="n">
        <f aca="false">ינואר!J7+פברואר!J7+מרץ!J7+אפריל!J7+מאי!J7+יוני!J7</f>
        <v>2190000</v>
      </c>
      <c r="L7" s="167" t="n">
        <f aca="false">H7/K7-1</f>
        <v>-0.204378607305936</v>
      </c>
      <c r="M7" s="158" t="n">
        <f aca="false">H7-K7</f>
        <v>-447589.15</v>
      </c>
    </row>
    <row r="8" customFormat="false" ht="14.25" hidden="false" customHeight="true" outlineLevel="0" collapsed="false">
      <c r="A8" s="168" t="n">
        <v>8</v>
      </c>
      <c r="B8" s="166" t="s">
        <v>147</v>
      </c>
      <c r="C8" s="166" t="s">
        <v>37</v>
      </c>
      <c r="D8" s="166" t="s">
        <v>37</v>
      </c>
      <c r="E8" s="166" t="s">
        <v>32</v>
      </c>
      <c r="F8" s="158" t="n">
        <f aca="false">ינואר!E8+פברואר!E8+מרץ!E8+אפריל!E8+מאי!E8+יוני!E8</f>
        <v>413393.5</v>
      </c>
      <c r="G8" s="158" t="n">
        <f aca="false">ינואר!F8+פברואר!F8+מרץ!F8+אפריל!F8+מאי!F8+יוני!F8</f>
        <v>427663.17</v>
      </c>
      <c r="H8" s="158" t="n">
        <f aca="false">ינואר!G8+פברואר!G8+מרץ!G8+אפריל!G8+מאי!G8+יוני!G8</f>
        <v>343097.611</v>
      </c>
      <c r="I8" s="167" t="n">
        <f aca="false">H8/G8-1</f>
        <v>-0.19773869936006</v>
      </c>
      <c r="J8" s="158" t="n">
        <f aca="false">H8-G8</f>
        <v>-84565.5590000001</v>
      </c>
      <c r="K8" s="158" t="n">
        <f aca="false">ינואר!J8+פברואר!J8+מרץ!J8+אפריל!J8+מאי!J8+יוני!J8</f>
        <v>608095.238095237</v>
      </c>
      <c r="L8" s="167" t="n">
        <f aca="false">H8/K8-1</f>
        <v>-0.435783098590446</v>
      </c>
      <c r="M8" s="158" t="n">
        <f aca="false">H8-K8</f>
        <v>-264997.627095237</v>
      </c>
    </row>
    <row r="9" customFormat="false" ht="14.25" hidden="false" customHeight="true" outlineLevel="0" collapsed="false">
      <c r="A9" s="168" t="n">
        <v>6</v>
      </c>
      <c r="B9" s="166" t="s">
        <v>137</v>
      </c>
      <c r="C9" s="166" t="s">
        <v>38</v>
      </c>
      <c r="D9" s="166" t="s">
        <v>38</v>
      </c>
      <c r="E9" s="166" t="s">
        <v>32</v>
      </c>
      <c r="F9" s="158" t="n">
        <f aca="false">ינואר!E9+פברואר!E9+מרץ!E9+אפריל!E9+מאי!E9+יוני!E9</f>
        <v>511413.72</v>
      </c>
      <c r="G9" s="158" t="n">
        <f aca="false">ינואר!F9+פברואר!F9+מרץ!F9+אפריל!F9+מאי!F9+יוני!F9</f>
        <v>417944.84</v>
      </c>
      <c r="H9" s="158" t="n">
        <f aca="false">ינואר!G9+פברואר!G9+מרץ!G9+אפריל!G9+מאי!G9+יוני!G9</f>
        <v>475277.57</v>
      </c>
      <c r="I9" s="167" t="n">
        <f aca="false">H9/G9-1</f>
        <v>0.137177743359626</v>
      </c>
      <c r="J9" s="158" t="n">
        <f aca="false">H9-G9</f>
        <v>57332.7299999999</v>
      </c>
      <c r="K9" s="158" t="n">
        <f aca="false">ינואר!J9+פברואר!J9+מרץ!J9+אפריל!J9+מאי!J9+יוני!J9</f>
        <v>929988.095238095</v>
      </c>
      <c r="L9" s="167" t="n">
        <f aca="false">H9/K9-1</f>
        <v>-0.488942307505216</v>
      </c>
      <c r="M9" s="158" t="n">
        <f aca="false">H9-K9</f>
        <v>-454710.525238095</v>
      </c>
    </row>
    <row r="10" customFormat="false" ht="14.25" hidden="false" customHeight="true" outlineLevel="0" collapsed="false">
      <c r="A10" s="169" t="n">
        <v>10</v>
      </c>
      <c r="B10" s="166" t="s">
        <v>138</v>
      </c>
      <c r="C10" s="166" t="s">
        <v>39</v>
      </c>
      <c r="D10" s="166" t="s">
        <v>39</v>
      </c>
      <c r="E10" s="166" t="s">
        <v>32</v>
      </c>
      <c r="F10" s="158" t="n">
        <f aca="false">ינואר!E10+פברואר!E10+מרץ!E10+אפריל!E10+מאי!E10+יוני!E10</f>
        <v>92466.78</v>
      </c>
      <c r="G10" s="158" t="n">
        <f aca="false">ינואר!F10+פברואר!F10+מרץ!F10+אפריל!F10+מאי!F10+יוני!F10</f>
        <v>95557.93</v>
      </c>
      <c r="H10" s="158" t="n">
        <f aca="false">ינואר!G10+פברואר!G10+מרץ!G10+אפריל!G10+מאי!G10+יוני!G10</f>
        <v>61235.08</v>
      </c>
      <c r="I10" s="167" t="n">
        <f aca="false">H10/G10-1</f>
        <v>-0.359183690982004</v>
      </c>
      <c r="J10" s="158" t="n">
        <f aca="false">H10-G10</f>
        <v>-34322.85</v>
      </c>
      <c r="K10" s="158" t="n">
        <f aca="false">ינואר!J10+פברואר!J10+מרץ!J10+אפריל!J10+מאי!J10+יוני!J10</f>
        <v>92738.0952380952</v>
      </c>
      <c r="L10" s="167" t="n">
        <f aca="false">H10/K10-1</f>
        <v>-0.33969875224647</v>
      </c>
      <c r="M10" s="158" t="n">
        <f aca="false">H10-K10</f>
        <v>-31503.0152380952</v>
      </c>
    </row>
    <row r="11" customFormat="false" ht="14.25" hidden="false" customHeight="true" outlineLevel="0" collapsed="false">
      <c r="A11" s="168" t="n">
        <v>11</v>
      </c>
      <c r="B11" s="166" t="s">
        <v>141</v>
      </c>
      <c r="C11" s="166" t="s">
        <v>40</v>
      </c>
      <c r="D11" s="166" t="s">
        <v>40</v>
      </c>
      <c r="E11" s="166" t="s">
        <v>32</v>
      </c>
      <c r="F11" s="158" t="n">
        <f aca="false">ינואר!E11+פברואר!E11+מרץ!E11+אפריל!E11+מאי!E11+יוני!E11</f>
        <v>33477.34</v>
      </c>
      <c r="G11" s="158" t="n">
        <f aca="false">ינואר!F11+פברואר!F11+מרץ!F11+אפריל!F11+מאי!F11+יוני!F11</f>
        <v>35637.62</v>
      </c>
      <c r="H11" s="158" t="n">
        <f aca="false">ינואר!G11+פברואר!G11+מרץ!G11+אפריל!G11+מאי!G11+יוני!G11</f>
        <v>34015.41</v>
      </c>
      <c r="I11" s="167" t="n">
        <f aca="false">H11/G11-1</f>
        <v>-0.0455195941816539</v>
      </c>
      <c r="J11" s="158" t="n">
        <f aca="false">H11-G11</f>
        <v>-1622.20999999999</v>
      </c>
      <c r="K11" s="158" t="n">
        <f aca="false">ינואר!J11+פברואר!J11+מרץ!J11+אפריל!J11+מאי!J11+יוני!J11</f>
        <v>46809.5238095238</v>
      </c>
      <c r="L11" s="167" t="n">
        <f aca="false">H11/K11-1</f>
        <v>-0.273322878942014</v>
      </c>
      <c r="M11" s="158" t="n">
        <f aca="false">H11-K11</f>
        <v>-12794.1138095238</v>
      </c>
    </row>
    <row r="12" customFormat="false" ht="14.25" hidden="false" customHeight="true" outlineLevel="0" collapsed="false">
      <c r="A12" s="168" t="n">
        <v>14</v>
      </c>
      <c r="B12" s="166" t="s">
        <v>142</v>
      </c>
      <c r="C12" s="166" t="s">
        <v>41</v>
      </c>
      <c r="D12" s="166" t="s">
        <v>41</v>
      </c>
      <c r="E12" s="166" t="s">
        <v>32</v>
      </c>
      <c r="F12" s="158" t="n">
        <f aca="false">ינואר!E12+פברואר!E12+מרץ!E12+אפריל!E12+מאי!E12+יוני!E12</f>
        <v>850.4</v>
      </c>
      <c r="G12" s="158" t="n">
        <f aca="false">ינואר!F12+פברואר!F12+מרץ!F12+אפריל!F12+מאי!F12+יוני!F12</f>
        <v>2977.14</v>
      </c>
      <c r="H12" s="158" t="n">
        <f aca="false">ינואר!G12+פברואר!G12+מרץ!G12+אפריל!G12+מאי!G12+יוני!G12</f>
        <v>3576.15</v>
      </c>
      <c r="I12" s="167" t="n">
        <f aca="false">H12/G12-1</f>
        <v>0.201203168141236</v>
      </c>
      <c r="J12" s="158" t="n">
        <f aca="false">H12-G12</f>
        <v>599.01</v>
      </c>
      <c r="K12" s="158" t="n">
        <f aca="false">ינואר!J12+פברואר!J12+מרץ!J12+אפריל!J12+מאי!J12+יוני!J12</f>
        <v>0</v>
      </c>
      <c r="L12" s="167"/>
      <c r="M12" s="158" t="n">
        <f aca="false">H12-K12</f>
        <v>3576.15</v>
      </c>
    </row>
    <row r="13" customFormat="false" ht="14.25" hidden="false" customHeight="true" outlineLevel="0" collapsed="false">
      <c r="A13" s="168" t="n">
        <v>15</v>
      </c>
      <c r="B13" s="166" t="s">
        <v>139</v>
      </c>
      <c r="C13" s="166" t="s">
        <v>47</v>
      </c>
      <c r="D13" s="166" t="s">
        <v>47</v>
      </c>
      <c r="E13" s="166" t="s">
        <v>32</v>
      </c>
      <c r="F13" s="158" t="n">
        <f aca="false">ינואר!E13+פברואר!E13+מרץ!E13+אפריל!E13+מאי!E13+יוני!E13</f>
        <v>1597.46</v>
      </c>
      <c r="G13" s="158" t="n">
        <f aca="false">ינואר!F13+פברואר!F13+מרץ!F13+אפריל!F13+מאי!F13+יוני!F13</f>
        <v>0</v>
      </c>
      <c r="H13" s="158" t="n">
        <f aca="false">ינואר!G13+פברואר!G13+מרץ!G13+אפריל!G13+מאי!G13+יוני!G13</f>
        <v>1896.82</v>
      </c>
      <c r="I13" s="167" t="str">
        <f aca="false">IFERROR(H13/G13-1,"-")</f>
        <v>-</v>
      </c>
      <c r="J13" s="158" t="n">
        <f aca="false">H13-G13</f>
        <v>1896.82</v>
      </c>
      <c r="K13" s="158" t="n">
        <f aca="false">ינואר!J13+פברואר!J13+מרץ!J13+אפריל!J13+מאי!J13+יוני!J13</f>
        <v>12500</v>
      </c>
      <c r="L13" s="167" t="n">
        <f aca="false">H13/K13-1</f>
        <v>-0.8482544</v>
      </c>
      <c r="M13" s="158" t="n">
        <f aca="false">H13-K13</f>
        <v>-10603.18</v>
      </c>
    </row>
    <row r="14" customFormat="false" ht="14.25" hidden="false" customHeight="true" outlineLevel="0" collapsed="false">
      <c r="A14" s="168" t="n">
        <v>13</v>
      </c>
      <c r="B14" s="166" t="s">
        <v>145</v>
      </c>
      <c r="C14" s="166" t="s">
        <v>43</v>
      </c>
      <c r="D14" s="166" t="s">
        <v>43</v>
      </c>
      <c r="E14" s="166" t="s">
        <v>32</v>
      </c>
      <c r="F14" s="158" t="n">
        <f aca="false">ינואר!E14+פברואר!E14+מרץ!E14+אפריל!E14+מאי!E14+יוני!E14</f>
        <v>5854.85</v>
      </c>
      <c r="G14" s="158" t="n">
        <f aca="false">ינואר!F14+פברואר!F14+מרץ!F14+אפריל!F14+מאי!F14+יוני!F14</f>
        <v>11067.51</v>
      </c>
      <c r="H14" s="158" t="n">
        <f aca="false">ינואר!G14+פברואר!G14+מרץ!G14+אפריל!G14+מאי!G14+יוני!G14</f>
        <v>7748.72</v>
      </c>
      <c r="I14" s="167" t="n">
        <f aca="false">H14/G14-1</f>
        <v>-0.299867811278237</v>
      </c>
      <c r="J14" s="158" t="n">
        <f aca="false">H14-G14</f>
        <v>-3318.79</v>
      </c>
      <c r="K14" s="158" t="n">
        <f aca="false">ינואר!J14+פברואר!J14+מרץ!J14+אפריל!J14+מאי!J14+יוני!J14</f>
        <v>150000</v>
      </c>
      <c r="L14" s="167" t="n">
        <f aca="false">H14/K14-1</f>
        <v>-0.948341866666667</v>
      </c>
      <c r="M14" s="158" t="n">
        <f aca="false">H14-K14</f>
        <v>-142251.28</v>
      </c>
    </row>
    <row r="15" customFormat="false" ht="14.25" hidden="false" customHeight="true" outlineLevel="0" collapsed="false">
      <c r="A15" s="168" t="n">
        <v>9</v>
      </c>
      <c r="B15" s="166" t="s">
        <v>140</v>
      </c>
      <c r="C15" s="166" t="s">
        <v>44</v>
      </c>
      <c r="D15" s="166" t="s">
        <v>44</v>
      </c>
      <c r="E15" s="166" t="s">
        <v>32</v>
      </c>
      <c r="F15" s="158" t="n">
        <f aca="false">ינואר!E15+פברואר!E15+מרץ!E15+אפריל!E15+מאי!E15+יוני!E15</f>
        <v>31917.38</v>
      </c>
      <c r="G15" s="158" t="n">
        <f aca="false">ינואר!F15+פברואר!F15+מרץ!F15+אפריל!F15+מאי!F15+יוני!F15</f>
        <v>54157.51</v>
      </c>
      <c r="H15" s="158" t="n">
        <f aca="false">ינואר!G15+פברואר!G15+מרץ!G15+אפריל!G15+מאי!G15+יוני!G15</f>
        <v>89111.1</v>
      </c>
      <c r="I15" s="167" t="n">
        <f aca="false">H15/G15-1</f>
        <v>0.645406149581101</v>
      </c>
      <c r="J15" s="158" t="n">
        <f aca="false">H15-G15</f>
        <v>34953.59</v>
      </c>
      <c r="K15" s="158" t="n">
        <f aca="false">ינואר!J15+פברואר!J15+מרץ!J15+אפריל!J15+מאי!J15+יוני!J15</f>
        <v>97619.0476190478</v>
      </c>
      <c r="L15" s="167" t="n">
        <f aca="false">H15/K15-1</f>
        <v>-0.0871545853658552</v>
      </c>
      <c r="M15" s="158" t="n">
        <f aca="false">H15-K15</f>
        <v>-8507.94761904779</v>
      </c>
    </row>
    <row r="16" customFormat="false" ht="15" hidden="false" customHeight="true" outlineLevel="0" collapsed="false">
      <c r="A16" s="170"/>
      <c r="B16" s="171"/>
      <c r="C16" s="171" t="s">
        <v>119</v>
      </c>
      <c r="D16" s="171" t="s">
        <v>119</v>
      </c>
      <c r="E16" s="171"/>
      <c r="F16" s="171" t="n">
        <f aca="false">SUM(F3:F15)</f>
        <v>8404720.781</v>
      </c>
      <c r="G16" s="171" t="n">
        <f aca="false">SUM(G3:G15)</f>
        <v>8491451.48200003</v>
      </c>
      <c r="H16" s="171" t="n">
        <f aca="false">SUM(H3:H15)</f>
        <v>7629549.047</v>
      </c>
      <c r="I16" s="172" t="n">
        <f aca="false">H16/G16-1</f>
        <v>-0.101502368214324</v>
      </c>
      <c r="J16" s="171" t="n">
        <f aca="false">SUM(J3:J15)</f>
        <v>-861902.435000035</v>
      </c>
      <c r="K16" s="171" t="n">
        <f aca="false">SUM(K3:K15)</f>
        <v>9970083.33333334</v>
      </c>
      <c r="L16" s="172" t="n">
        <f aca="false">H16/K16-1</f>
        <v>-0.234755739554166</v>
      </c>
      <c r="M16" s="171" t="n">
        <f aca="false">SUM(M3:M15)</f>
        <v>-2340534.28633333</v>
      </c>
    </row>
    <row r="17" customFormat="false" ht="14.25" hidden="false" customHeight="true" outlineLevel="0" collapsed="false">
      <c r="A17" s="168" t="n">
        <v>2</v>
      </c>
      <c r="B17" s="166" t="s">
        <v>149</v>
      </c>
      <c r="C17" s="166" t="s">
        <v>45</v>
      </c>
      <c r="D17" s="166" t="s">
        <v>45</v>
      </c>
      <c r="E17" s="166" t="s">
        <v>32</v>
      </c>
      <c r="F17" s="158" t="n">
        <f aca="false">ינואר!E17+פברואר!E17+מרץ!E17+אפריל!E17+מאי!E17+יוני!E17</f>
        <v>273767.02</v>
      </c>
      <c r="G17" s="158" t="n">
        <f aca="false">ינואר!F17+פברואר!F17+מרץ!F17+אפריל!F17+מאי!F17+יוני!F17</f>
        <v>613681.61</v>
      </c>
      <c r="H17" s="158" t="n">
        <f aca="false">ינואר!G17+פברואר!G17+מרץ!G17+אפריל!G17+מאי!G17+יוני!G17</f>
        <v>2231238.20000003</v>
      </c>
      <c r="I17" s="167" t="n">
        <f aca="false">H17/G17-1</f>
        <v>2.63582379468733</v>
      </c>
      <c r="J17" s="158" t="n">
        <f aca="false">H17-G17</f>
        <v>1617556.59000003</v>
      </c>
      <c r="K17" s="158" t="n">
        <f aca="false">ינואר!J17+פברואר!J17+מרץ!J17+אפריל!J17+מאי!J17+יוני!J17</f>
        <v>3164989.83050847</v>
      </c>
      <c r="L17" s="167" t="n">
        <f aca="false">H17/K17-1</f>
        <v>-0.295025159799148</v>
      </c>
      <c r="M17" s="158" t="n">
        <f aca="false">H17-K17</f>
        <v>-933751.630508442</v>
      </c>
    </row>
    <row r="18" customFormat="false" ht="14.25" hidden="false" customHeight="true" outlineLevel="0" collapsed="false">
      <c r="A18" s="168" t="n">
        <v>12</v>
      </c>
      <c r="B18" s="166" t="s">
        <v>150</v>
      </c>
      <c r="C18" s="166" t="s">
        <v>46</v>
      </c>
      <c r="D18" s="166" t="s">
        <v>46</v>
      </c>
      <c r="E18" s="166" t="s">
        <v>32</v>
      </c>
      <c r="F18" s="158" t="n">
        <f aca="false">ינואר!E18+פברואר!E18+מרץ!E18+אפריל!E18+מאי!E18+יוני!E18</f>
        <v>16129.59</v>
      </c>
      <c r="G18" s="158" t="n">
        <f aca="false">ינואר!F18+פברואר!F18+מרץ!F18+אפריל!F18+מאי!F18+יוני!F18</f>
        <v>17329.15</v>
      </c>
      <c r="H18" s="158" t="n">
        <f aca="false">ינואר!G18+פברואר!G18+מרץ!G18+אפריל!G18+מאי!G18+יוני!G18</f>
        <v>9807.02</v>
      </c>
      <c r="I18" s="167" t="n">
        <f aca="false">H18/G18-1</f>
        <v>-0.434073800503775</v>
      </c>
      <c r="J18" s="158" t="n">
        <f aca="false">H18-G18</f>
        <v>-7522.13</v>
      </c>
      <c r="K18" s="158" t="n">
        <f aca="false">ינואר!J18+פברואר!J18+מרץ!J18+אפריל!J18+מאי!J18+יוני!J18</f>
        <v>15221.57</v>
      </c>
      <c r="L18" s="167" t="n">
        <f aca="false">H18/K18-1</f>
        <v>-0.35571560620882</v>
      </c>
      <c r="M18" s="158" t="n">
        <f aca="false">H18-K18</f>
        <v>-5414.54999999998</v>
      </c>
    </row>
    <row r="19" customFormat="false" ht="15" hidden="false" customHeight="true" outlineLevel="0" collapsed="false">
      <c r="A19" s="169"/>
      <c r="B19" s="171"/>
      <c r="C19" s="171" t="s">
        <v>48</v>
      </c>
      <c r="D19" s="171" t="s">
        <v>48</v>
      </c>
      <c r="E19" s="171"/>
      <c r="F19" s="171" t="n">
        <f aca="false">F16+F17+F18</f>
        <v>8694617.391</v>
      </c>
      <c r="G19" s="171" t="n">
        <f aca="false">G16+G17+G18</f>
        <v>9122462.24200003</v>
      </c>
      <c r="H19" s="171" t="n">
        <f aca="false">H16+H17+H18</f>
        <v>9870594.26700003</v>
      </c>
      <c r="I19" s="172" t="n">
        <f aca="false">H19/G19-1</f>
        <v>0.0820098790385317</v>
      </c>
      <c r="J19" s="171" t="n">
        <f aca="false">J16+J17+J18</f>
        <v>748132.024999997</v>
      </c>
      <c r="K19" s="171" t="n">
        <f aca="false">K16+K17+K18</f>
        <v>13150294.7338418</v>
      </c>
      <c r="L19" s="172" t="n">
        <f aca="false">H19/K19-1</f>
        <v>-0.249401289721788</v>
      </c>
      <c r="M19" s="171" t="n">
        <f aca="false">M16+M17+M18</f>
        <v>-3279700.46684178</v>
      </c>
    </row>
    <row r="20" customFormat="false" ht="14.25" hidden="false" customHeight="true" outlineLevel="0" collapsed="false">
      <c r="A20" s="169" t="n">
        <v>50</v>
      </c>
      <c r="B20" s="166" t="s">
        <v>155</v>
      </c>
      <c r="C20" s="166" t="s">
        <v>49</v>
      </c>
      <c r="D20" s="166" t="s">
        <v>50</v>
      </c>
      <c r="E20" s="166" t="s">
        <v>51</v>
      </c>
      <c r="F20" s="158" t="n">
        <f aca="false">ינואר!E20+פברואר!E20+מרץ!E20+אפריל!E20+מאי!E20+יוני!E20</f>
        <v>2057987.07</v>
      </c>
      <c r="G20" s="158" t="n">
        <f aca="false">ינואר!F20+פברואר!F20+מרץ!F20+אפריל!F20+מאי!F20+יוני!F20</f>
        <v>1174982.87</v>
      </c>
      <c r="H20" s="158" t="n">
        <f aca="false">ינואר!G20+פברואר!G20+מרץ!G20+אפריל!G20+מאי!G20+יוני!G20</f>
        <v>1254357.41</v>
      </c>
      <c r="I20" s="167" t="n">
        <f aca="false">H20/G20-1</f>
        <v>0.0675537848479439</v>
      </c>
      <c r="J20" s="158" t="n">
        <f aca="false">H20-G20</f>
        <v>79374.5399999998</v>
      </c>
      <c r="K20" s="158" t="n">
        <f aca="false">ינואר!J20+פברואר!J20+מרץ!J20+אפריל!J20+מאי!J20+יוני!J20</f>
        <v>2111495.8932375</v>
      </c>
      <c r="L20" s="167" t="n">
        <f aca="false">H20/K20-1</f>
        <v>-0.405938977188003</v>
      </c>
      <c r="M20" s="158" t="n">
        <f aca="false">H20-K20</f>
        <v>-857138.4832375</v>
      </c>
    </row>
    <row r="21" customFormat="false" ht="14.25" hidden="false" customHeight="true" outlineLevel="0" collapsed="false">
      <c r="A21" s="169" t="n">
        <v>20</v>
      </c>
      <c r="B21" s="166" t="s">
        <v>151</v>
      </c>
      <c r="C21" s="166" t="s">
        <v>52</v>
      </c>
      <c r="D21" s="166" t="s">
        <v>53</v>
      </c>
      <c r="E21" s="166" t="s">
        <v>54</v>
      </c>
      <c r="F21" s="158" t="n">
        <f aca="false">ינואר!E21+פברואר!E21+מרץ!E21+אפריל!E21+מאי!E21+יוני!E21</f>
        <v>440395.64</v>
      </c>
      <c r="G21" s="158" t="n">
        <f aca="false">ינואר!F21+פברואר!F21+מרץ!F21+אפריל!F21+מאי!F21+יוני!F21</f>
        <v>430264.8</v>
      </c>
      <c r="H21" s="158" t="n">
        <f aca="false">ינואר!G21+פברואר!G21+מרץ!G21+אפריל!G21+מאי!G21+יוני!G21</f>
        <v>342081.02</v>
      </c>
      <c r="I21" s="167" t="n">
        <f aca="false">H21/G21-1</f>
        <v>-0.204952345625299</v>
      </c>
      <c r="J21" s="158" t="n">
        <f aca="false">H21-G21</f>
        <v>-88183.78</v>
      </c>
      <c r="K21" s="158" t="n">
        <f aca="false">ינואר!J21+פברואר!J21+מרץ!J21+אפריל!J21+מאי!J21+יוני!J21</f>
        <v>470400</v>
      </c>
      <c r="L21" s="167" t="n">
        <f aca="false">H21/K21-1</f>
        <v>-0.272786947278912</v>
      </c>
      <c r="M21" s="158" t="n">
        <f aca="false">H21-K21</f>
        <v>-128318.98</v>
      </c>
    </row>
    <row r="22" customFormat="false" ht="14.25" hidden="false" customHeight="true" outlineLevel="0" collapsed="false">
      <c r="A22" s="169" t="n">
        <v>21</v>
      </c>
      <c r="B22" s="166" t="s">
        <v>157</v>
      </c>
      <c r="C22" s="166" t="s">
        <v>55</v>
      </c>
      <c r="D22" s="166" t="s">
        <v>56</v>
      </c>
      <c r="E22" s="166" t="s">
        <v>57</v>
      </c>
      <c r="F22" s="158" t="n">
        <f aca="false">ינואר!E22+פברואר!E22+מרץ!E22+אפריל!E22+מאי!E22+יוני!E22</f>
        <v>318922.08</v>
      </c>
      <c r="G22" s="158" t="n">
        <f aca="false">ינואר!F22+פברואר!F22+מרץ!F22+אפריל!F22+מאי!F22+יוני!F22</f>
        <v>82086.33</v>
      </c>
      <c r="H22" s="158" t="n">
        <f aca="false">ינואר!G22+פברואר!G22+מרץ!G22+אפריל!G22+מאי!G22+יוני!G22</f>
        <v>333276.52</v>
      </c>
      <c r="I22" s="167" t="n">
        <f aca="false">H22/G22-1</f>
        <v>3.06007333986061</v>
      </c>
      <c r="J22" s="158" t="n">
        <f aca="false">H22-G22</f>
        <v>251190.19</v>
      </c>
      <c r="K22" s="158" t="n">
        <f aca="false">ינואר!J22+פברואר!J22+מרץ!J22+אפריל!J22+מאי!J22+יוני!J22</f>
        <v>301610.27</v>
      </c>
      <c r="L22" s="167" t="n">
        <f aca="false">H22/K22-1</f>
        <v>0.104990622501018</v>
      </c>
      <c r="M22" s="158" t="n">
        <f aca="false">H22-K22</f>
        <v>31666.25</v>
      </c>
    </row>
    <row r="23" customFormat="false" ht="14.25" hidden="false" customHeight="true" outlineLevel="0" collapsed="false">
      <c r="A23" s="169" t="n">
        <v>22</v>
      </c>
      <c r="B23" s="166" t="s">
        <v>159</v>
      </c>
      <c r="C23" s="166" t="s">
        <v>58</v>
      </c>
      <c r="D23" s="166" t="s">
        <v>59</v>
      </c>
      <c r="E23" s="166" t="s">
        <v>60</v>
      </c>
      <c r="F23" s="158" t="n">
        <f aca="false">ינואר!E23+פברואר!E23+מרץ!E23+אפריל!E23+מאי!E23+יוני!E23</f>
        <v>236340.62</v>
      </c>
      <c r="G23" s="158" t="n">
        <f aca="false">ינואר!F23+פברואר!F23+מרץ!F23+אפריל!F23+מאי!F23+יוני!F23</f>
        <v>174270.07</v>
      </c>
      <c r="H23" s="158" t="n">
        <f aca="false">ינואר!G23+פברואר!G23+מרץ!G23+אפריל!G23+מאי!G23+יוני!G23</f>
        <v>307053.13</v>
      </c>
      <c r="I23" s="167" t="n">
        <f aca="false">H23/G23-1</f>
        <v>0.761938409733811</v>
      </c>
      <c r="J23" s="158" t="n">
        <f aca="false">H23-G23</f>
        <v>132783.06</v>
      </c>
      <c r="K23" s="158" t="n">
        <f aca="false">ינואר!J23+פברואר!J23+מרץ!J23+אפריל!J23+מאי!J23+יוני!J23</f>
        <v>247158.97</v>
      </c>
      <c r="L23" s="167" t="n">
        <f aca="false">H23/K23-1</f>
        <v>0.242330513029732</v>
      </c>
      <c r="M23" s="158" t="n">
        <f aca="false">H23-K23</f>
        <v>59894.16</v>
      </c>
    </row>
    <row r="24" customFormat="false" ht="14.25" hidden="false" customHeight="true" outlineLevel="0" collapsed="false">
      <c r="A24" s="169" t="n">
        <v>23</v>
      </c>
      <c r="B24" s="166" t="s">
        <v>154</v>
      </c>
      <c r="C24" s="166" t="s">
        <v>61</v>
      </c>
      <c r="D24" s="166" t="s">
        <v>62</v>
      </c>
      <c r="E24" s="166" t="s">
        <v>63</v>
      </c>
      <c r="F24" s="158" t="n">
        <f aca="false">ינואר!E24+פברואר!E24+מרץ!E24+אפריל!E24+מאי!E24+יוני!E24</f>
        <v>64417.17</v>
      </c>
      <c r="G24" s="158" t="n">
        <f aca="false">ינואר!F24+פברואר!F24+מרץ!F24+אפריל!F24+מאי!F24+יוני!F24</f>
        <v>41888.1</v>
      </c>
      <c r="H24" s="158" t="n">
        <f aca="false">ינואר!G24+פברואר!G24+מרץ!G24+אפריל!G24+מאי!G24+יוני!G24</f>
        <v>76678.59</v>
      </c>
      <c r="I24" s="167" t="n">
        <f aca="false">H24/G24-1</f>
        <v>0.830557843397051</v>
      </c>
      <c r="J24" s="158" t="n">
        <f aca="false">H24-G24</f>
        <v>34790.49</v>
      </c>
      <c r="K24" s="158" t="n">
        <f aca="false">ינואר!J24+פברואר!J24+מרץ!J24+אפריל!J24+מאי!J24+יוני!J24</f>
        <v>69774.92</v>
      </c>
      <c r="L24" s="167" t="n">
        <f aca="false">H24/K24-1</f>
        <v>0.0989419980703667</v>
      </c>
      <c r="M24" s="158" t="n">
        <f aca="false">H24-K24</f>
        <v>6903.67</v>
      </c>
    </row>
    <row r="25" customFormat="false" ht="14.25" hidden="false" customHeight="true" outlineLevel="0" collapsed="false">
      <c r="A25" s="169" t="n">
        <v>24</v>
      </c>
      <c r="B25" s="166" t="s">
        <v>156</v>
      </c>
      <c r="C25" s="166" t="s">
        <v>64</v>
      </c>
      <c r="D25" s="166" t="s">
        <v>65</v>
      </c>
      <c r="E25" s="166" t="s">
        <v>66</v>
      </c>
      <c r="F25" s="158" t="n">
        <f aca="false">ינואר!E25+פברואר!E25+מרץ!E25+אפריל!E25+מאי!E25+יוני!E25</f>
        <v>116140.05</v>
      </c>
      <c r="G25" s="158" t="n">
        <f aca="false">ינואר!F25+פברואר!F25+מרץ!F25+אפריל!F25+מאי!F25+יוני!F25</f>
        <v>52899.82</v>
      </c>
      <c r="H25" s="158" t="n">
        <f aca="false">ינואר!G25+פברואר!G25+מרץ!G25+אפריל!G25+מאי!G25+יוני!G25</f>
        <v>0</v>
      </c>
      <c r="I25" s="167" t="n">
        <f aca="false">H25/G25-1</f>
        <v>-1</v>
      </c>
      <c r="J25" s="158" t="n">
        <f aca="false">H25-G25</f>
        <v>-52899.82</v>
      </c>
      <c r="K25" s="158" t="n">
        <f aca="false">ינואר!J25+פברואר!J25+מרץ!J25+אפריל!J25+מאי!J25+יוני!J25</f>
        <v>20000</v>
      </c>
      <c r="L25" s="167" t="n">
        <f aca="false">H25/K25-1</f>
        <v>-1</v>
      </c>
      <c r="M25" s="158" t="n">
        <f aca="false">H25-K25</f>
        <v>-20000</v>
      </c>
    </row>
    <row r="26" customFormat="false" ht="13.5" hidden="false" customHeight="true" outlineLevel="0" collapsed="false">
      <c r="A26" s="169" t="n">
        <v>25</v>
      </c>
      <c r="B26" s="166" t="s">
        <v>162</v>
      </c>
      <c r="C26" s="166" t="s">
        <v>67</v>
      </c>
      <c r="D26" s="166" t="s">
        <v>68</v>
      </c>
      <c r="E26" s="166" t="s">
        <v>69</v>
      </c>
      <c r="F26" s="158" t="n">
        <f aca="false">ינואר!E26+פברואר!E26+מרץ!E26+אפריל!E26+מאי!E26+יוני!E26</f>
        <v>249206.12</v>
      </c>
      <c r="G26" s="158" t="n">
        <f aca="false">ינואר!F26+פברואר!F26+מרץ!F26+אפריל!F26+מאי!F26+יוני!F26</f>
        <v>172805.93</v>
      </c>
      <c r="H26" s="158" t="n">
        <f aca="false">ינואר!G26+פברואר!G26+מרץ!G26+אפריל!G26+מאי!G26+יוני!G26</f>
        <v>144147.47</v>
      </c>
      <c r="I26" s="167" t="n">
        <f aca="false">H26/G26-1</f>
        <v>-0.165841878227211</v>
      </c>
      <c r="J26" s="158" t="n">
        <f aca="false">H26-G26</f>
        <v>-28658.46</v>
      </c>
      <c r="K26" s="158" t="n">
        <f aca="false">ינואר!J26+פברואר!J26+מרץ!J26+אפריל!J26+מאי!J26+יוני!J26</f>
        <v>150000</v>
      </c>
      <c r="L26" s="167" t="n">
        <f aca="false">H26/K26-1</f>
        <v>-0.0390168666666668</v>
      </c>
      <c r="M26" s="158" t="n">
        <f aca="false">H26-K26</f>
        <v>-5852.53000000003</v>
      </c>
    </row>
    <row r="27" customFormat="false" ht="14.25" hidden="false" customHeight="true" outlineLevel="0" collapsed="false">
      <c r="A27" s="169" t="n">
        <v>26</v>
      </c>
      <c r="B27" s="166" t="s">
        <v>153</v>
      </c>
      <c r="C27" s="166" t="s">
        <v>70</v>
      </c>
      <c r="D27" s="166" t="s">
        <v>71</v>
      </c>
      <c r="E27" s="166" t="s">
        <v>72</v>
      </c>
      <c r="F27" s="158" t="n">
        <f aca="false">ינואר!E27+פברואר!E27+מרץ!E27+אפריל!E27+מאי!E27+יוני!E27</f>
        <v>100166.79</v>
      </c>
      <c r="G27" s="158" t="n">
        <f aca="false">ינואר!F27+פברואר!F27+מרץ!F27+אפריל!F27+מאי!F27+יוני!F27</f>
        <v>35240.62</v>
      </c>
      <c r="H27" s="158" t="n">
        <f aca="false">ינואר!G27+פברואר!G27+מרץ!G27+אפריל!G27+מאי!G27+יוני!G27</f>
        <v>60694.01</v>
      </c>
      <c r="I27" s="167" t="n">
        <f aca="false">H27/G27-1</f>
        <v>0.722274182463305</v>
      </c>
      <c r="J27" s="158" t="n">
        <f aca="false">H27-G27</f>
        <v>25453.39</v>
      </c>
      <c r="K27" s="158" t="n">
        <f aca="false">ינואר!J27+פברואר!J27+מרץ!J27+אפריל!J27+מאי!J27+יוני!J27</f>
        <v>120000</v>
      </c>
      <c r="L27" s="167" t="n">
        <f aca="false">H27/K27-1</f>
        <v>-0.494216583333333</v>
      </c>
      <c r="M27" s="158" t="n">
        <f aca="false">H27-K27</f>
        <v>-59305.99</v>
      </c>
    </row>
    <row r="28" customFormat="false" ht="13.5" hidden="false" customHeight="true" outlineLevel="0" collapsed="false">
      <c r="A28" s="169" t="n">
        <v>27</v>
      </c>
      <c r="B28" s="166" t="s">
        <v>163</v>
      </c>
      <c r="C28" s="166" t="s">
        <v>73</v>
      </c>
      <c r="D28" s="166" t="s">
        <v>74</v>
      </c>
      <c r="E28" s="166" t="s">
        <v>75</v>
      </c>
      <c r="F28" s="158" t="n">
        <f aca="false">ינואר!E28+פברואר!E28+מרץ!E28+אפריל!E28+מאי!E28+יוני!E28</f>
        <v>171813.81</v>
      </c>
      <c r="G28" s="158" t="n">
        <f aca="false">ינואר!F28+פברואר!F28+מרץ!F28+אפריל!F28+מאי!F28+יוני!F28</f>
        <v>0.22</v>
      </c>
      <c r="H28" s="158" t="n">
        <f aca="false">ינואר!G28+פברואר!G28+מרץ!G28+אפריל!G28+מאי!G28+יוני!G28</f>
        <v>0</v>
      </c>
      <c r="I28" s="167" t="n">
        <f aca="false">H28/G28-1</f>
        <v>-1</v>
      </c>
      <c r="J28" s="158" t="n">
        <f aca="false">H28-G28</f>
        <v>-0.22</v>
      </c>
      <c r="K28" s="158" t="n">
        <f aca="false">ינואר!J28+פברואר!J28+מרץ!J28+אפריל!J28+מאי!J28+יוני!J28</f>
        <v>0</v>
      </c>
      <c r="L28" s="167" t="str">
        <f aca="false">IFERROR(H28/K28-1,"-")</f>
        <v>-</v>
      </c>
      <c r="M28" s="158" t="n">
        <f aca="false">H28-K28</f>
        <v>0</v>
      </c>
    </row>
    <row r="29" customFormat="false" ht="13.5" hidden="false" customHeight="true" outlineLevel="0" collapsed="false">
      <c r="A29" s="169" t="n">
        <v>28</v>
      </c>
      <c r="B29" s="166" t="s">
        <v>164</v>
      </c>
      <c r="C29" s="166" t="s">
        <v>76</v>
      </c>
      <c r="D29" s="166" t="s">
        <v>77</v>
      </c>
      <c r="E29" s="166" t="s">
        <v>78</v>
      </c>
      <c r="F29" s="158" t="n">
        <f aca="false">ינואר!E29+פברואר!E29+מרץ!E29+אפריל!E29+מאי!E29+יוני!E29</f>
        <v>171840.65</v>
      </c>
      <c r="G29" s="158" t="n">
        <f aca="false">ינואר!F29+פברואר!F29+מרץ!F29+אפריל!F29+מאי!F29+יוני!F29</f>
        <v>188303.07</v>
      </c>
      <c r="H29" s="158" t="n">
        <f aca="false">ינואר!G29+פברואר!G29+מרץ!G29+אפריל!G29+מאי!G29+יוני!G29</f>
        <v>203207.09</v>
      </c>
      <c r="I29" s="167" t="n">
        <f aca="false">H29/G29-1</f>
        <v>0.0791491078716879</v>
      </c>
      <c r="J29" s="158" t="n">
        <f aca="false">H29-G29</f>
        <v>14904.02</v>
      </c>
      <c r="K29" s="158" t="n">
        <f aca="false">ינואר!J29+פברואר!J29+מרץ!J29+אפריל!J29+מאי!J29+יוני!J29</f>
        <v>211409.544</v>
      </c>
      <c r="L29" s="167" t="n">
        <f aca="false">H29/K29-1</f>
        <v>-0.0387988822302175</v>
      </c>
      <c r="M29" s="158" t="n">
        <f aca="false">H29-K29</f>
        <v>-8202.454</v>
      </c>
    </row>
    <row r="30" customFormat="false" ht="14.25" hidden="false" customHeight="true" outlineLevel="0" collapsed="false">
      <c r="A30" s="169" t="n">
        <v>29</v>
      </c>
      <c r="B30" s="166" t="s">
        <v>158</v>
      </c>
      <c r="C30" s="166" t="s">
        <v>79</v>
      </c>
      <c r="D30" s="166" t="s">
        <v>80</v>
      </c>
      <c r="E30" s="166" t="s">
        <v>81</v>
      </c>
      <c r="F30" s="158" t="n">
        <f aca="false">ינואר!E30+פברואר!E30+מרץ!E30+אפריל!E30+מאי!E30+יוני!E30</f>
        <v>49617.59</v>
      </c>
      <c r="G30" s="158" t="n">
        <f aca="false">ינואר!F30+פברואר!F30+מרץ!F30+אפריל!F30+מאי!F30+יוני!F30</f>
        <v>32010.18</v>
      </c>
      <c r="H30" s="158" t="n">
        <f aca="false">ינואר!G30+פברואר!G30+מרץ!G30+אפריל!G30+מאי!G30+יוני!G30</f>
        <v>43116.44</v>
      </c>
      <c r="I30" s="167" t="n">
        <f aca="false">H30/G30-1</f>
        <v>0.346960248271019</v>
      </c>
      <c r="J30" s="158" t="n">
        <f aca="false">H30-G30</f>
        <v>11106.26</v>
      </c>
      <c r="K30" s="158" t="n">
        <f aca="false">ינואר!J30+פברואר!J30+מרץ!J30+אפריל!J30+מאי!J30+יוני!J30</f>
        <v>35000</v>
      </c>
      <c r="L30" s="167" t="n">
        <f aca="false">H30/K30-1</f>
        <v>0.231898285714286</v>
      </c>
      <c r="M30" s="158" t="n">
        <f aca="false">H30-K30</f>
        <v>8116.44</v>
      </c>
    </row>
    <row r="31" customFormat="false" ht="14.25" hidden="false" customHeight="true" outlineLevel="0" collapsed="false">
      <c r="A31" s="169" t="n">
        <v>30</v>
      </c>
      <c r="B31" s="166" t="s">
        <v>152</v>
      </c>
      <c r="C31" s="166" t="s">
        <v>82</v>
      </c>
      <c r="D31" s="166" t="s">
        <v>83</v>
      </c>
      <c r="E31" s="166" t="s">
        <v>81</v>
      </c>
      <c r="F31" s="158" t="n">
        <f aca="false">ינואר!E31+פברואר!E31+מרץ!E31+אפריל!E31+מאי!E31+יוני!E31</f>
        <v>20354.79</v>
      </c>
      <c r="G31" s="158" t="n">
        <f aca="false">ינואר!F31+פברואר!F31+מרץ!F31+אפריל!F31+מאי!F31+יוני!F31</f>
        <v>38733.3</v>
      </c>
      <c r="H31" s="158" t="n">
        <f aca="false">ינואר!G31+פברואר!G31+מרץ!G31+אפריל!G31+מאי!G31+יוני!G31</f>
        <v>17809.5</v>
      </c>
      <c r="I31" s="167" t="n">
        <f aca="false">H31/G31-1</f>
        <v>-0.540201841826026</v>
      </c>
      <c r="J31" s="158" t="n">
        <f aca="false">H31-G31</f>
        <v>-20923.8</v>
      </c>
      <c r="K31" s="158" t="n">
        <f aca="false">ינואר!J31+פברואר!J31+מרץ!J31+אפריל!J31+מאי!J31+יוני!J31</f>
        <v>20000</v>
      </c>
      <c r="L31" s="167" t="n">
        <f aca="false">H31/K31-1</f>
        <v>-0.109525</v>
      </c>
      <c r="M31" s="158" t="n">
        <f aca="false">H31-K31</f>
        <v>-2190.5</v>
      </c>
    </row>
    <row r="32" customFormat="false" ht="13.5" hidden="false" customHeight="true" outlineLevel="0" collapsed="false">
      <c r="A32" s="169" t="n">
        <v>31</v>
      </c>
      <c r="B32" s="166" t="s">
        <v>84</v>
      </c>
      <c r="C32" s="166" t="s">
        <v>84</v>
      </c>
      <c r="D32" s="166" t="s">
        <v>85</v>
      </c>
      <c r="E32" s="166" t="s">
        <v>86</v>
      </c>
      <c r="F32" s="158" t="n">
        <f aca="false">ינואר!E32+פברואר!E32+מרץ!E32+אפריל!E32+מאי!E32+יוני!E32</f>
        <v>0</v>
      </c>
      <c r="G32" s="158" t="n">
        <f aca="false">ינואר!F32+פברואר!F32+מרץ!F32+אפריל!F32+מאי!F32+יוני!F32</f>
        <v>16024.5</v>
      </c>
      <c r="H32" s="158" t="n">
        <f aca="false">ינואר!G32+פברואר!G32+מרץ!G32+אפריל!G32+מאי!G32+יוני!G32</f>
        <v>0</v>
      </c>
      <c r="I32" s="167" t="n">
        <f aca="false">H32/G32-1</f>
        <v>-1</v>
      </c>
      <c r="J32" s="158" t="n">
        <f aca="false">H32-G32</f>
        <v>-16024.5</v>
      </c>
      <c r="K32" s="158" t="n">
        <f aca="false">ינואר!J32+פברואר!J32+מרץ!J32+אפריל!J32+מאי!J32+יוני!J32</f>
        <v>18000</v>
      </c>
      <c r="L32" s="167" t="n">
        <f aca="false">H32/K32-1</f>
        <v>-1</v>
      </c>
      <c r="M32" s="158" t="n">
        <f aca="false">H32-K32</f>
        <v>-18000</v>
      </c>
    </row>
    <row r="33" customFormat="false" ht="13.5" hidden="false" customHeight="true" outlineLevel="0" collapsed="false">
      <c r="A33" s="169"/>
      <c r="B33" s="166"/>
      <c r="C33" s="166"/>
      <c r="D33" s="166" t="s">
        <v>171</v>
      </c>
      <c r="E33" s="166" t="s">
        <v>172</v>
      </c>
      <c r="F33" s="158" t="n">
        <f aca="false">ינואר!E33+פברואר!E33+מרץ!E33+אפריל!E33+מאי!E33+יוני!E33</f>
        <v>0</v>
      </c>
      <c r="G33" s="158" t="n">
        <f aca="false">ינואר!F33+פברואר!F33+מרץ!F33+אפריל!F33+מאי!F33+יוני!F33</f>
        <v>0</v>
      </c>
      <c r="H33" s="158" t="n">
        <f aca="false">ינואר!G33+פברואר!G33+מרץ!G33+אפריל!G33+מאי!G33+יוני!G33</f>
        <v>0</v>
      </c>
      <c r="I33" s="167" t="str">
        <f aca="false">IFERROR(H33/G33-1,"-")</f>
        <v>-</v>
      </c>
      <c r="J33" s="158" t="n">
        <f aca="false">H33-G33</f>
        <v>0</v>
      </c>
      <c r="K33" s="158" t="n">
        <f aca="false">ינואר!J33+פברואר!J33+מרץ!J33+אפריל!J33+מאי!J33+יוני!J33</f>
        <v>0</v>
      </c>
      <c r="L33" s="167" t="str">
        <f aca="false">IFERROR(H33/K33-1,"-")</f>
        <v>-</v>
      </c>
      <c r="M33" s="158" t="n">
        <f aca="false">H33-K33</f>
        <v>0</v>
      </c>
    </row>
    <row r="34" customFormat="false" ht="13.5" hidden="false" customHeight="true" outlineLevel="0" collapsed="false">
      <c r="A34" s="169" t="n">
        <v>32</v>
      </c>
      <c r="B34" s="166" t="s">
        <v>161</v>
      </c>
      <c r="C34" s="166" t="s">
        <v>87</v>
      </c>
      <c r="D34" s="166" t="s">
        <v>88</v>
      </c>
      <c r="E34" s="166" t="s">
        <v>89</v>
      </c>
      <c r="F34" s="158" t="n">
        <f aca="false">ינואר!E34+פברואר!E34+מרץ!E34+אפריל!E34+מאי!E34+יוני!E34</f>
        <v>19941.82</v>
      </c>
      <c r="G34" s="158" t="n">
        <f aca="false">ינואר!F34+פברואר!F34+מרץ!F34+אפריל!F34+מאי!F34+יוני!F34</f>
        <v>39713.57</v>
      </c>
      <c r="H34" s="158" t="n">
        <f aca="false">ינואר!G34+פברואר!G34+מרץ!G34+אפריל!G34+מאי!G34+יוני!G34</f>
        <v>18792.66</v>
      </c>
      <c r="I34" s="167" t="n">
        <f aca="false">H34/G34-1</f>
        <v>-0.52679499727675</v>
      </c>
      <c r="J34" s="158" t="n">
        <f aca="false">H34-G34</f>
        <v>-20920.91</v>
      </c>
      <c r="K34" s="158" t="n">
        <f aca="false">ינואר!J34+פברואר!J34+מרץ!J34+אפריל!J34+מאי!J34+יוני!J34</f>
        <v>40000</v>
      </c>
      <c r="L34" s="167" t="n">
        <f aca="false">H34/K34-1</f>
        <v>-0.5301835</v>
      </c>
      <c r="M34" s="158" t="n">
        <f aca="false">H34-K34</f>
        <v>-21207.34</v>
      </c>
    </row>
    <row r="35" customFormat="false" ht="13.5" hidden="false" customHeight="true" outlineLevel="0" collapsed="false">
      <c r="A35" s="169" t="n">
        <v>33</v>
      </c>
      <c r="B35" s="166" t="s">
        <v>160</v>
      </c>
      <c r="C35" s="166" t="s">
        <v>90</v>
      </c>
      <c r="D35" s="166" t="s">
        <v>91</v>
      </c>
      <c r="E35" s="166" t="s">
        <v>92</v>
      </c>
      <c r="F35" s="158" t="n">
        <f aca="false">ינואר!E35+פברואר!E35+מרץ!E35+אפריל!E35+מאי!E35+יוני!E35</f>
        <v>34034.18</v>
      </c>
      <c r="G35" s="158" t="n">
        <f aca="false">ינואר!F35+פברואר!F35+מרץ!F35+אפריל!F35+מאי!F35+יוני!F35</f>
        <v>30531.53</v>
      </c>
      <c r="H35" s="158" t="n">
        <f aca="false">ינואר!G35+פברואר!G35+מרץ!G35+אפריל!G35+מאי!G35+יוני!G35</f>
        <v>0</v>
      </c>
      <c r="I35" s="167" t="n">
        <f aca="false">H35/G35-1</f>
        <v>-1</v>
      </c>
      <c r="J35" s="158" t="n">
        <f aca="false">H35-G35</f>
        <v>-30531.53</v>
      </c>
      <c r="K35" s="158" t="n">
        <f aca="false">ינואר!J35+פברואר!J35+מרץ!J35+אפריל!J35+מאי!J35+יוני!J35</f>
        <v>40000</v>
      </c>
      <c r="L35" s="167" t="n">
        <f aca="false">H35/K35-1</f>
        <v>-1</v>
      </c>
      <c r="M35" s="158" t="n">
        <f aca="false">H35-K35</f>
        <v>-40000</v>
      </c>
    </row>
    <row r="36" customFormat="false" ht="14.25" hidden="false" customHeight="true" outlineLevel="0" collapsed="false">
      <c r="A36" s="169"/>
      <c r="B36" s="166" t="s">
        <v>166</v>
      </c>
      <c r="C36" s="166" t="s">
        <v>166</v>
      </c>
      <c r="D36" s="166" t="s">
        <v>173</v>
      </c>
      <c r="E36" s="166" t="s">
        <v>78</v>
      </c>
      <c r="F36" s="158" t="n">
        <f aca="false">ינואר!E36+פברואר!E36+מרץ!E36+אפריל!E36+מאי!E36+יוני!E36</f>
        <v>41531.96</v>
      </c>
      <c r="G36" s="158" t="n">
        <f aca="false">ינואר!F36+פברואר!F36+מרץ!F36+אפריל!F36+מאי!F36+יוני!F36</f>
        <v>0</v>
      </c>
      <c r="H36" s="158" t="n">
        <f aca="false">ינואר!G36+פברואר!G36+מרץ!G36+אפריל!G36+מאי!G36+יוני!G36</f>
        <v>0</v>
      </c>
      <c r="I36" s="167" t="str">
        <f aca="false">IFERROR(H36/G36-1,"-")</f>
        <v>-</v>
      </c>
      <c r="J36" s="158" t="n">
        <f aca="false">H36-G36</f>
        <v>0</v>
      </c>
      <c r="K36" s="158" t="n">
        <f aca="false">ינואר!J36+פברואר!J36+מרץ!J36+אפריל!J36+מאי!J36+יוני!J36</f>
        <v>0</v>
      </c>
      <c r="L36" s="167" t="str">
        <f aca="false">IFERROR(H36/K36-1,"-")</f>
        <v>-</v>
      </c>
      <c r="M36" s="158" t="n">
        <f aca="false">H36-K36</f>
        <v>0</v>
      </c>
    </row>
    <row r="37" customFormat="false" ht="14.25" hidden="false" customHeight="true" outlineLevel="0" collapsed="false">
      <c r="A37" s="169" t="n">
        <v>34</v>
      </c>
      <c r="B37" s="166" t="s">
        <v>165</v>
      </c>
      <c r="C37" s="166" t="s">
        <v>165</v>
      </c>
      <c r="D37" s="166" t="s">
        <v>93</v>
      </c>
      <c r="E37" s="166" t="s">
        <v>174</v>
      </c>
      <c r="F37" s="158" t="n">
        <f aca="false">ינואר!E37+פברואר!E37+מרץ!E37+אפריל!E37+מאי!E37+יוני!E37</f>
        <v>22310.96</v>
      </c>
      <c r="G37" s="158" t="n">
        <f aca="false">ינואר!F37+פברואר!F37+מרץ!F37+אפריל!F37+מאי!F37+יוני!F37</f>
        <v>0</v>
      </c>
      <c r="H37" s="158" t="n">
        <f aca="false">ינואר!G37+פברואר!G37+מרץ!G37+אפריל!G37+מאי!G37+יוני!G37</f>
        <v>0</v>
      </c>
      <c r="I37" s="167" t="str">
        <f aca="false">IFERROR(H37/G37-1,"-")</f>
        <v>-</v>
      </c>
      <c r="J37" s="158" t="n">
        <f aca="false">H37-G37</f>
        <v>0</v>
      </c>
      <c r="K37" s="158" t="n">
        <f aca="false">ינואר!J37+פברואר!J37+מרץ!J37+אפריל!J37+מאי!J37+יוני!J37</f>
        <v>0</v>
      </c>
      <c r="L37" s="167" t="str">
        <f aca="false">IFERROR(H37/K37-1,"-")</f>
        <v>-</v>
      </c>
      <c r="M37" s="158" t="n">
        <f aca="false">H37-K37</f>
        <v>0</v>
      </c>
    </row>
    <row r="38" customFormat="false" ht="13.5" hidden="false" customHeight="true" outlineLevel="0" collapsed="false">
      <c r="A38" s="169" t="n">
        <v>35</v>
      </c>
      <c r="B38" s="166" t="s">
        <v>94</v>
      </c>
      <c r="C38" s="166" t="s">
        <v>94</v>
      </c>
      <c r="D38" s="166" t="s">
        <v>95</v>
      </c>
      <c r="E38" s="166" t="s">
        <v>51</v>
      </c>
      <c r="F38" s="158" t="n">
        <f aca="false">ינואר!E38+פברואר!E38+מרץ!E38+אפריל!E38+מאי!E38+יוני!E38</f>
        <v>0</v>
      </c>
      <c r="G38" s="158" t="n">
        <f aca="false">ינואר!F38+פברואר!F38+מרץ!F38+אפריל!F38+מאי!F38+יוני!F38</f>
        <v>248.59</v>
      </c>
      <c r="H38" s="158" t="n">
        <f aca="false">ינואר!G38+פברואר!G38+מרץ!G38+אפריל!G38+מאי!G38+יוני!G38</f>
        <v>0</v>
      </c>
      <c r="I38" s="167" t="n">
        <f aca="false">H38/G38-1</f>
        <v>-1</v>
      </c>
      <c r="J38" s="158" t="n">
        <f aca="false">H38-G38</f>
        <v>-248.59</v>
      </c>
      <c r="K38" s="158" t="n">
        <f aca="false">ינואר!J38+פברואר!J38+מרץ!J38+אפריל!J38+מאי!J38+יוני!J38</f>
        <v>200000</v>
      </c>
      <c r="L38" s="167" t="n">
        <f aca="false">H38/K38-1</f>
        <v>-1</v>
      </c>
      <c r="M38" s="158" t="n">
        <f aca="false">H38-K38</f>
        <v>-200000</v>
      </c>
    </row>
    <row r="39" customFormat="false" ht="13.5" hidden="false" customHeight="true" outlineLevel="0" collapsed="false">
      <c r="A39" s="169" t="n">
        <v>36</v>
      </c>
      <c r="B39" s="166"/>
      <c r="C39" s="166" t="s">
        <v>97</v>
      </c>
      <c r="D39" s="166" t="s">
        <v>97</v>
      </c>
      <c r="E39" s="166"/>
      <c r="F39" s="158" t="n">
        <f aca="false">ינואר!E39+פברואר!E39+מרץ!E39+אפריל!E39+מאי!E39+יוני!E39</f>
        <v>0</v>
      </c>
      <c r="G39" s="158" t="n">
        <f aca="false">ינואר!F39+פברואר!F39+מרץ!F39+אפריל!F39+מאי!F39+יוני!F39</f>
        <v>0</v>
      </c>
      <c r="H39" s="158" t="n">
        <f aca="false">ינואר!G39+פברואר!G39+מרץ!G39+אפריל!G39+מאי!G39+יוני!G39</f>
        <v>0</v>
      </c>
      <c r="I39" s="167" t="str">
        <f aca="false">IFERROR(H39/G39-1,"-")</f>
        <v>-</v>
      </c>
      <c r="J39" s="158" t="n">
        <f aca="false">H39-G39</f>
        <v>0</v>
      </c>
      <c r="K39" s="158" t="n">
        <f aca="false">ינואר!J39+פברואר!J39+מרץ!J39+אפריל!J39+מאי!J39+יוני!J39</f>
        <v>200000</v>
      </c>
      <c r="L39" s="167" t="n">
        <f aca="false">H39/K39-1</f>
        <v>-1</v>
      </c>
      <c r="M39" s="158" t="n">
        <f aca="false">H39-K39</f>
        <v>-200000</v>
      </c>
    </row>
    <row r="40" customFormat="false" ht="15" hidden="false" customHeight="true" outlineLevel="0" collapsed="false">
      <c r="A40" s="169"/>
      <c r="B40" s="173"/>
      <c r="C40" s="173" t="s">
        <v>98</v>
      </c>
      <c r="D40" s="173" t="s">
        <v>98</v>
      </c>
      <c r="E40" s="173"/>
      <c r="F40" s="173" t="n">
        <f aca="false">SUM(F20:F39)</f>
        <v>4115021.3</v>
      </c>
      <c r="G40" s="173" t="n">
        <f aca="false">SUM(G20:G39)</f>
        <v>2510003.5</v>
      </c>
      <c r="H40" s="173" t="n">
        <f aca="false">SUM(H20:H39)</f>
        <v>2801213.84</v>
      </c>
      <c r="I40" s="174" t="n">
        <f aca="false">H40/G40-1</f>
        <v>0.116019893996164</v>
      </c>
      <c r="J40" s="173" t="n">
        <f aca="false">SUM(J20:J39)</f>
        <v>291210.34</v>
      </c>
      <c r="K40" s="173" t="n">
        <f aca="false">SUM(K20:K39)</f>
        <v>4254849.5972375</v>
      </c>
      <c r="L40" s="174" t="n">
        <f aca="false">H40/K40-1</f>
        <v>-0.341642101328631</v>
      </c>
      <c r="M40" s="173" t="n">
        <f aca="false">SUM(M20:M39)</f>
        <v>-1453635.7572375</v>
      </c>
    </row>
    <row r="41" customFormat="false" ht="15" hidden="false" customHeight="true" outlineLevel="0" collapsed="false">
      <c r="A41" s="169"/>
      <c r="B41" s="175"/>
      <c r="C41" s="175" t="s">
        <v>175</v>
      </c>
      <c r="D41" s="175" t="s">
        <v>175</v>
      </c>
      <c r="E41" s="175"/>
      <c r="F41" s="175" t="n">
        <f aca="false">F40+F19</f>
        <v>12809638.691</v>
      </c>
      <c r="G41" s="175" t="n">
        <f aca="false">G40+G19</f>
        <v>11632465.742</v>
      </c>
      <c r="H41" s="175" t="n">
        <f aca="false">H40+H19</f>
        <v>12671808.107</v>
      </c>
      <c r="I41" s="147" t="n">
        <f aca="false">H41/G41-1</f>
        <v>0.0893484140036931</v>
      </c>
      <c r="J41" s="175" t="n">
        <f aca="false">J40+J19</f>
        <v>1039342.365</v>
      </c>
      <c r="K41" s="175" t="n">
        <f aca="false">K40+K19</f>
        <v>17405144.3310793</v>
      </c>
      <c r="L41" s="147" t="n">
        <f aca="false">H41/K41-1</f>
        <v>-0.271950415006169</v>
      </c>
      <c r="M41" s="175" t="n">
        <f aca="false">M40+M19</f>
        <v>-4733336.22407928</v>
      </c>
    </row>
    <row r="42" customFormat="false" ht="15" hidden="false" customHeight="true" outlineLevel="0" collapsed="false">
      <c r="B42" s="176"/>
      <c r="C42" s="176" t="s">
        <v>121</v>
      </c>
      <c r="D42" s="176" t="s">
        <v>121</v>
      </c>
      <c r="E42" s="176"/>
      <c r="F42" s="177" t="n">
        <f aca="false">F40/F41</f>
        <v>0.321244134925616</v>
      </c>
      <c r="G42" s="177" t="n">
        <f aca="false">G40/G41</f>
        <v>0.215775705312195</v>
      </c>
      <c r="H42" s="177" t="n">
        <f aca="false">H40/H41</f>
        <v>0.221058732609167</v>
      </c>
      <c r="I42" s="177"/>
      <c r="J42" s="177"/>
      <c r="K42" s="177" t="n">
        <f aca="false">K40-ינואר!J40-פברואר!J40-מרץ!J40-אפריל!J40-מאי!J40-יוני!J40</f>
        <v>0</v>
      </c>
      <c r="L42" s="177"/>
      <c r="M42" s="177"/>
    </row>
    <row r="43" customFormat="false" ht="14.25" hidden="false" customHeight="true" outlineLevel="0" collapsed="false">
      <c r="F43" s="1" t="n">
        <f aca="false">F41-ינואר!E41-פברואר!E41-מרץ!E41-אפריל!E41-מאי!E41-יוני!E41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28" activePane="bottomRight" state="frozen"/>
      <selection pane="topLeft" activeCell="A1" activeCellId="0" sqref="A1"/>
      <selection pane="topRight" activeCell="E1" activeCellId="0" sqref="E1"/>
      <selection pane="bottomLeft" activeCell="A28" activeCellId="0" sqref="A28"/>
      <selection pane="bottomRight" activeCell="G37" activeCellId="0" sqref="G37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194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s">
        <v>187</v>
      </c>
      <c r="F2" s="133" t="s">
        <v>188</v>
      </c>
      <c r="G2" s="133" t="s">
        <v>189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ינואר!E3+פברואר!E3+מרץ!E3</f>
        <v>346988.66</v>
      </c>
      <c r="F3" s="138" t="n">
        <f aca="false">ינואר!F3+פברואר!F3+מרץ!F3</f>
        <v>358245.8</v>
      </c>
      <c r="G3" s="138" t="n">
        <f aca="false">ינואר!G3+פברואר!G3+מרץ!G3</f>
        <v>550736.34</v>
      </c>
      <c r="H3" s="139" t="n">
        <f aca="false">G3/F3-1</f>
        <v>0.537314156928008</v>
      </c>
      <c r="I3" s="140" t="n">
        <f aca="false">G3-F3</f>
        <v>192490.54</v>
      </c>
      <c r="J3" s="138" t="n">
        <f aca="false">ינואר!J3+פברואר!J3+מרץ!J3</f>
        <v>538412.698412699</v>
      </c>
      <c r="K3" s="139" t="n">
        <f aca="false">G3/J3-1</f>
        <v>0.0228888390330175</v>
      </c>
      <c r="L3" s="142" t="n">
        <f aca="false">G3-J3</f>
        <v>12323.6415873009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ינואר!E4+פברואר!E4+מרץ!E4</f>
        <v>1316829.332</v>
      </c>
      <c r="F4" s="138" t="n">
        <f aca="false">ינואר!F4+פברואר!F4+מרץ!F4</f>
        <v>1515626.11790001</v>
      </c>
      <c r="G4" s="138" t="n">
        <f aca="false">ינואר!G4+פברואר!G4+מרץ!G4</f>
        <v>1311982.763</v>
      </c>
      <c r="H4" s="139" t="n">
        <f aca="false">G4/F4-1</f>
        <v>-0.134362526809824</v>
      </c>
      <c r="I4" s="140" t="n">
        <f aca="false">G4-F4</f>
        <v>-203643.35490001</v>
      </c>
      <c r="J4" s="138" t="n">
        <f aca="false">ינואר!J4+פברואר!J4+מרץ!J4</f>
        <v>1680031.74603175</v>
      </c>
      <c r="K4" s="139" t="n">
        <f aca="false">G4/J4-1</f>
        <v>-0.219072635919579</v>
      </c>
      <c r="L4" s="142" t="n">
        <f aca="false">G4-J4</f>
        <v>-368048.983031747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ינואר!E5+פברואר!E5+מרץ!E5</f>
        <v>244255.102</v>
      </c>
      <c r="F5" s="138" t="n">
        <f aca="false">ינואר!F5+פברואר!F5+מרץ!F5</f>
        <v>178709.44</v>
      </c>
      <c r="G5" s="138" t="n">
        <f aca="false">ינואר!G5+פברואר!G5+מרץ!G5</f>
        <v>195880.23</v>
      </c>
      <c r="H5" s="139" t="n">
        <f aca="false">G5/F5-1</f>
        <v>0.0960821655532018</v>
      </c>
      <c r="I5" s="140" t="n">
        <f aca="false">G5-F5</f>
        <v>17170.79</v>
      </c>
      <c r="J5" s="138" t="n">
        <f aca="false">ינואר!J5+פברואר!J5+מרץ!J5</f>
        <v>228571.428571429</v>
      </c>
      <c r="K5" s="139" t="n">
        <f aca="false">G5/J5-1</f>
        <v>-0.14302399375</v>
      </c>
      <c r="L5" s="142" t="n">
        <f aca="false">G5-J5</f>
        <v>-32691.1985714285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ינואר!E6+פברואר!E6+מרץ!E6</f>
        <v>483341.147</v>
      </c>
      <c r="F6" s="138" t="n">
        <f aca="false">ינואר!F6+פברואר!F6+מרץ!F6</f>
        <v>422582.234100001</v>
      </c>
      <c r="G6" s="138" t="n">
        <f aca="false">ינואר!G6+פברואר!G6+מרץ!G6</f>
        <v>455568.587</v>
      </c>
      <c r="H6" s="139" t="n">
        <f aca="false">G6/F6-1</f>
        <v>0.07805901488086</v>
      </c>
      <c r="I6" s="140" t="n">
        <f aca="false">G6-F6</f>
        <v>32986.352899999</v>
      </c>
      <c r="J6" s="138" t="n">
        <f aca="false">ינואר!J6+פברואר!J6+מרץ!J6</f>
        <v>482539.682539682</v>
      </c>
      <c r="K6" s="139" t="n">
        <f aca="false">G6/J6-1</f>
        <v>-0.0558940466776304</v>
      </c>
      <c r="L6" s="142" t="n">
        <f aca="false">G6-J6</f>
        <v>-26971.095539682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ינואר!E7+פברואר!E7+מרץ!E7</f>
        <v>1189769.5</v>
      </c>
      <c r="F7" s="138" t="n">
        <f aca="false">ינואר!F7+פברואר!F7+מרץ!F7</f>
        <v>1074384</v>
      </c>
      <c r="G7" s="138" t="n">
        <f aca="false">ינואר!G7+פברואר!G7+מרץ!G7</f>
        <v>863414.1</v>
      </c>
      <c r="H7" s="139" t="n">
        <f aca="false">G7/F7-1</f>
        <v>-0.196363590671492</v>
      </c>
      <c r="I7" s="140" t="n">
        <f aca="false">G7-F7</f>
        <v>-210969.9</v>
      </c>
      <c r="J7" s="138" t="n">
        <f aca="false">ינואר!J7+פברואר!J7+מרץ!J7</f>
        <v>1095000</v>
      </c>
      <c r="K7" s="139" t="n">
        <f aca="false">G7/J7-1</f>
        <v>-0.21149397260274</v>
      </c>
      <c r="L7" s="142" t="n">
        <f aca="false">G7-J7</f>
        <v>-231585.9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ינואר!E8+פברואר!E8+מרץ!E8</f>
        <v>243735.37</v>
      </c>
      <c r="F8" s="138" t="n">
        <f aca="false">ינואר!F8+פברואר!F8+מרץ!F8</f>
        <v>214483.08</v>
      </c>
      <c r="G8" s="138" t="n">
        <f aca="false">ינואר!G8+פברואר!G8+מרץ!G8</f>
        <v>175029.46</v>
      </c>
      <c r="H8" s="139" t="n">
        <f aca="false">G8/F8-1</f>
        <v>-0.183947470355237</v>
      </c>
      <c r="I8" s="140" t="n">
        <f aca="false">G8-F8</f>
        <v>-39453.62</v>
      </c>
      <c r="J8" s="138" t="n">
        <f aca="false">ינואר!J8+פברואר!J8+מרץ!J8</f>
        <v>303968.253968253</v>
      </c>
      <c r="K8" s="139" t="n">
        <f aca="false">G8/J8-1</f>
        <v>-0.424185066318537</v>
      </c>
      <c r="L8" s="142" t="n">
        <f aca="false">G8-J8</f>
        <v>-128938.793968253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ינואר!E9+פברואר!E9+מרץ!E9</f>
        <v>264967.26</v>
      </c>
      <c r="F9" s="138" t="n">
        <f aca="false">ינואר!F9+פברואר!F9+מרץ!F9</f>
        <v>184543.23</v>
      </c>
      <c r="G9" s="138" t="n">
        <f aca="false">ינואר!G9+פברואר!G9+מרץ!G9</f>
        <v>216851.4</v>
      </c>
      <c r="H9" s="139" t="n">
        <f aca="false">G9/F9-1</f>
        <v>0.175071011816581</v>
      </c>
      <c r="I9" s="140" t="n">
        <f aca="false">G9-F9</f>
        <v>32308.17</v>
      </c>
      <c r="J9" s="138" t="n">
        <f aca="false">ינואר!J9+פברואר!J9+מרץ!J9</f>
        <v>443253.968253968</v>
      </c>
      <c r="K9" s="139" t="n">
        <f aca="false">G9/J9-1</f>
        <v>-0.510773923008057</v>
      </c>
      <c r="L9" s="142" t="n">
        <f aca="false">G9-J9</f>
        <v>-226402.568253968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ינואר!E10+פברואר!E10+מרץ!E10</f>
        <v>48538.67</v>
      </c>
      <c r="F10" s="138" t="n">
        <f aca="false">ינואר!F10+פברואר!F10+מרץ!F10</f>
        <v>55293.41</v>
      </c>
      <c r="G10" s="138" t="n">
        <f aca="false">ינואר!G10+פברואר!G10+מרץ!G10</f>
        <v>36206.99</v>
      </c>
      <c r="H10" s="139" t="n">
        <f aca="false">G10/F10-1</f>
        <v>-0.345184353795507</v>
      </c>
      <c r="I10" s="140" t="n">
        <f aca="false">G10-F10</f>
        <v>-19086.42</v>
      </c>
      <c r="J10" s="138" t="n">
        <f aca="false">ינואר!J10+פברואר!J10+מרץ!J10</f>
        <v>48253.9682539682</v>
      </c>
      <c r="K10" s="139" t="n">
        <f aca="false">G10/J10-1</f>
        <v>-0.249657773026315</v>
      </c>
      <c r="L10" s="142" t="n">
        <f aca="false">G10-J10</f>
        <v>-12046.9782539682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ינואר!E11+פברואר!E11+מרץ!E11</f>
        <v>9240.76</v>
      </c>
      <c r="F11" s="138" t="n">
        <f aca="false">ינואר!F11+פברואר!F11+מרץ!F11</f>
        <v>21423.82</v>
      </c>
      <c r="G11" s="138" t="n">
        <f aca="false">ינואר!G11+פברואר!G11+מרץ!G11</f>
        <v>12409.92</v>
      </c>
      <c r="H11" s="139" t="n">
        <f aca="false">G11/F11-1</f>
        <v>-0.42074195918375</v>
      </c>
      <c r="I11" s="140" t="n">
        <f aca="false">G11-F11</f>
        <v>-9013.9</v>
      </c>
      <c r="J11" s="138" t="n">
        <f aca="false">ינואר!J11+פברואר!J11+מרץ!J11</f>
        <v>23396.8253968254</v>
      </c>
      <c r="K11" s="139" t="n">
        <f aca="false">G11/J11-1</f>
        <v>-0.469589579375848</v>
      </c>
      <c r="L11" s="142" t="n">
        <f aca="false">G11-J11</f>
        <v>-10986.9053968254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ינואר!E12+פברואר!E12+מרץ!E12</f>
        <v>0</v>
      </c>
      <c r="F12" s="138" t="n">
        <f aca="false">ינואר!F12+פברואר!F12+מרץ!F12</f>
        <v>1732.3</v>
      </c>
      <c r="G12" s="138" t="n">
        <f aca="false">ינואר!G12+פברואר!G12+מרץ!G12</f>
        <v>1917.16</v>
      </c>
      <c r="H12" s="139" t="n">
        <f aca="false">G12/F12-1</f>
        <v>0.106713617733649</v>
      </c>
      <c r="I12" s="140" t="n">
        <f aca="false">G12-F12</f>
        <v>184.86</v>
      </c>
      <c r="J12" s="138" t="n">
        <f aca="false">ינואר!J12+פברואר!J12+מרץ!J12</f>
        <v>0</v>
      </c>
      <c r="K12" s="139"/>
      <c r="L12" s="142" t="n">
        <f aca="false">G12-J12</f>
        <v>1917.16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ינואר!E13+פברואר!E13+מרץ!E13</f>
        <v>0</v>
      </c>
      <c r="F13" s="138" t="n">
        <f aca="false">ינואר!F13+פברואר!F13+מרץ!F13</f>
        <v>0</v>
      </c>
      <c r="G13" s="138" t="n">
        <f aca="false">ינואר!G13+פברואר!G13+מרץ!G13</f>
        <v>0</v>
      </c>
      <c r="H13" s="139" t="str">
        <f aca="false">IFERROR(G13/F13-1,"-")</f>
        <v>-</v>
      </c>
      <c r="I13" s="140" t="n">
        <f aca="false">G13-F13</f>
        <v>0</v>
      </c>
      <c r="J13" s="138" t="n">
        <f aca="false">ינואר!J13+פברואר!J13+מרץ!J13</f>
        <v>0</v>
      </c>
      <c r="K13" s="139"/>
      <c r="L13" s="142" t="n">
        <f aca="false">G13-J13</f>
        <v>0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ינואר!E14+פברואר!E14+מרץ!E14</f>
        <v>1275.21</v>
      </c>
      <c r="F14" s="138" t="n">
        <f aca="false">ינואר!F14+פברואר!F14+מרץ!F14</f>
        <v>11067.51</v>
      </c>
      <c r="G14" s="138" t="n">
        <f aca="false">ינואר!G14+פברואר!G14+מרץ!G14</f>
        <v>3470.98</v>
      </c>
      <c r="H14" s="139" t="n">
        <f aca="false">G14/F14-1</f>
        <v>-0.686381128185111</v>
      </c>
      <c r="I14" s="140" t="n">
        <f aca="false">G14-F14</f>
        <v>-7596.53</v>
      </c>
      <c r="J14" s="138" t="n">
        <f aca="false">ינואר!J14+פברואר!J14+מרץ!J14</f>
        <v>0</v>
      </c>
      <c r="K14" s="139"/>
      <c r="L14" s="142" t="n">
        <f aca="false">G14-J14</f>
        <v>3470.98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ינואר!E15+פברואר!E15+מרץ!E15</f>
        <v>20179.98</v>
      </c>
      <c r="F15" s="138" t="n">
        <f aca="false">ינואר!F15+פברואר!F15+מרץ!F15</f>
        <v>29853.9</v>
      </c>
      <c r="G15" s="138" t="n">
        <f aca="false">ינואר!G15+פברואר!G15+מרץ!G15</f>
        <v>33410.51</v>
      </c>
      <c r="H15" s="139" t="n">
        <f aca="false">G15/F15-1</f>
        <v>0.119133848508905</v>
      </c>
      <c r="I15" s="140" t="n">
        <f aca="false">G15-F15</f>
        <v>3556.61</v>
      </c>
      <c r="J15" s="138" t="n">
        <f aca="false">ינואר!J15+פברואר!J15+מרץ!J15</f>
        <v>50793.6507936509</v>
      </c>
      <c r="K15" s="139" t="n">
        <f aca="false">G15/J15-1</f>
        <v>-0.342230584375001</v>
      </c>
      <c r="L15" s="142" t="n">
        <f aca="false">G15-J15</f>
        <v>-17383.1407936509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</f>
        <v>4169120.991</v>
      </c>
      <c r="F16" s="144" t="n">
        <f aca="false">SUM(F3:F15)</f>
        <v>4067944.84200001</v>
      </c>
      <c r="G16" s="144" t="n">
        <f aca="false">SUM(G3:G15)</f>
        <v>3856878.44</v>
      </c>
      <c r="H16" s="145" t="n">
        <f aca="false">G16/F16-1</f>
        <v>-0.051885266442364</v>
      </c>
      <c r="I16" s="144" t="n">
        <f aca="false">SUM(I3:I15)</f>
        <v>-211066.402000011</v>
      </c>
      <c r="J16" s="144" t="n">
        <f aca="false">SUM(J3:J15)</f>
        <v>4894222.22222222</v>
      </c>
      <c r="K16" s="145" t="n">
        <f aca="false">G16/J16-1</f>
        <v>-0.211952734289866</v>
      </c>
      <c r="L16" s="144" t="n">
        <f aca="false">SUM(L3:L15)</f>
        <v>-1037343.78222222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ינואר!E17+פברואר!E17+מרץ!E17</f>
        <v>128416.35</v>
      </c>
      <c r="F17" s="138" t="n">
        <f aca="false">ינואר!F17+פברואר!F17+מרץ!F17</f>
        <v>289038.589999999</v>
      </c>
      <c r="G17" s="138" t="n">
        <f aca="false">ינואר!G17+פברואר!G17+מרץ!G17</f>
        <v>858282.390000011</v>
      </c>
      <c r="H17" s="139" t="n">
        <f aca="false">G17/F17-1</f>
        <v>1.96943875210578</v>
      </c>
      <c r="I17" s="140" t="n">
        <f aca="false">G17-F17</f>
        <v>569243.800000012</v>
      </c>
      <c r="J17" s="138" t="n">
        <f aca="false">ינואר!J17+פברואר!J17+מרץ!J17</f>
        <v>1230932.20338983</v>
      </c>
      <c r="K17" s="139" t="n">
        <f aca="false">G17/J17-1</f>
        <v>-0.302737886265051</v>
      </c>
      <c r="L17" s="142" t="n">
        <f aca="false">G17-J17</f>
        <v>-372649.813389819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ינואר!E18+פברואר!E18+מרץ!E18</f>
        <v>6344.06</v>
      </c>
      <c r="F18" s="138" t="n">
        <f aca="false">ינואר!F18+פברואר!F18+מרץ!F18</f>
        <v>8798.68</v>
      </c>
      <c r="G18" s="138" t="n">
        <f aca="false">ינואר!G18+פברואר!G18+מרץ!G18</f>
        <v>5087.03</v>
      </c>
      <c r="H18" s="139" t="n">
        <f aca="false">G18/F18-1</f>
        <v>-0.421841685343711</v>
      </c>
      <c r="I18" s="140" t="n">
        <f aca="false">G18-F18</f>
        <v>-3711.65</v>
      </c>
      <c r="J18" s="138" t="n">
        <f aca="false">ינואר!J18+פברואר!J18+מרץ!J18</f>
        <v>7610.78499999999</v>
      </c>
      <c r="K18" s="139" t="n">
        <f aca="false">G18/J18-1</f>
        <v>-0.331602456251227</v>
      </c>
      <c r="L18" s="142" t="n">
        <f aca="false">G18-J18</f>
        <v>-2523.75499999999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4303881.401</v>
      </c>
      <c r="F19" s="146" t="n">
        <f aca="false">F16+F17+F18</f>
        <v>4365782.11200001</v>
      </c>
      <c r="G19" s="146" t="n">
        <f aca="false">G16+G17+G18</f>
        <v>4720247.86000001</v>
      </c>
      <c r="H19" s="147" t="n">
        <f aca="false">G19/F19-1</f>
        <v>0.0811918091435895</v>
      </c>
      <c r="I19" s="146" t="n">
        <f aca="false">I16+I17+I18</f>
        <v>354465.748000001</v>
      </c>
      <c r="J19" s="146" t="n">
        <f aca="false">J16+J17+J18</f>
        <v>6132765.21061205</v>
      </c>
      <c r="K19" s="147" t="n">
        <f aca="false">G19/J19-1</f>
        <v>-0.230323076475819</v>
      </c>
      <c r="L19" s="146" t="n">
        <f aca="false">L16+L17+L18</f>
        <v>-1412517.35061204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ינואר!E20+פברואר!E20+מרץ!E20</f>
        <v>1103838.6</v>
      </c>
      <c r="F20" s="138" t="n">
        <f aca="false">ינואר!F20+פברואר!F20+מרץ!F20</f>
        <v>615682.31</v>
      </c>
      <c r="G20" s="138" t="n">
        <f aca="false">ינואר!G20+פברואר!G20+מרץ!G20</f>
        <v>586175.55</v>
      </c>
      <c r="H20" s="139" t="n">
        <f aca="false">G20/F20-1</f>
        <v>-0.0479253009559427</v>
      </c>
      <c r="I20" s="140" t="n">
        <f aca="false">G20-F20</f>
        <v>-29506.76</v>
      </c>
      <c r="J20" s="138" t="n">
        <f aca="false">ינואר!J20+פברואר!J20+מרץ!J20</f>
        <v>917409.4788375</v>
      </c>
      <c r="K20" s="139" t="n">
        <f aca="false">G20/J20-1</f>
        <v>-0.361053527872008</v>
      </c>
      <c r="L20" s="142" t="n">
        <f aca="false">G20-J20</f>
        <v>-331233.9288375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ינואר!E21+פברואר!E21+מרץ!E21</f>
        <v>256045.17</v>
      </c>
      <c r="F21" s="138" t="n">
        <f aca="false">ינואר!F21+פברואר!F21+מרץ!F21</f>
        <v>213082.56</v>
      </c>
      <c r="G21" s="138" t="n">
        <f aca="false">ינואר!G21+פברואר!G21+מרץ!G21</f>
        <v>137198.2</v>
      </c>
      <c r="H21" s="139" t="n">
        <f aca="false">G21/F21-1</f>
        <v>-0.356126564276307</v>
      </c>
      <c r="I21" s="140" t="n">
        <f aca="false">G21-F21</f>
        <v>-75884.36</v>
      </c>
      <c r="J21" s="138" t="n">
        <f aca="false">ינואר!J21+פברואר!J21+מרץ!J21</f>
        <v>235200</v>
      </c>
      <c r="K21" s="139" t="n">
        <f aca="false">G21/J21-1</f>
        <v>-0.416674319727891</v>
      </c>
      <c r="L21" s="142" t="n">
        <f aca="false">G21-J21</f>
        <v>-98001.8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ינואר!E22+פברואר!E22+מרץ!E22</f>
        <v>134605.5</v>
      </c>
      <c r="F22" s="138" t="n">
        <f aca="false">ינואר!F22+פברואר!F22+מרץ!F22</f>
        <v>80573.03</v>
      </c>
      <c r="G22" s="138" t="n">
        <f aca="false">ינואר!G22+פברואר!G22+מרץ!G22</f>
        <v>149149.43</v>
      </c>
      <c r="H22" s="139" t="n">
        <f aca="false">G22/F22-1</f>
        <v>0.851108615376634</v>
      </c>
      <c r="I22" s="140" t="n">
        <f aca="false">G22-F22</f>
        <v>68576.4</v>
      </c>
      <c r="J22" s="138" t="n">
        <f aca="false">ינואר!J22+פברואר!J22+מרץ!J22</f>
        <v>151610.27</v>
      </c>
      <c r="K22" s="139" t="n">
        <f aca="false">G22/J22-1</f>
        <v>-0.0162313542479675</v>
      </c>
      <c r="L22" s="142" t="n">
        <f aca="false">G22-J22</f>
        <v>-2460.84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ינואר!E23+פברואר!E23+מרץ!E23</f>
        <v>153212.06</v>
      </c>
      <c r="F23" s="138" t="n">
        <f aca="false">ינואר!F23+פברואר!F23+מרץ!F23</f>
        <v>85563.25</v>
      </c>
      <c r="G23" s="138" t="n">
        <f aca="false">ינואר!G23+פברואר!G23+מרץ!G23</f>
        <v>67158.97</v>
      </c>
      <c r="H23" s="139" t="n">
        <f aca="false">G23/F23-1</f>
        <v>-0.215095616400733</v>
      </c>
      <c r="I23" s="140" t="n">
        <f aca="false">G23-F23</f>
        <v>-18404.28</v>
      </c>
      <c r="J23" s="138" t="n">
        <f aca="false">ינואר!J23+פברואר!J23+מרץ!J23</f>
        <v>162158.97</v>
      </c>
      <c r="K23" s="139" t="n">
        <f aca="false">G23/J23-1</f>
        <v>-0.585844865689514</v>
      </c>
      <c r="L23" s="142" t="n">
        <f aca="false">G23-J23</f>
        <v>-95000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ינואר!E24+פברואר!E24+מרץ!E24</f>
        <v>32300.81</v>
      </c>
      <c r="F24" s="138" t="n">
        <f aca="false">ינואר!F24+פברואר!F24+מרץ!F24</f>
        <v>29999.78</v>
      </c>
      <c r="G24" s="138" t="n">
        <f aca="false">ינואר!G24+פברואר!G24+מרץ!G24</f>
        <v>44796.11</v>
      </c>
      <c r="H24" s="139" t="n">
        <f aca="false">G24/F24-1</f>
        <v>0.493214616907191</v>
      </c>
      <c r="I24" s="140" t="n">
        <f aca="false">G24-F24</f>
        <v>14796.33</v>
      </c>
      <c r="J24" s="138" t="n">
        <f aca="false">ינואר!J24+פברואר!J24+מרץ!J24</f>
        <v>32774.92</v>
      </c>
      <c r="K24" s="139" t="n">
        <f aca="false">G24/J24-1</f>
        <v>0.366780147747119</v>
      </c>
      <c r="L24" s="142" t="n">
        <f aca="false">G24-J24</f>
        <v>12021.19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ינואר!E25+פברואר!E25+מרץ!E25</f>
        <v>50777.76</v>
      </c>
      <c r="F25" s="138" t="n">
        <f aca="false">ינואר!F25+פברואר!F25+מרץ!F25</f>
        <v>42132.93</v>
      </c>
      <c r="G25" s="138" t="n">
        <f aca="false">ינואר!G25+פברואר!G25+מרץ!G25</f>
        <v>0</v>
      </c>
      <c r="H25" s="139" t="n">
        <f aca="false">G25/F25-1</f>
        <v>-1</v>
      </c>
      <c r="I25" s="140" t="n">
        <f aca="false">G25-F25</f>
        <v>-42132.93</v>
      </c>
      <c r="J25" s="138" t="n">
        <f aca="false">ינואר!J25+פברואר!J25+מרץ!J25</f>
        <v>5000</v>
      </c>
      <c r="K25" s="139" t="n">
        <f aca="false">G25/J25-1</f>
        <v>-1</v>
      </c>
      <c r="L25" s="142" t="n">
        <f aca="false">G25-J25</f>
        <v>-5000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ינואר!E26+פברואר!E26+מרץ!E26</f>
        <v>249206.12</v>
      </c>
      <c r="F26" s="138" t="n">
        <f aca="false">ינואר!F26+פברואר!F26+מרץ!F26</f>
        <v>0</v>
      </c>
      <c r="G26" s="138" t="n">
        <f aca="false">ינואר!G26+פברואר!G26+מרץ!G26</f>
        <v>-1269.06</v>
      </c>
      <c r="H26" s="139" t="str">
        <f aca="false">IFERROR(G26/F26-1,"-")</f>
        <v>-</v>
      </c>
      <c r="I26" s="140" t="n">
        <f aca="false">G26-F26</f>
        <v>-1269.06</v>
      </c>
      <c r="J26" s="138" t="n">
        <f aca="false">ינואר!J26+פברואר!J26+מרץ!J26</f>
        <v>0</v>
      </c>
      <c r="K26" s="139" t="str">
        <f aca="false">IFERROR(G26/J26-1,"-")</f>
        <v>-</v>
      </c>
      <c r="L26" s="142" t="n">
        <f aca="false">G26-J26</f>
        <v>-1269.06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ינואר!E27+פברואר!E27+מרץ!E27</f>
        <v>62495.48</v>
      </c>
      <c r="F27" s="138" t="n">
        <f aca="false">ינואר!F27+פברואר!F27+מרץ!F27</f>
        <v>0</v>
      </c>
      <c r="G27" s="138" t="n">
        <f aca="false">ינואר!G27+פברואר!G27+מרץ!G27</f>
        <v>42152.31</v>
      </c>
      <c r="H27" s="139" t="str">
        <f aca="false">IFERROR(G27/F27-1,"-")</f>
        <v>-</v>
      </c>
      <c r="I27" s="140" t="n">
        <f aca="false">G27-F27</f>
        <v>42152.31</v>
      </c>
      <c r="J27" s="138" t="n">
        <f aca="false">ינואר!J27+פברואר!J27+מרץ!J27</f>
        <v>40000</v>
      </c>
      <c r="K27" s="139" t="n">
        <f aca="false">G27/J27-1</f>
        <v>0.05380775</v>
      </c>
      <c r="L27" s="142" t="n">
        <f aca="false">G27-J27</f>
        <v>2152.31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ינואר!E28+פברואר!E28+מרץ!E28</f>
        <v>171813.81</v>
      </c>
      <c r="F28" s="138" t="n">
        <f aca="false">ינואר!F28+פברואר!F28+מרץ!F28</f>
        <v>0.22</v>
      </c>
      <c r="G28" s="138" t="n">
        <f aca="false">ינואר!G28+פברואר!G28+מרץ!G28</f>
        <v>0</v>
      </c>
      <c r="H28" s="139" t="n">
        <f aca="false">G28/F28-1</f>
        <v>-1</v>
      </c>
      <c r="I28" s="140" t="n">
        <f aca="false">G28-F28</f>
        <v>-0.22</v>
      </c>
      <c r="J28" s="138" t="n">
        <f aca="false">ינואר!J28+פברואר!J28+מרץ!J28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ינואר!E29+פברואר!E29+מרץ!E29</f>
        <v>75421.29</v>
      </c>
      <c r="F29" s="138" t="n">
        <f aca="false">ינואר!F29+פברואר!F29+מרץ!F29</f>
        <v>93346.17</v>
      </c>
      <c r="G29" s="138" t="n">
        <f aca="false">ינואר!G29+פברואר!G29+מרץ!G29</f>
        <v>52124.75</v>
      </c>
      <c r="H29" s="139" t="n">
        <f aca="false">G29/F29-1</f>
        <v>-0.441597336023535</v>
      </c>
      <c r="I29" s="140" t="n">
        <f aca="false">G29-F29</f>
        <v>-41221.42</v>
      </c>
      <c r="J29" s="138" t="n">
        <f aca="false">ינואר!J29+פברואר!J29+מרץ!J29</f>
        <v>92114.316</v>
      </c>
      <c r="K29" s="139" t="n">
        <f aca="false">G29/J29-1</f>
        <v>-0.434129761111183</v>
      </c>
      <c r="L29" s="142" t="n">
        <f aca="false">G29-J29</f>
        <v>-39989.566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ינואר!E30+פברואר!E30+מרץ!E30</f>
        <v>0</v>
      </c>
      <c r="F30" s="138" t="n">
        <f aca="false">ינואר!F30+פברואר!F30+מרץ!F30</f>
        <v>32010.18</v>
      </c>
      <c r="G30" s="138" t="n">
        <f aca="false">ינואר!G30+פברואר!G30+מרץ!G30</f>
        <v>0</v>
      </c>
      <c r="H30" s="139" t="n">
        <f aca="false">G30/F30-1</f>
        <v>-1</v>
      </c>
      <c r="I30" s="140" t="n">
        <f aca="false">G30-F30</f>
        <v>-32010.18</v>
      </c>
      <c r="J30" s="138" t="n">
        <f aca="false">ינואר!J30+פברואר!J30+מרץ!J30</f>
        <v>0</v>
      </c>
      <c r="K30" s="139" t="str">
        <f aca="false">IFERROR(G30/J30-1,"-")</f>
        <v>-</v>
      </c>
      <c r="L30" s="142" t="n">
        <f aca="false">G30-J30</f>
        <v>0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ינואר!E31+פברואר!E31+מרץ!E31</f>
        <v>0</v>
      </c>
      <c r="F31" s="138" t="n">
        <f aca="false">ינואר!F31+פברואר!F31+מרץ!F31</f>
        <v>19897.57</v>
      </c>
      <c r="G31" s="138" t="n">
        <f aca="false">ינואר!G31+פברואר!G31+מרץ!G31</f>
        <v>0</v>
      </c>
      <c r="H31" s="139" t="n">
        <f aca="false">G31/F31-1</f>
        <v>-1</v>
      </c>
      <c r="I31" s="140" t="n">
        <f aca="false">G31-F31</f>
        <v>-19897.57</v>
      </c>
      <c r="J31" s="138" t="n">
        <f aca="false">ינואר!J31+פברואר!J31+מרץ!J31</f>
        <v>20000</v>
      </c>
      <c r="K31" s="139" t="n">
        <f aca="false">G31/J31-1</f>
        <v>-1</v>
      </c>
      <c r="L31" s="142" t="n">
        <f aca="false">G31-J31</f>
        <v>-20000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ינואר!E32+פברואר!E32+מרץ!E32</f>
        <v>0</v>
      </c>
      <c r="F32" s="138" t="n">
        <f aca="false">ינואר!F32+פברואר!F32+מרץ!F32</f>
        <v>16024.5</v>
      </c>
      <c r="G32" s="138" t="n">
        <f aca="false">ינואר!G32+פברואר!G32+מרץ!G32</f>
        <v>0</v>
      </c>
      <c r="H32" s="139" t="n">
        <f aca="false">G32/F32-1</f>
        <v>-1</v>
      </c>
      <c r="I32" s="140" t="n">
        <f aca="false">G32-F32</f>
        <v>-16024.5</v>
      </c>
      <c r="J32" s="138" t="n">
        <f aca="false">ינואר!J32+פברואר!J32+מרץ!J32</f>
        <v>18000</v>
      </c>
      <c r="K32" s="139" t="n">
        <f aca="false">G32/J32-1</f>
        <v>-1</v>
      </c>
      <c r="L32" s="142" t="n">
        <f aca="false">G32-J32</f>
        <v>-18000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 t="n">
        <f aca="false">ינואר!E33+פברואר!E33+מרץ!E33</f>
        <v>0</v>
      </c>
      <c r="F33" s="138" t="n">
        <f aca="false">ינואר!F33+פברואר!F33+מרץ!F33</f>
        <v>0</v>
      </c>
      <c r="G33" s="138" t="n">
        <f aca="false">ינואר!G33+פברואר!G33+מרץ!G33</f>
        <v>0</v>
      </c>
      <c r="H33" s="139" t="str">
        <f aca="false">IFERROR(G33/F33-1,"-")</f>
        <v>-</v>
      </c>
      <c r="I33" s="140" t="n">
        <f aca="false">G33-F33</f>
        <v>0</v>
      </c>
      <c r="J33" s="138" t="n">
        <f aca="false">ינואר!J33+פברואר!J33+מרץ!J33</f>
        <v>0</v>
      </c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ינואר!E34+פברואר!E34+מרץ!E34</f>
        <v>19941.82</v>
      </c>
      <c r="F34" s="138" t="n">
        <f aca="false">ינואר!F34+פברואר!F34+מרץ!F34</f>
        <v>20695.69</v>
      </c>
      <c r="G34" s="138" t="n">
        <f aca="false">ינואר!G34+פברואר!G34+מרץ!G34</f>
        <v>18792.66</v>
      </c>
      <c r="H34" s="139" t="n">
        <f aca="false">G34/F34-1</f>
        <v>-0.0919529621868128</v>
      </c>
      <c r="I34" s="140" t="n">
        <f aca="false">G34-F34</f>
        <v>-1903.03</v>
      </c>
      <c r="J34" s="138" t="n">
        <f aca="false">ינואר!J34+פברואר!J34+מרץ!J34</f>
        <v>18792.66</v>
      </c>
      <c r="K34" s="139" t="n">
        <f aca="false">G34/J34-1</f>
        <v>0</v>
      </c>
      <c r="L34" s="142" t="n">
        <f aca="false">G34-J34</f>
        <v>0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ינואר!E35+פברואר!E35+מרץ!E35</f>
        <v>34034.18</v>
      </c>
      <c r="F35" s="138" t="n">
        <f aca="false">ינואר!F35+פברואר!F35+מרץ!F35</f>
        <v>0</v>
      </c>
      <c r="G35" s="138" t="n">
        <f aca="false">ינואר!G35+פברואר!G35+מרץ!G35</f>
        <v>0</v>
      </c>
      <c r="H35" s="139" t="str">
        <f aca="false">IFERROR(G35/F35-1,"-")</f>
        <v>-</v>
      </c>
      <c r="I35" s="140" t="n">
        <f aca="false">G35-F35</f>
        <v>0</v>
      </c>
      <c r="J35" s="138" t="n">
        <f aca="false">ינואר!J35+פברואר!J35+מרץ!J35</f>
        <v>0</v>
      </c>
      <c r="K35" s="139" t="str">
        <f aca="false">IFERROR(G35/J35-1,"-")</f>
        <v>-</v>
      </c>
      <c r="L35" s="142" t="n">
        <f aca="false">G35-J35</f>
        <v>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ינואר!E36+פברואר!E36+מרץ!E36</f>
        <v>0</v>
      </c>
      <c r="F36" s="138" t="n">
        <f aca="false">ינואר!F36+פברואר!F36+מרץ!F36</f>
        <v>0</v>
      </c>
      <c r="G36" s="138" t="n">
        <f aca="false">ינואר!G36+פברואר!G36+מרץ!G36</f>
        <v>0</v>
      </c>
      <c r="H36" s="139" t="str">
        <f aca="false">IFERROR(G36/F36-1,"-")</f>
        <v>-</v>
      </c>
      <c r="I36" s="140" t="n">
        <f aca="false">G36-F36</f>
        <v>0</v>
      </c>
      <c r="J36" s="138" t="n">
        <f aca="false">ינואר!J36+פברואר!J36+מרץ!J36</f>
        <v>0</v>
      </c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ינואר!E37+פברואר!E37+מרץ!E37</f>
        <v>0</v>
      </c>
      <c r="F37" s="138" t="n">
        <f aca="false">ינואר!F37+פברואר!F37+מרץ!F37</f>
        <v>0</v>
      </c>
      <c r="G37" s="138" t="n">
        <f aca="false">ינואר!G37+פברואר!G37+מרץ!G37</f>
        <v>0</v>
      </c>
      <c r="H37" s="139" t="str">
        <f aca="false">IFERROR(G37/F37-1,"-")</f>
        <v>-</v>
      </c>
      <c r="I37" s="140" t="n">
        <f aca="false">G37-F37</f>
        <v>0</v>
      </c>
      <c r="J37" s="138" t="n">
        <f aca="false">ינואר!J37+פברואר!J37+מרץ!J37</f>
        <v>0</v>
      </c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ינואר!E38+פברואר!E38+מרץ!E38</f>
        <v>0</v>
      </c>
      <c r="F38" s="138" t="n">
        <f aca="false">ינואר!F38+פברואר!F38+מרץ!F38</f>
        <v>0</v>
      </c>
      <c r="G38" s="138" t="n">
        <f aca="false">ינואר!G38+פברואר!G38+מרץ!G38</f>
        <v>0</v>
      </c>
      <c r="H38" s="139" t="str">
        <f aca="false">IFERROR(G38/F38-1,"-")</f>
        <v>-</v>
      </c>
      <c r="I38" s="140" t="n">
        <f aca="false">G38-F38</f>
        <v>0</v>
      </c>
      <c r="J38" s="138" t="n">
        <f aca="false">ינואר!J38+פברואר!J38+מרץ!J38</f>
        <v>0</v>
      </c>
      <c r="K38" s="139" t="str">
        <f aca="false">IFERROR(G38/J38-1,"-")</f>
        <v>-</v>
      </c>
      <c r="L38" s="142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 t="n">
        <f aca="false">ינואר!E39+פברואר!E39+מרץ!E39</f>
        <v>0</v>
      </c>
      <c r="F39" s="138" t="n">
        <f aca="false">ינואר!F39+פברואר!F39+מרץ!F39</f>
        <v>0</v>
      </c>
      <c r="G39" s="138" t="n">
        <f aca="false">ינואר!G39+פברואר!G39+מרץ!G39</f>
        <v>0</v>
      </c>
      <c r="H39" s="139" t="str">
        <f aca="false">IFERROR(G39/F39-1,"-")</f>
        <v>-</v>
      </c>
      <c r="I39" s="140" t="n">
        <f aca="false">G39-F39</f>
        <v>0</v>
      </c>
      <c r="J39" s="138" t="n">
        <f aca="false">ינואר!J39+פברואר!J39+מרץ!J39</f>
        <v>0</v>
      </c>
      <c r="K39" s="139" t="str">
        <f aca="false">IFERROR(G39/J39-1,"-")</f>
        <v>-</v>
      </c>
      <c r="L39" s="142" t="n">
        <f aca="false">G39-J39</f>
        <v>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</f>
        <v>2343692.6</v>
      </c>
      <c r="F40" s="149" t="n">
        <f aca="false">SUM(F20:F39)</f>
        <v>1249008.19</v>
      </c>
      <c r="G40" s="149" t="n">
        <f aca="false">SUM(G20:G39)</f>
        <v>1096278.92</v>
      </c>
      <c r="H40" s="150" t="n">
        <f aca="false">G40/F40-1</f>
        <v>-0.122280439169899</v>
      </c>
      <c r="I40" s="149" t="n">
        <f aca="false">SUM(I20:I39)</f>
        <v>-152729.27</v>
      </c>
      <c r="J40" s="149" t="n">
        <f aca="false">SUM(J20:J39)</f>
        <v>1693060.6148375</v>
      </c>
      <c r="K40" s="150" t="n">
        <f aca="false">G40/J40-1</f>
        <v>-0.352486904253442</v>
      </c>
      <c r="L40" s="149" t="n">
        <f aca="false">SUM(L20:L39)</f>
        <v>-596781.6948375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6647574.001</v>
      </c>
      <c r="F41" s="152" t="n">
        <f aca="false">F40+F19</f>
        <v>5614790.30200001</v>
      </c>
      <c r="G41" s="152" t="n">
        <f aca="false">G40+G19</f>
        <v>5816526.78000001</v>
      </c>
      <c r="H41" s="153" t="n">
        <f aca="false">G41/F41-1</f>
        <v>0.0359294768191327</v>
      </c>
      <c r="I41" s="152" t="n">
        <f aca="false">I40+I19</f>
        <v>201736.478000001</v>
      </c>
      <c r="J41" s="152" t="n">
        <f aca="false">J40+J19</f>
        <v>7825825.82544955</v>
      </c>
      <c r="K41" s="153" t="n">
        <f aca="false">G41/J41-1</f>
        <v>-0.256752333909005</v>
      </c>
      <c r="L41" s="152" t="n">
        <f aca="false">L40+L19</f>
        <v>-2009299.04544954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0.352563596832083</v>
      </c>
      <c r="F42" s="155" t="n">
        <f aca="false">F40/F41</f>
        <v>0.222449659349718</v>
      </c>
      <c r="G42" s="155" t="n">
        <f aca="false">G40/G41</f>
        <v>0.188476553356468</v>
      </c>
      <c r="H42" s="156"/>
      <c r="I42" s="5"/>
      <c r="J42" s="76" t="n">
        <f aca="false">J40-ינואר!J40-פברואר!J40-מרץ!J40</f>
        <v>0</v>
      </c>
    </row>
    <row r="43" customFormat="false" ht="14.25" hidden="false" customHeight="true" outlineLevel="0" collapsed="false">
      <c r="E43" s="76" t="n">
        <f aca="false">E41-ינואר!E41-פברואר!E41-מרץ!E41</f>
        <v>0</v>
      </c>
      <c r="I43" s="5"/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G8" activeCellId="0" sqref="G8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195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n">
        <v>4.2024</v>
      </c>
      <c r="F2" s="133" t="n">
        <v>4.2025</v>
      </c>
      <c r="G2" s="133" t="n">
        <v>4.2026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VLOOKUP(A3,'2024'!$A:$O,5,0)</f>
        <v>263037.5</v>
      </c>
      <c r="F3" s="138" t="n">
        <f aca="false">VLOOKUP($A3,'2025'!$A:$O,5,0)</f>
        <v>336937.6</v>
      </c>
      <c r="G3" s="138" t="n">
        <v>124575.26</v>
      </c>
      <c r="H3" s="139" t="n">
        <f aca="false">G3/F3-1</f>
        <v>-0.630272014758816</v>
      </c>
      <c r="I3" s="140" t="n">
        <f aca="false">G3-F3</f>
        <v>-212362.34</v>
      </c>
      <c r="J3" s="141" t="n">
        <f aca="false">VLOOKUP(B3,'תקציב  '!$B:$S,7,0)*1</f>
        <v>173015.873015873</v>
      </c>
      <c r="K3" s="139" t="n">
        <f aca="false">G3/J3-1</f>
        <v>-0.279977855045871</v>
      </c>
      <c r="L3" s="142" t="n">
        <f aca="false">G3-J3</f>
        <v>-48440.613015873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VLOOKUP(B4,'2024'!$A:$O,5,0)</f>
        <v>473814.796</v>
      </c>
      <c r="F4" s="138" t="n">
        <f aca="false">VLOOKUP($A4,'2025'!$A:$O,5,0)</f>
        <v>549545.830000007</v>
      </c>
      <c r="G4" s="138" t="n">
        <v>429718.198</v>
      </c>
      <c r="H4" s="139" t="n">
        <f aca="false">G4/F4-1</f>
        <v>-0.218048478322555</v>
      </c>
      <c r="I4" s="140" t="n">
        <f aca="false">G4-F4</f>
        <v>-119827.632000007</v>
      </c>
      <c r="J4" s="141" t="n">
        <f aca="false">VLOOKUP(B4,'תקציב  '!$B:$S,7,0)*1</f>
        <v>475539.682539683</v>
      </c>
      <c r="K4" s="139" t="n">
        <f aca="false">G4/J4-1</f>
        <v>-0.0963568051670626</v>
      </c>
      <c r="L4" s="142" t="n">
        <f aca="false">G4-J4</f>
        <v>-45821.484539683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VLOOKUP(B5,'2024'!$A:$O,5,0)</f>
        <v>100846.291</v>
      </c>
      <c r="F5" s="138" t="n">
        <f aca="false">VLOOKUP($A5,'2025'!$A:$O,5,0)</f>
        <v>75168</v>
      </c>
      <c r="G5" s="138" t="n">
        <v>83501.964</v>
      </c>
      <c r="H5" s="139" t="n">
        <f aca="false">G5/F5-1</f>
        <v>0.110871168582376</v>
      </c>
      <c r="I5" s="140" t="n">
        <f aca="false">G5-F5</f>
        <v>8333.96400000001</v>
      </c>
      <c r="J5" s="141" t="n">
        <f aca="false">VLOOKUP(B5,'תקציב  '!$B:$S,7,0)*1</f>
        <v>60714.2857142857</v>
      </c>
      <c r="K5" s="139" t="n">
        <f aca="false">G5/J5-1</f>
        <v>0.375326465882353</v>
      </c>
      <c r="L5" s="142" t="n">
        <f aca="false">G5-J5</f>
        <v>22787.6782857143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VLOOKUP(B6,'2024'!$A:$O,5,0)</f>
        <v>132554.789</v>
      </c>
      <c r="F6" s="138" t="n">
        <f aca="false">VLOOKUP($A6,'2025'!$A:$O,5,0)</f>
        <v>173213.55</v>
      </c>
      <c r="G6" s="138" t="n">
        <v>125615.726</v>
      </c>
      <c r="H6" s="139" t="n">
        <f aca="false">G6/F6-1</f>
        <v>-0.27479272839798</v>
      </c>
      <c r="I6" s="140" t="n">
        <f aca="false">G6-F6</f>
        <v>-47597.824</v>
      </c>
      <c r="J6" s="141" t="n">
        <f aca="false">VLOOKUP(A6,'תקציב  '!$B:$S,7,0)*1</f>
        <v>134174.603174603</v>
      </c>
      <c r="K6" s="139" t="n">
        <f aca="false">G6/J6-1</f>
        <v>-0.0637890999645084</v>
      </c>
      <c r="L6" s="142" t="n">
        <f aca="false">G6-J6</f>
        <v>-8558.877174603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VLOOKUP(A7,'2024'!$A:$O,5,0)</f>
        <v>244648</v>
      </c>
      <c r="F7" s="138" t="n">
        <f aca="false">VLOOKUP($A7,'2025'!$A:$O,5,0)</f>
        <v>263457</v>
      </c>
      <c r="G7" s="138" t="n">
        <v>220778.2</v>
      </c>
      <c r="H7" s="139" t="n">
        <f aca="false">G7/F7-1</f>
        <v>-0.161995316123694</v>
      </c>
      <c r="I7" s="140" t="n">
        <f aca="false">G7-F7</f>
        <v>-42678.8</v>
      </c>
      <c r="J7" s="141" t="n">
        <f aca="false">VLOOKUP(B7,'תקציב  '!$B:$S,7,0)*1</f>
        <v>365000</v>
      </c>
      <c r="K7" s="139" t="n">
        <f aca="false">G7/J7-1</f>
        <v>-0.395128219178082</v>
      </c>
      <c r="L7" s="142" t="n">
        <f aca="false">G7-J7</f>
        <v>-144221.8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VLOOKUP(A8,'2024'!$A:$O,5,0)</f>
        <v>59971.53</v>
      </c>
      <c r="F8" s="138" t="n">
        <f aca="false">VLOOKUP($A8,'2025'!$A:$O,5,0)</f>
        <v>62433.13</v>
      </c>
      <c r="G8" s="138" t="n">
        <v>50971.08</v>
      </c>
      <c r="H8" s="139" t="n">
        <f aca="false">G8/F8-1</f>
        <v>-0.183589225784451</v>
      </c>
      <c r="I8" s="140" t="n">
        <f aca="false">G8-F8</f>
        <v>-11462.05</v>
      </c>
      <c r="J8" s="141" t="n">
        <f aca="false">VLOOKUP(B8,'תקציב  '!$B:$S,7,0)*1</f>
        <v>97460.3174603175</v>
      </c>
      <c r="K8" s="139" t="n">
        <f aca="false">G8/J8-1</f>
        <v>-0.477006833876222</v>
      </c>
      <c r="L8" s="142" t="n">
        <f aca="false">G8-J8</f>
        <v>-46489.2374603175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VLOOKUP(A9,'2024'!$A:$O,5,0)</f>
        <v>69580.43</v>
      </c>
      <c r="F9" s="138" t="n">
        <f aca="false">VLOOKUP($A9,'2025'!$A:$O,5,0)</f>
        <v>74555.12</v>
      </c>
      <c r="G9" s="138" t="n">
        <v>88526.04</v>
      </c>
      <c r="H9" s="139" t="n">
        <f aca="false">G9/F9-1</f>
        <v>0.187390483711917</v>
      </c>
      <c r="I9" s="140" t="n">
        <f aca="false">G9-F9</f>
        <v>13970.92</v>
      </c>
      <c r="J9" s="141" t="n">
        <f aca="false">VLOOKUP(B9,'תקציב  '!$B:$S,7,0)*1</f>
        <v>139567.46031746</v>
      </c>
      <c r="K9" s="139" t="n">
        <f aca="false">G9/J9-1</f>
        <v>-0.365711464558868</v>
      </c>
      <c r="L9" s="142" t="n">
        <f aca="false">G9-J9</f>
        <v>-51041.42031746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VLOOKUP(A10,'2024'!$A:$O,5,0)</f>
        <v>14571.76</v>
      </c>
      <c r="F10" s="138" t="n">
        <f aca="false">VLOOKUP($A10,'2025'!$A:$O,5,0)</f>
        <v>15201.7</v>
      </c>
      <c r="G10" s="138" t="n">
        <v>11923.54</v>
      </c>
      <c r="H10" s="139" t="n">
        <f aca="false">G10/F10-1</f>
        <v>-0.215644302939803</v>
      </c>
      <c r="I10" s="140" t="n">
        <f aca="false">G10-F10</f>
        <v>-3278.16</v>
      </c>
      <c r="J10" s="141" t="n">
        <f aca="false">VLOOKUP(B10,'תקציב  '!$B:$S,7,0)*1</f>
        <v>12817.4603174603</v>
      </c>
      <c r="K10" s="139" t="n">
        <f aca="false">G10/J10-1</f>
        <v>-0.0697423900928779</v>
      </c>
      <c r="L10" s="142" t="n">
        <f aca="false">G10-J10</f>
        <v>-893.920317460299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VLOOKUP(A11,'2024'!$A:$O,5,0)</f>
        <v>11309.68</v>
      </c>
      <c r="F11" s="138" t="n">
        <f aca="false">VLOOKUP($A11,'2025'!$A:$O,5,0)</f>
        <v>4054.42</v>
      </c>
      <c r="G11" s="138" t="n">
        <v>4956.22</v>
      </c>
      <c r="H11" s="139" t="n">
        <f aca="false">G11/F11-1</f>
        <v>0.222423922533926</v>
      </c>
      <c r="I11" s="140" t="n">
        <f aca="false">G11-F11</f>
        <v>901.8</v>
      </c>
      <c r="J11" s="141" t="n">
        <f aca="false">VLOOKUP(B11,'תקציב  '!$B:$S,7,0)*1</f>
        <v>6746.03174603175</v>
      </c>
      <c r="K11" s="139" t="n">
        <f aca="false">G11/J11-1</f>
        <v>-0.265313270588236</v>
      </c>
      <c r="L11" s="142" t="n">
        <f aca="false">G11-J11</f>
        <v>-1789.81174603175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VLOOKUP(A12,'2024'!$A:$O,5,0)</f>
        <v>850.4</v>
      </c>
      <c r="F12" s="138" t="n">
        <f aca="false">VLOOKUP($A12,'2025'!$A:$O,5,0)</f>
        <v>0</v>
      </c>
      <c r="G12" s="138"/>
      <c r="H12" s="139" t="str">
        <f aca="false">IFERROR(G12/F12-1,"-")</f>
        <v>-</v>
      </c>
      <c r="I12" s="140" t="n">
        <f aca="false">G12-F12</f>
        <v>0</v>
      </c>
      <c r="J12" s="141" t="n">
        <f aca="false">VLOOKUP(B12,'תקציב  '!$B:$S,7,0)*1</f>
        <v>0</v>
      </c>
      <c r="K12" s="139"/>
      <c r="L12" s="142" t="n">
        <f aca="false">G12-J12</f>
        <v>0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VLOOKUP(A13,'2024'!$A:$O,5,0)</f>
        <v>0</v>
      </c>
      <c r="F13" s="138" t="n">
        <f aca="false">VLOOKUP($A13,'2025'!$A:$O,5,0)</f>
        <v>0</v>
      </c>
      <c r="G13" s="138"/>
      <c r="H13" s="139" t="str">
        <f aca="false">IFERROR(G13/F13-1,"-")</f>
        <v>-</v>
      </c>
      <c r="I13" s="140" t="n">
        <f aca="false">G13-F13</f>
        <v>0</v>
      </c>
      <c r="J13" s="141" t="n">
        <f aca="false">VLOOKUP(B13,'תקציב  '!$B:$S,7,0)*1</f>
        <v>12500</v>
      </c>
      <c r="K13" s="139" t="n">
        <f aca="false">G13/J13-1</f>
        <v>-1</v>
      </c>
      <c r="L13" s="142" t="n">
        <f aca="false">G13-J13</f>
        <v>-12500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VLOOKUP(A14,'2024'!$A:$O,5,0)</f>
        <v>0</v>
      </c>
      <c r="F14" s="138" t="n">
        <f aca="false">VLOOKUP($A14,'2025'!$A:$O,5,0)</f>
        <v>0</v>
      </c>
      <c r="G14" s="138" t="n">
        <v>847.74</v>
      </c>
      <c r="H14" s="139" t="str">
        <f aca="false">IFERROR(G14/F14-1,"-")</f>
        <v>-</v>
      </c>
      <c r="I14" s="140" t="n">
        <f aca="false">G14-F14</f>
        <v>847.74</v>
      </c>
      <c r="J14" s="141" t="n">
        <f aca="false">VLOOKUP(B14,'תקציב  '!$B:$S,7,0)*1</f>
        <v>50000</v>
      </c>
      <c r="K14" s="139" t="n">
        <f aca="false">G14/J14-1</f>
        <v>-0.9830452</v>
      </c>
      <c r="L14" s="142" t="n">
        <f aca="false">G14-J14</f>
        <v>-49152.26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VLOOKUP(A15,'2024'!$A:$O,5,0)</f>
        <v>3314.43</v>
      </c>
      <c r="F15" s="138" t="n">
        <f aca="false">VLOOKUP($A15,'2025'!$A:$O,5,0)</f>
        <v>5898.37</v>
      </c>
      <c r="G15" s="138" t="n">
        <v>33906.96</v>
      </c>
      <c r="H15" s="139" t="n">
        <f aca="false">G15/F15-1</f>
        <v>4.74853052623013</v>
      </c>
      <c r="I15" s="140" t="n">
        <f aca="false">G15-F15</f>
        <v>28008.59</v>
      </c>
      <c r="J15" s="141" t="n">
        <f aca="false">VLOOKUP(B15,'תקציב  '!$B:$S,7,0)*1</f>
        <v>13492.0634920635</v>
      </c>
      <c r="K15" s="139" t="n">
        <f aca="false">G15/J15-1</f>
        <v>1.51310409411765</v>
      </c>
      <c r="L15" s="142" t="n">
        <f aca="false">G15-J15</f>
        <v>20414.8965079365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SUM(E3:E15)+E50</f>
        <v>1374499.606</v>
      </c>
      <c r="F16" s="144" t="n">
        <f aca="false">SUM(F3:F15)+F50</f>
        <v>1560464.72000001</v>
      </c>
      <c r="G16" s="144" t="n">
        <f aca="false">SUM(G3:G15)+G50</f>
        <v>1175320.928</v>
      </c>
      <c r="H16" s="145" t="n">
        <f aca="false">G16/F16-1</f>
        <v>-0.246813521038787</v>
      </c>
      <c r="I16" s="144" t="n">
        <f aca="false">SUM(I3:I15)+I50</f>
        <v>-385143.792000007</v>
      </c>
      <c r="J16" s="144" t="n">
        <f aca="false">SUM(J3:J15)+J50</f>
        <v>1541027.77777778</v>
      </c>
      <c r="K16" s="145" t="n">
        <f aca="false">G16/J16-1</f>
        <v>-0.237313600086522</v>
      </c>
      <c r="L16" s="144" t="n">
        <f aca="false">SUM(L3:L15)+L50</f>
        <v>-365706.849777778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VLOOKUP(A17,'2024'!$A:$O,5,0)</f>
        <v>43476.43</v>
      </c>
      <c r="F17" s="138" t="n">
        <f aca="false">VLOOKUP($A17,'2025'!$A:$O,5,0)</f>
        <v>96447.3100000002</v>
      </c>
      <c r="G17" s="138" t="n">
        <v>544858.410000022</v>
      </c>
      <c r="H17" s="139" t="n">
        <f aca="false">G17/F17-1</f>
        <v>4.64928570843522</v>
      </c>
      <c r="I17" s="140" t="n">
        <f aca="false">G17-F17</f>
        <v>448411.100000022</v>
      </c>
      <c r="J17" s="141" t="n">
        <f aca="false">VLOOKUP(B17,'תקציב  '!$B:$S,7,0)*1</f>
        <v>453601.694915254</v>
      </c>
      <c r="K17" s="139" t="n">
        <f aca="false">G17/J17-1</f>
        <v>0.201182482578284</v>
      </c>
      <c r="L17" s="142" t="n">
        <f aca="false">G17-J17</f>
        <v>91256.715084768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VLOOKUP(A18,'2024'!$A:$O,5,0)</f>
        <v>2046.43</v>
      </c>
      <c r="F18" s="138" t="n">
        <f aca="false">VLOOKUP($A18,'2025'!$A:$O,5,0)</f>
        <v>2606.4</v>
      </c>
      <c r="G18" s="138" t="n">
        <v>1302.94</v>
      </c>
      <c r="H18" s="139" t="n">
        <f aca="false">G18/F18-1</f>
        <v>-0.500099754450583</v>
      </c>
      <c r="I18" s="140" t="n">
        <f aca="false">G18-F18</f>
        <v>-1303.46</v>
      </c>
      <c r="J18" s="141" t="n">
        <f aca="false">VLOOKUP(B18,'תקציב  '!$B:$S,7,0)*1</f>
        <v>2536.92833333333</v>
      </c>
      <c r="K18" s="139" t="n">
        <f aca="false">G18/J18-1</f>
        <v>-0.486410403131871</v>
      </c>
      <c r="L18" s="142" t="n">
        <f aca="false">G18-J18</f>
        <v>-1233.98833333333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1420022.466</v>
      </c>
      <c r="F19" s="146" t="n">
        <f aca="false">F16+F17+F18</f>
        <v>1659518.43000001</v>
      </c>
      <c r="G19" s="146" t="n">
        <f aca="false">G16+G17+G18</f>
        <v>1721482.27800002</v>
      </c>
      <c r="H19" s="147" t="n">
        <f aca="false">G19/F19-1</f>
        <v>0.0373384512517974</v>
      </c>
      <c r="I19" s="146" t="n">
        <f aca="false">I16+I17+I18</f>
        <v>61963.848000015</v>
      </c>
      <c r="J19" s="146" t="n">
        <f aca="false">J16+J17+J18</f>
        <v>1997166.40102636</v>
      </c>
      <c r="K19" s="147" t="n">
        <f aca="false">G19/J19-1</f>
        <v>-0.138037633160996</v>
      </c>
      <c r="L19" s="146" t="n">
        <f aca="false">L16+L17+L18</f>
        <v>-275684.123026343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VLOOKUP(A20,'2024'!$A:$O,5,0)</f>
        <v>264520.55</v>
      </c>
      <c r="F20" s="138" t="n">
        <f aca="false">VLOOKUP($A20,'2025'!$A:$O,5,0)</f>
        <v>238431.78</v>
      </c>
      <c r="G20" s="158" t="n">
        <v>214988.69</v>
      </c>
      <c r="H20" s="139" t="n">
        <f aca="false">G20/F20-1</f>
        <v>-0.0983220022096047</v>
      </c>
      <c r="I20" s="140" t="n">
        <f aca="false">G20-F20</f>
        <v>-23443.09</v>
      </c>
      <c r="J20" s="141" t="n">
        <f aca="false">VLOOKUP(B20,'תקציב  '!$B:$S,7,0)*1</f>
        <v>367136.1903</v>
      </c>
      <c r="K20" s="139" t="n">
        <f aca="false">G20/J20-1</f>
        <v>-0.414417059172714</v>
      </c>
      <c r="L20" s="142" t="n">
        <f aca="false">G20-J20</f>
        <v>-152147.5003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VLOOKUP(A21,'2024'!$A:$O,5,0)</f>
        <v>184350.47</v>
      </c>
      <c r="F21" s="138" t="n">
        <f aca="false">VLOOKUP($A21,'2025'!$A:$O,5,0)</f>
        <v>217182.24</v>
      </c>
      <c r="G21" s="138"/>
      <c r="H21" s="139" t="n">
        <f aca="false">G21/F21-1</f>
        <v>-1</v>
      </c>
      <c r="I21" s="140" t="n">
        <f aca="false">G21-F21</f>
        <v>-217182.24</v>
      </c>
      <c r="J21" s="141" t="n">
        <f aca="false">VLOOKUP(B21,'תקציב  '!$B:$S,7,0)*1</f>
        <v>0</v>
      </c>
      <c r="K21" s="139" t="str">
        <f aca="false">IFERROR(G21/J21-1,"-")</f>
        <v>-</v>
      </c>
      <c r="L21" s="142" t="n">
        <f aca="false">G21-J21</f>
        <v>0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VLOOKUP(A22,'2024'!$A:$O,5,0)</f>
        <v>0</v>
      </c>
      <c r="F22" s="138" t="n">
        <f aca="false">VLOOKUP($A22,'2025'!$A:$O,5,0)</f>
        <v>0</v>
      </c>
      <c r="G22" s="158" t="n">
        <v>123835.02</v>
      </c>
      <c r="H22" s="139" t="str">
        <f aca="false">IFERROR(G22/F22-1,"-")</f>
        <v>-</v>
      </c>
      <c r="I22" s="140" t="n">
        <f aca="false">G22-F22</f>
        <v>123835.02</v>
      </c>
      <c r="J22" s="141" t="n">
        <f aca="false">VLOOKUP(B22,'תקציב  '!$B:$S,7,0)*1</f>
        <v>100000</v>
      </c>
      <c r="K22" s="139" t="n">
        <f aca="false">G22/J22-1</f>
        <v>0.2383502</v>
      </c>
      <c r="L22" s="142" t="n">
        <f aca="false">G22-J22</f>
        <v>23835.02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VLOOKUP(A23,'2024'!$A:$O,5,0)</f>
        <v>0</v>
      </c>
      <c r="F23" s="138" t="n">
        <f aca="false">VLOOKUP($A23,'2025'!$A:$O,5,0)</f>
        <v>88706.82</v>
      </c>
      <c r="G23" s="158" t="n">
        <v>92404.96</v>
      </c>
      <c r="H23" s="139" t="n">
        <f aca="false">G23/F23-1</f>
        <v>0.0416894664919789</v>
      </c>
      <c r="I23" s="140" t="n">
        <f aca="false">G23-F23</f>
        <v>3698.14</v>
      </c>
      <c r="J23" s="141" t="n">
        <f aca="false">VLOOKUP(B23,'תקציב  '!$B:$S,7,0)*1</f>
        <v>0</v>
      </c>
      <c r="K23" s="139" t="str">
        <f aca="false">IFERROR(G23/J23-1,"-")</f>
        <v>-</v>
      </c>
      <c r="L23" s="142" t="n">
        <f aca="false">G23-J23</f>
        <v>92404.96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VLOOKUP(A24,'2024'!$A:$O,5,0)</f>
        <v>17556.44</v>
      </c>
      <c r="F24" s="138" t="n">
        <f aca="false">VLOOKUP($A24,'2025'!$A:$O,5,0)</f>
        <v>11888.32</v>
      </c>
      <c r="G24" s="138"/>
      <c r="H24" s="139" t="n">
        <f aca="false">G24/F24-1</f>
        <v>-1</v>
      </c>
      <c r="I24" s="140" t="n">
        <f aca="false">G24-F24</f>
        <v>-11888.32</v>
      </c>
      <c r="J24" s="141" t="n">
        <f aca="false">VLOOKUP(B24,'תקציב  '!$B:$S,7,0)*1</f>
        <v>10000</v>
      </c>
      <c r="K24" s="139" t="n">
        <f aca="false">G24/J24-1</f>
        <v>-1</v>
      </c>
      <c r="L24" s="142" t="n">
        <f aca="false">G24-J24</f>
        <v>-10000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VLOOKUP(A25,'2024'!$A:$O,5,0)</f>
        <v>0</v>
      </c>
      <c r="F25" s="138" t="n">
        <f aca="false">VLOOKUP($A25,'2025'!$A:$O,5,0)</f>
        <v>0</v>
      </c>
      <c r="G25" s="138"/>
      <c r="H25" s="139" t="str">
        <f aca="false">IFERROR(G25/F25-1,"-")</f>
        <v>-</v>
      </c>
      <c r="I25" s="140" t="n">
        <f aca="false">G25-F25</f>
        <v>0</v>
      </c>
      <c r="J25" s="141" t="n">
        <f aca="false">VLOOKUP(B25,'תקציב  '!$B:$S,7,0)*1</f>
        <v>5000</v>
      </c>
      <c r="K25" s="139" t="n">
        <f aca="false">G25/J25-1</f>
        <v>-1</v>
      </c>
      <c r="L25" s="142" t="n">
        <f aca="false">G25-J25</f>
        <v>-5000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VLOOKUP(A26,'2024'!$A:$O,5,0)</f>
        <v>0</v>
      </c>
      <c r="F26" s="138" t="n">
        <f aca="false">VLOOKUP($A26,'2025'!$A:$O,5,0)</f>
        <v>0</v>
      </c>
      <c r="G26" s="158" t="n">
        <v>165356.86</v>
      </c>
      <c r="H26" s="139" t="str">
        <f aca="false">IFERROR(G26/F26-1,"-")</f>
        <v>-</v>
      </c>
      <c r="I26" s="140" t="n">
        <f aca="false">G26-F26</f>
        <v>165356.86</v>
      </c>
      <c r="J26" s="141" t="n">
        <f aca="false">VLOOKUP(B26,'תקציב  '!$B:$S,7,0)*1</f>
        <v>150000</v>
      </c>
      <c r="K26" s="139" t="n">
        <f aca="false">G26/J26-1</f>
        <v>0.102379066666667</v>
      </c>
      <c r="L26" s="142" t="n">
        <f aca="false">G26-J26</f>
        <v>15356.86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VLOOKUP(A27,'2024'!$A:$O,5,0)</f>
        <v>0</v>
      </c>
      <c r="F27" s="138" t="n">
        <f aca="false">VLOOKUP($A27,'2025'!$A:$O,5,0)</f>
        <v>35240.62</v>
      </c>
      <c r="G27" s="138"/>
      <c r="H27" s="139" t="n">
        <f aca="false">G27/F27-1</f>
        <v>-1</v>
      </c>
      <c r="I27" s="140" t="n">
        <f aca="false">G27-F27</f>
        <v>-35240.62</v>
      </c>
      <c r="J27" s="141" t="n">
        <f aca="false">VLOOKUP(B27,'תקציב  '!$B:$S,7,0)*1</f>
        <v>40000</v>
      </c>
      <c r="K27" s="139" t="n">
        <f aca="false">G27/J27-1</f>
        <v>-1</v>
      </c>
      <c r="L27" s="142" t="n">
        <f aca="false">G27-J27</f>
        <v>-40000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VLOOKUP(A28,'2024'!$A:$O,5,0)</f>
        <v>0</v>
      </c>
      <c r="F28" s="138" t="n">
        <f aca="false">VLOOKUP($A28,'2025'!$A:$O,5,0)</f>
        <v>0</v>
      </c>
      <c r="G28" s="138"/>
      <c r="H28" s="139" t="str">
        <f aca="false">IFERROR(G28/F28-1,"-")</f>
        <v>-</v>
      </c>
      <c r="I28" s="140" t="n">
        <f aca="false">G28-F28</f>
        <v>0</v>
      </c>
      <c r="J28" s="141" t="n">
        <f aca="false">VLOOKUP(B28,'תקציב  '!$B:$S,7,0)*1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VLOOKUP(A29,'2024'!$A:$O,5,0)</f>
        <v>27828.48</v>
      </c>
      <c r="F29" s="138" t="n">
        <f aca="false">VLOOKUP($A29,'2025'!$A:$O,5,0)</f>
        <v>38170.88</v>
      </c>
      <c r="G29" s="158" t="n">
        <v>60931.15</v>
      </c>
      <c r="H29" s="139" t="n">
        <f aca="false">G29/F29-1</f>
        <v>0.596273127577881</v>
      </c>
      <c r="I29" s="140" t="n">
        <f aca="false">G29-F29</f>
        <v>22760.27</v>
      </c>
      <c r="J29" s="141" t="n">
        <f aca="false">VLOOKUP(B29,'תקציב  '!$B:$S,7,0)*1</f>
        <v>39765.076</v>
      </c>
      <c r="K29" s="139" t="n">
        <f aca="false">G29/J29-1</f>
        <v>0.53227797175592</v>
      </c>
      <c r="L29" s="142" t="n">
        <f aca="false">G29-J29</f>
        <v>21166.074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VLOOKUP(A30,'2024'!$A:$O,5,0)</f>
        <v>49617.59</v>
      </c>
      <c r="F30" s="138" t="n">
        <f aca="false">VLOOKUP($A30,'2025'!$A:$O,5,0)</f>
        <v>0</v>
      </c>
      <c r="G30" s="138"/>
      <c r="H30" s="139" t="str">
        <f aca="false">IFERROR(G30/F30-1,"-")</f>
        <v>-</v>
      </c>
      <c r="I30" s="140" t="n">
        <f aca="false">G30-F30</f>
        <v>0</v>
      </c>
      <c r="J30" s="141" t="n">
        <f aca="false">VLOOKUP(B30,'תקציב  '!$B:$S,7,0)*1</f>
        <v>35000</v>
      </c>
      <c r="K30" s="139" t="n">
        <f aca="false">G30/J30-1</f>
        <v>-1</v>
      </c>
      <c r="L30" s="142" t="n">
        <f aca="false">G30-J30</f>
        <v>-35000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VLOOKUP(A31,'2024'!$A:$O,5,0)</f>
        <v>20354.79</v>
      </c>
      <c r="F31" s="138" t="n">
        <f aca="false">VLOOKUP($A31,'2025'!$A:$O,5,0)</f>
        <v>0</v>
      </c>
      <c r="G31" s="158" t="n">
        <v>17809.5</v>
      </c>
      <c r="H31" s="139" t="str">
        <f aca="false">IFERROR(G31/F31-1,"-")</f>
        <v>-</v>
      </c>
      <c r="I31" s="140" t="n">
        <f aca="false">G31-F31</f>
        <v>17809.5</v>
      </c>
      <c r="J31" s="141" t="n">
        <f aca="false">VLOOKUP(B31,'תקציב  '!$B:$S,7,0)*1</f>
        <v>0</v>
      </c>
      <c r="K31" s="139" t="str">
        <f aca="false">IFERROR(G31/J31-1,"-")</f>
        <v>-</v>
      </c>
      <c r="L31" s="142" t="n">
        <f aca="false">G31-J31</f>
        <v>17809.5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VLOOKUP(A32,'2024'!$A:$O,5,0)</f>
        <v>0</v>
      </c>
      <c r="F32" s="138" t="n">
        <f aca="false">VLOOKUP($A32,'2025'!$A:$O,5,0)</f>
        <v>0</v>
      </c>
      <c r="G32" s="138"/>
      <c r="H32" s="139" t="str">
        <f aca="false">IFERROR(G32/F32-1,"-")</f>
        <v>-</v>
      </c>
      <c r="I32" s="140" t="n">
        <f aca="false">G32-F32</f>
        <v>0</v>
      </c>
      <c r="J32" s="141" t="n">
        <f aca="false">VLOOKUP(B32,'תקציב  '!$B:$S,7,0)*1</f>
        <v>0</v>
      </c>
      <c r="K32" s="139" t="str">
        <f aca="false">IFERROR(G32/J32-1,"-")</f>
        <v>-</v>
      </c>
      <c r="L32" s="142" t="n">
        <f aca="false">G32-J32</f>
        <v>0</v>
      </c>
    </row>
    <row r="33" customFormat="false" ht="13.5" hidden="true" customHeight="true" outlineLevel="0" collapsed="false">
      <c r="B33" s="84"/>
      <c r="C33" s="65" t="s">
        <v>171</v>
      </c>
      <c r="D33" s="26" t="s">
        <v>172</v>
      </c>
      <c r="E33" s="138"/>
      <c r="F33" s="138"/>
      <c r="G33" s="138"/>
      <c r="H33" s="139" t="str">
        <f aca="false">IFERROR(G33/F33-1,"-")</f>
        <v>-</v>
      </c>
      <c r="I33" s="140" t="n">
        <f aca="false">G33-F33</f>
        <v>0</v>
      </c>
      <c r="J33" s="141"/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VLOOKUP(A34,'2024'!$A:$O,5,0)</f>
        <v>0</v>
      </c>
      <c r="F34" s="138" t="n">
        <f aca="false">VLOOKUP($A34,'2025'!$A:$O,5,0)</f>
        <v>0</v>
      </c>
      <c r="G34" s="138"/>
      <c r="H34" s="139" t="str">
        <f aca="false">IFERROR(G34/F34-1,"-")</f>
        <v>-</v>
      </c>
      <c r="I34" s="140" t="n">
        <f aca="false">G34-F34</f>
        <v>0</v>
      </c>
      <c r="J34" s="141" t="n">
        <f aca="false">VLOOKUP(B34,'תקציב  '!$B:$S,7,0)*1</f>
        <v>0</v>
      </c>
      <c r="K34" s="139" t="str">
        <f aca="false">IFERROR(G34/J34-1,"-")</f>
        <v>-</v>
      </c>
      <c r="L34" s="142" t="n">
        <f aca="false">G34-J34</f>
        <v>0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VLOOKUP(A35,'2024'!$A:$O,5,0)</f>
        <v>0</v>
      </c>
      <c r="F35" s="138" t="n">
        <f aca="false">VLOOKUP($A35,'2025'!$A:$O,5,0)</f>
        <v>0</v>
      </c>
      <c r="G35" s="138"/>
      <c r="H35" s="139" t="str">
        <f aca="false">IFERROR(G35/F35-1,"-")</f>
        <v>-</v>
      </c>
      <c r="I35" s="140" t="n">
        <f aca="false">G35-F35</f>
        <v>0</v>
      </c>
      <c r="J35" s="141" t="n">
        <f aca="false">VLOOKUP(B35,'תקציב  '!$B:$S,7,0)*1</f>
        <v>0</v>
      </c>
      <c r="K35" s="139" t="str">
        <f aca="false">IFERROR(G35/J35-1,"-")</f>
        <v>-</v>
      </c>
      <c r="L35" s="142" t="n">
        <f aca="false">G35-J35</f>
        <v>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VLOOKUP(A36,'2024'!$A:$O,5,0)</f>
        <v>41531.96</v>
      </c>
      <c r="F36" s="138" t="n">
        <f aca="false">VLOOKUP($A36,'2025'!$A:$O,5,0)</f>
        <v>0</v>
      </c>
      <c r="G36" s="138"/>
      <c r="H36" s="139" t="str">
        <f aca="false">IFERROR(G36/F36-1,"-")</f>
        <v>-</v>
      </c>
      <c r="I36" s="140" t="n">
        <f aca="false">G36-F36</f>
        <v>0</v>
      </c>
      <c r="J36" s="141"/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VLOOKUP(A37,'2024'!$A:$O,5,0)</f>
        <v>0</v>
      </c>
      <c r="F37" s="138" t="n">
        <f aca="false">VLOOKUP($A37,'2025'!$A:$O,5,0)</f>
        <v>0</v>
      </c>
      <c r="G37" s="138"/>
      <c r="H37" s="139" t="str">
        <f aca="false">IFERROR(G37/F37-1,"-")</f>
        <v>-</v>
      </c>
      <c r="I37" s="140" t="n">
        <f aca="false">G37-F37</f>
        <v>0</v>
      </c>
      <c r="J37" s="141"/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VLOOKUP(A38,'2024'!$A:$O,5,0)</f>
        <v>0</v>
      </c>
      <c r="F38" s="138" t="n">
        <f aca="false">VLOOKUP($A38,'2025'!$A:$O,5,0)</f>
        <v>0</v>
      </c>
      <c r="G38" s="138"/>
      <c r="H38" s="139" t="str">
        <f aca="false">IFERROR(G38/F38-1,"-")</f>
        <v>-</v>
      </c>
      <c r="I38" s="140" t="n">
        <f aca="false">G38-F38</f>
        <v>0</v>
      </c>
      <c r="J38" s="141" t="n">
        <f aca="false">VLOOKUP(B38,'תקציב  '!$B:$S,7,0)*1</f>
        <v>200000</v>
      </c>
      <c r="K38" s="139" t="n">
        <f aca="false">G38/J38-1</f>
        <v>-1</v>
      </c>
      <c r="L38" s="142" t="n">
        <f aca="false">G38-J38</f>
        <v>-200000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/>
      <c r="F39" s="138"/>
      <c r="G39" s="138"/>
      <c r="H39" s="139" t="str">
        <f aca="false">IFERROR(G39/F39-1,"-")</f>
        <v>-</v>
      </c>
      <c r="I39" s="140" t="n">
        <f aca="false">G39-F39</f>
        <v>0</v>
      </c>
      <c r="J39" s="141" t="n">
        <f aca="false">VLOOKUP(B39,'תקציב  '!$B:$S,7,0)*1</f>
        <v>0</v>
      </c>
      <c r="K39" s="139" t="str">
        <f aca="false">IFERROR(G39/J39-1,"-")</f>
        <v>-</v>
      </c>
      <c r="L39" s="142" t="n">
        <f aca="false">G39-J39</f>
        <v>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SUM(E20:E39)+E51+E52</f>
        <v>605760.28</v>
      </c>
      <c r="F40" s="149" t="n">
        <f aca="false">SUM(F20:F39)+F51+F52</f>
        <v>629620.66</v>
      </c>
      <c r="G40" s="149" t="n">
        <f aca="false">SUM(G20:G39)+G51+G52</f>
        <v>675326.18</v>
      </c>
      <c r="H40" s="150" t="n">
        <f aca="false">G40/F40-1</f>
        <v>0.0725921541392876</v>
      </c>
      <c r="I40" s="149" t="n">
        <f aca="false">SUM(I20:I39)+I51+I52</f>
        <v>45705.52</v>
      </c>
      <c r="J40" s="149" t="n">
        <f aca="false">SUM(J20:J39)+J51+J52</f>
        <v>946901.2663</v>
      </c>
      <c r="K40" s="150" t="n">
        <f aca="false">G40/J40-1</f>
        <v>-0.286804016390405</v>
      </c>
      <c r="L40" s="149" t="n">
        <f aca="false">SUM(L20:L39)+L51+L52</f>
        <v>-271575.0863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2025782.746</v>
      </c>
      <c r="F41" s="152" t="n">
        <f aca="false">F40+F19</f>
        <v>2289139.09000001</v>
      </c>
      <c r="G41" s="152" t="n">
        <f aca="false">G40+G19</f>
        <v>2396808.45800002</v>
      </c>
      <c r="H41" s="153" t="n">
        <f aca="false">G41/F41-1</f>
        <v>0.0470348737087942</v>
      </c>
      <c r="I41" s="152" t="n">
        <f aca="false">I40+I19</f>
        <v>107669.368000015</v>
      </c>
      <c r="J41" s="152" t="n">
        <f aca="false">J40+J19</f>
        <v>2944067.66732636</v>
      </c>
      <c r="K41" s="153" t="n">
        <f aca="false">G41/J41-1</f>
        <v>-0.185885404537367</v>
      </c>
      <c r="L41" s="152" t="n">
        <f aca="false">L40+L19</f>
        <v>-547259.209326343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0.299025293406265</v>
      </c>
      <c r="F42" s="155" t="n">
        <f aca="false">F40/F41</f>
        <v>0.275046921679188</v>
      </c>
      <c r="G42" s="155" t="n">
        <f aca="false">G40/G41</f>
        <v>0.281760596156906</v>
      </c>
      <c r="H42" s="156"/>
      <c r="I42" s="5"/>
      <c r="J42" s="76" t="n">
        <f aca="false">J41-'תקציב  '!H41*1</f>
        <v>0</v>
      </c>
    </row>
    <row r="43" customFormat="false" ht="14.25" hidden="false" customHeight="true" outlineLevel="0" collapsed="false">
      <c r="E43" s="157" t="n">
        <f aca="false">E41-'2024'!E38</f>
        <v>0</v>
      </c>
      <c r="I43" s="5"/>
    </row>
    <row r="50" customFormat="false" ht="14.25" hidden="false" customHeight="true" outlineLevel="0" collapsed="false">
      <c r="A50" s="85"/>
      <c r="B50" s="24" t="s">
        <v>176</v>
      </c>
      <c r="C50" s="24" t="s">
        <v>176</v>
      </c>
      <c r="D50" s="26" t="s">
        <v>32</v>
      </c>
      <c r="E50" s="138"/>
      <c r="F50" s="138"/>
      <c r="G50" s="138" t="n">
        <v>0</v>
      </c>
      <c r="H50" s="139" t="str">
        <f aca="false">IFERROR(G50/F50-1,"-")</f>
        <v>-</v>
      </c>
      <c r="I50" s="140" t="n">
        <f aca="false">G50-F50</f>
        <v>0</v>
      </c>
      <c r="J50" s="141"/>
      <c r="K50" s="139" t="str">
        <f aca="false">IFERROR(G50/J50-1,"-")</f>
        <v>-</v>
      </c>
      <c r="L50" s="142" t="n">
        <f aca="false">G50-J50</f>
        <v>0</v>
      </c>
    </row>
    <row r="51" customFormat="false" ht="14.25" hidden="false" customHeight="true" outlineLevel="0" collapsed="false">
      <c r="A51" s="85"/>
      <c r="B51" s="84" t="s">
        <v>177</v>
      </c>
      <c r="C51" s="65" t="s">
        <v>177</v>
      </c>
      <c r="D51" s="26" t="s">
        <v>178</v>
      </c>
      <c r="E51" s="138"/>
      <c r="F51" s="138"/>
      <c r="G51" s="158" t="n">
        <v>0</v>
      </c>
      <c r="H51" s="139" t="str">
        <f aca="false">IFERROR(G51/F51-1,"-")</f>
        <v>-</v>
      </c>
      <c r="I51" s="140" t="n">
        <f aca="false">G51-F51</f>
        <v>0</v>
      </c>
      <c r="J51" s="141"/>
      <c r="K51" s="139" t="str">
        <f aca="false">IFERROR(G51/J51-1,"-")</f>
        <v>-</v>
      </c>
      <c r="L51" s="142" t="n">
        <f aca="false">G51-J51</f>
        <v>0</v>
      </c>
    </row>
    <row r="52" customFormat="false" ht="14.25" hidden="false" customHeight="true" outlineLevel="0" collapsed="false">
      <c r="A52" s="85"/>
      <c r="B52" s="84" t="s">
        <v>179</v>
      </c>
      <c r="C52" s="65" t="s">
        <v>179</v>
      </c>
      <c r="D52" s="26" t="s">
        <v>179</v>
      </c>
      <c r="E52" s="138"/>
      <c r="F52" s="138"/>
      <c r="G52" s="158" t="n">
        <v>0</v>
      </c>
      <c r="H52" s="139" t="str">
        <f aca="false">IFERROR(G52/F52-1,"-")</f>
        <v>-</v>
      </c>
      <c r="I52" s="140" t="n">
        <f aca="false">G52-F52</f>
        <v>0</v>
      </c>
      <c r="J52" s="141"/>
      <c r="K52" s="139" t="str">
        <f aca="false">IFERROR(G52/J52-1,"-")</f>
        <v>-</v>
      </c>
      <c r="L52" s="142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I8" activePane="bottomRight" state="frozen"/>
      <selection pane="topLeft" activeCell="A1" activeCellId="0" sqref="A1"/>
      <selection pane="topRight" activeCell="I1" activeCellId="0" sqref="I1"/>
      <selection pane="bottomLeft" activeCell="A8" activeCellId="0" sqref="A8"/>
      <selection pane="bottomRight" activeCell="L23" activeCellId="0" sqref="L23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196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s">
        <v>197</v>
      </c>
      <c r="F2" s="133" t="s">
        <v>198</v>
      </c>
      <c r="G2" s="133" t="s">
        <v>199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ינואר!E3+פברואר!E3+מרץ!E3+אפריל!E3</f>
        <v>610026.16</v>
      </c>
      <c r="F3" s="138" t="n">
        <f aca="false">ינואר!F3+פברואר!F3+מרץ!F3+אפריל!F3</f>
        <v>695183.4</v>
      </c>
      <c r="G3" s="138" t="n">
        <f aca="false">ינואר!G3+פברואר!G3+מרץ!G3+אפריל!G3</f>
        <v>675311.6</v>
      </c>
      <c r="H3" s="139" t="n">
        <f aca="false">G3/F3-1</f>
        <v>-0.0285849748426099</v>
      </c>
      <c r="I3" s="140" t="n">
        <f aca="false">G3-F3</f>
        <v>-19871.8</v>
      </c>
      <c r="J3" s="138" t="n">
        <f aca="false">ינואר!J3+פברואר!J3+מרץ!J3+אפריל!J3</f>
        <v>711428.571428572</v>
      </c>
      <c r="K3" s="139" t="n">
        <f aca="false">G3/J3-1</f>
        <v>-0.0507668273092379</v>
      </c>
      <c r="L3" s="142" t="n">
        <f aca="false">G3-J3</f>
        <v>-36116.9714285721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ינואר!E4+פברואר!E4+מרץ!E4+אפריל!E4</f>
        <v>1790644.128</v>
      </c>
      <c r="F4" s="138" t="n">
        <f aca="false">ינואר!F4+פברואר!F4+מרץ!F4+אפריל!F4</f>
        <v>2065171.94790002</v>
      </c>
      <c r="G4" s="138" t="n">
        <f aca="false">ינואר!G4+פברואר!G4+מרץ!G4+אפריל!G4</f>
        <v>1741700.961</v>
      </c>
      <c r="H4" s="139" t="n">
        <f aca="false">G4/F4-1</f>
        <v>-0.156631503361713</v>
      </c>
      <c r="I4" s="140" t="n">
        <f aca="false">G4-F4</f>
        <v>-323470.986900017</v>
      </c>
      <c r="J4" s="138" t="n">
        <f aca="false">ינואר!J4+פברואר!J4+מרץ!J4+אפריל!J4</f>
        <v>2155571.42857143</v>
      </c>
      <c r="K4" s="139" t="n">
        <f aca="false">G4/J4-1</f>
        <v>-0.192000349459872</v>
      </c>
      <c r="L4" s="142" t="n">
        <f aca="false">G4-J4</f>
        <v>-413870.46757143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ינואר!E5+פברואר!E5+מרץ!E5+אפריל!E5</f>
        <v>345101.393</v>
      </c>
      <c r="F5" s="138" t="n">
        <f aca="false">ינואר!F5+פברואר!F5+מרץ!F5+אפריל!F5</f>
        <v>253877.44</v>
      </c>
      <c r="G5" s="138" t="n">
        <f aca="false">ינואר!G5+פברואר!G5+מרץ!G5+אפריל!G5</f>
        <v>279382.194</v>
      </c>
      <c r="H5" s="139" t="n">
        <f aca="false">G5/F5-1</f>
        <v>0.100460891680647</v>
      </c>
      <c r="I5" s="140" t="n">
        <f aca="false">G5-F5</f>
        <v>25504.754</v>
      </c>
      <c r="J5" s="138" t="n">
        <f aca="false">ינואר!J5+פברואר!J5+מרץ!J5+אפריל!J5</f>
        <v>289285.714285714</v>
      </c>
      <c r="K5" s="139" t="n">
        <f aca="false">G5/J5-1</f>
        <v>-0.0342343911111108</v>
      </c>
      <c r="L5" s="142" t="n">
        <f aca="false">G5-J5</f>
        <v>-9903.52028571419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ינואר!E6+פברואר!E6+מרץ!E6+אפריל!E6</f>
        <v>615895.936</v>
      </c>
      <c r="F6" s="138" t="n">
        <f aca="false">ינואר!F6+פברואר!F6+מרץ!F6+אפריל!F6</f>
        <v>595795.784100001</v>
      </c>
      <c r="G6" s="138" t="n">
        <f aca="false">ינואר!G6+פברואר!G6+מרץ!G6+אפריל!G6</f>
        <v>581184.313</v>
      </c>
      <c r="H6" s="139" t="n">
        <f aca="false">G6/F6-1</f>
        <v>-0.0245242942127775</v>
      </c>
      <c r="I6" s="140" t="n">
        <f aca="false">G6-F6</f>
        <v>-14611.4711000009</v>
      </c>
      <c r="J6" s="138" t="n">
        <f aca="false">ינואר!J6+פברואר!J6+מרץ!J6+אפריל!J6</f>
        <v>616714.285714285</v>
      </c>
      <c r="K6" s="139" t="n">
        <f aca="false">G6/J6-1</f>
        <v>-0.0576117231873974</v>
      </c>
      <c r="L6" s="142" t="n">
        <f aca="false">G6-J6</f>
        <v>-35529.9727142849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ינואר!E7+פברואר!E7+מרץ!E7+אפריל!E7</f>
        <v>1434417.5</v>
      </c>
      <c r="F7" s="138" t="n">
        <f aca="false">ינואר!F7+פברואר!F7+מרץ!F7+אפריל!F7</f>
        <v>1337841</v>
      </c>
      <c r="G7" s="138" t="n">
        <f aca="false">ינואר!G7+פברואר!G7+מרץ!G7+אפריל!G7</f>
        <v>1084192.3</v>
      </c>
      <c r="H7" s="139" t="n">
        <f aca="false">G7/F7-1</f>
        <v>-0.189595549844862</v>
      </c>
      <c r="I7" s="140" t="n">
        <f aca="false">G7-F7</f>
        <v>-253648.7</v>
      </c>
      <c r="J7" s="138" t="n">
        <f aca="false">ינואר!J7+פברואר!J7+מרץ!J7+אפריל!J7</f>
        <v>1460000</v>
      </c>
      <c r="K7" s="139" t="n">
        <f aca="false">G7/J7-1</f>
        <v>-0.257402534246575</v>
      </c>
      <c r="L7" s="142" t="n">
        <f aca="false">G7-J7</f>
        <v>-375807.7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ינואר!E8+פברואר!E8+מרץ!E8+אפריל!E8</f>
        <v>303706.9</v>
      </c>
      <c r="F8" s="138" t="n">
        <f aca="false">ינואר!F8+פברואר!F8+מרץ!F8+אפריל!F8</f>
        <v>276916.21</v>
      </c>
      <c r="G8" s="138" t="n">
        <f aca="false">ינואר!G8+פברואר!G8+מרץ!G8+אפריל!G8</f>
        <v>226000.54</v>
      </c>
      <c r="H8" s="139" t="n">
        <f aca="false">G8/F8-1</f>
        <v>-0.183866701050112</v>
      </c>
      <c r="I8" s="140" t="n">
        <f aca="false">G8-F8</f>
        <v>-50915.67</v>
      </c>
      <c r="J8" s="138" t="n">
        <f aca="false">ינואר!J8+פברואר!J8+מרץ!J8+אפריל!J8</f>
        <v>401428.571428571</v>
      </c>
      <c r="K8" s="139" t="n">
        <f aca="false">G8/J8-1</f>
        <v>-0.437009330960853</v>
      </c>
      <c r="L8" s="142" t="n">
        <f aca="false">G8-J8</f>
        <v>-175428.031428571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ינואר!E9+פברואר!E9+מרץ!E9+אפריל!E9</f>
        <v>334547.69</v>
      </c>
      <c r="F9" s="138" t="n">
        <f aca="false">ינואר!F9+פברואר!F9+מרץ!F9+אפריל!F9</f>
        <v>259098.35</v>
      </c>
      <c r="G9" s="138" t="n">
        <f aca="false">ינואר!G9+פברואר!G9+מרץ!G9+אפריל!G9</f>
        <v>305377.44</v>
      </c>
      <c r="H9" s="139" t="n">
        <f aca="false">G9/F9-1</f>
        <v>0.178615919398946</v>
      </c>
      <c r="I9" s="140" t="n">
        <f aca="false">G9-F9</f>
        <v>46279.09</v>
      </c>
      <c r="J9" s="138" t="n">
        <f aca="false">ינואר!J9+פברואר!J9+מרץ!J9+אפריל!J9</f>
        <v>582821.428571428</v>
      </c>
      <c r="K9" s="139" t="n">
        <f aca="false">G9/J9-1</f>
        <v>-0.476036012010539</v>
      </c>
      <c r="L9" s="142" t="n">
        <f aca="false">G9-J9</f>
        <v>-277443.988571428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ינואר!E10+פברואר!E10+מרץ!E10+אפריל!E10</f>
        <v>63110.43</v>
      </c>
      <c r="F10" s="138" t="n">
        <f aca="false">ינואר!F10+פברואר!F10+מרץ!F10+אפריל!F10</f>
        <v>70495.11</v>
      </c>
      <c r="G10" s="138" t="n">
        <f aca="false">ינואר!G10+פברואר!G10+מרץ!G10+אפריל!G10</f>
        <v>48130.53</v>
      </c>
      <c r="H10" s="139" t="n">
        <f aca="false">G10/F10-1</f>
        <v>-0.317250090112633</v>
      </c>
      <c r="I10" s="140" t="n">
        <f aca="false">G10-F10</f>
        <v>-22364.58</v>
      </c>
      <c r="J10" s="138" t="n">
        <f aca="false">ינואר!J10+פברואר!J10+מרץ!J10+אפריל!J10</f>
        <v>61071.4285714285</v>
      </c>
      <c r="K10" s="139" t="n">
        <f aca="false">G10/J10-1</f>
        <v>-0.211897754385964</v>
      </c>
      <c r="L10" s="142" t="n">
        <f aca="false">G10-J10</f>
        <v>-12940.8985714285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ינואר!E11+פברואר!E11+מרץ!E11+אפריל!E11</f>
        <v>20550.44</v>
      </c>
      <c r="F11" s="138" t="n">
        <f aca="false">ינואר!F11+פברואר!F11+מרץ!F11+אפריל!F11</f>
        <v>25478.24</v>
      </c>
      <c r="G11" s="138" t="n">
        <f aca="false">ינואר!G11+פברואר!G11+מרץ!G11+אפריל!G11</f>
        <v>17366.14</v>
      </c>
      <c r="H11" s="139" t="n">
        <f aca="false">G11/F11-1</f>
        <v>-0.318393264212913</v>
      </c>
      <c r="I11" s="140" t="n">
        <f aca="false">G11-F11</f>
        <v>-8112.1</v>
      </c>
      <c r="J11" s="138" t="n">
        <f aca="false">ינואר!J11+פברואר!J11+מרץ!J11+אפריל!J11</f>
        <v>30142.8571428572</v>
      </c>
      <c r="K11" s="139" t="n">
        <f aca="false">G11/J11-1</f>
        <v>-0.423872132701422</v>
      </c>
      <c r="L11" s="142" t="n">
        <f aca="false">G11-J11</f>
        <v>-12776.7171428571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ינואר!E12+פברואר!E12+מרץ!E12+אפריל!E12</f>
        <v>850.4</v>
      </c>
      <c r="F12" s="138" t="n">
        <f aca="false">ינואר!F12+פברואר!F12+מרץ!F12+אפריל!F12</f>
        <v>1732.3</v>
      </c>
      <c r="G12" s="138" t="n">
        <f aca="false">ינואר!G12+פברואר!G12+מרץ!G12+אפריל!G12</f>
        <v>1917.16</v>
      </c>
      <c r="H12" s="139" t="n">
        <f aca="false">G12/F12-1</f>
        <v>0.106713617733649</v>
      </c>
      <c r="I12" s="140" t="n">
        <f aca="false">G12-F12</f>
        <v>184.86</v>
      </c>
      <c r="J12" s="138" t="n">
        <f aca="false">ינואר!J12+פברואר!J12+מרץ!J12+אפריל!J12</f>
        <v>0</v>
      </c>
      <c r="K12" s="139"/>
      <c r="L12" s="142" t="n">
        <f aca="false">G12-J12</f>
        <v>1917.16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ינואר!E13+פברואר!E13+מרץ!E13+אפריל!E13</f>
        <v>0</v>
      </c>
      <c r="F13" s="138" t="n">
        <f aca="false">ינואר!F13+פברואר!F13+מרץ!F13+אפריל!F13</f>
        <v>0</v>
      </c>
      <c r="G13" s="138" t="n">
        <f aca="false">ינואר!G13+פברואר!G13+מרץ!G13+אפריל!G13</f>
        <v>0</v>
      </c>
      <c r="H13" s="139" t="str">
        <f aca="false">IFERROR(G13/F13-1,"-")</f>
        <v>-</v>
      </c>
      <c r="I13" s="140" t="n">
        <f aca="false">G13-F13</f>
        <v>0</v>
      </c>
      <c r="J13" s="138" t="n">
        <f aca="false">ינואר!J13+פברואר!J13+מרץ!J13+אפריל!J13</f>
        <v>12500</v>
      </c>
      <c r="K13" s="139" t="n">
        <f aca="false">G13/J13-1</f>
        <v>-1</v>
      </c>
      <c r="L13" s="142" t="n">
        <f aca="false">G13-J13</f>
        <v>-12500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ינואר!E14+פברואר!E14+מרץ!E14+אפריל!E14</f>
        <v>1275.21</v>
      </c>
      <c r="F14" s="138" t="n">
        <f aca="false">ינואר!F14+פברואר!F14+מרץ!F14+אפריל!F14</f>
        <v>11067.51</v>
      </c>
      <c r="G14" s="138" t="n">
        <f aca="false">ינואר!G14+פברואר!G14+מרץ!G14+אפריל!G14</f>
        <v>4318.72</v>
      </c>
      <c r="H14" s="139" t="n">
        <f aca="false">G14/F14-1</f>
        <v>-0.609783953210795</v>
      </c>
      <c r="I14" s="140" t="n">
        <f aca="false">G14-F14</f>
        <v>-6748.79</v>
      </c>
      <c r="J14" s="138" t="n">
        <f aca="false">ינואר!J14+פברואר!J14+מרץ!J14+אפריל!J14</f>
        <v>50000</v>
      </c>
      <c r="K14" s="139" t="n">
        <f aca="false">G14/J14-1</f>
        <v>-0.9136256</v>
      </c>
      <c r="L14" s="142" t="n">
        <f aca="false">G14-J14</f>
        <v>-45681.28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ינואר!E15+פברואר!E15+מרץ!E15+אפריל!E15</f>
        <v>23494.41</v>
      </c>
      <c r="F15" s="138" t="n">
        <f aca="false">ינואר!F15+פברואר!F15+מרץ!F15+אפריל!F15</f>
        <v>35752.27</v>
      </c>
      <c r="G15" s="138" t="n">
        <f aca="false">ינואר!G15+פברואר!G15+מרץ!G15+אפריל!G15</f>
        <v>67317.47</v>
      </c>
      <c r="H15" s="139" t="n">
        <f aca="false">G15/F15-1</f>
        <v>0.882886597130755</v>
      </c>
      <c r="I15" s="140" t="n">
        <f aca="false">G15-F15</f>
        <v>31565.2</v>
      </c>
      <c r="J15" s="138" t="n">
        <f aca="false">ינואר!J15+פברואר!J15+מרץ!J15+אפריל!J15</f>
        <v>64285.7142857144</v>
      </c>
      <c r="K15" s="139" t="n">
        <f aca="false">G15/J15-1</f>
        <v>0.0471606444444426</v>
      </c>
      <c r="L15" s="142" t="n">
        <f aca="false">G15-J15</f>
        <v>3031.7557142856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</f>
        <v>5543620.597</v>
      </c>
      <c r="F16" s="144" t="n">
        <f aca="false">SUM(F3:F15)</f>
        <v>5628409.56200002</v>
      </c>
      <c r="G16" s="144" t="n">
        <f aca="false">SUM(G3:G15)</f>
        <v>5032199.368</v>
      </c>
      <c r="H16" s="145" t="n">
        <f aca="false">G16/F16-1</f>
        <v>-0.105928715284919</v>
      </c>
      <c r="I16" s="144" t="n">
        <f aca="false">SUM(I3:I15)</f>
        <v>-596210.194000018</v>
      </c>
      <c r="J16" s="144" t="n">
        <f aca="false">SUM(J3:J15)</f>
        <v>6435250</v>
      </c>
      <c r="K16" s="145" t="n">
        <f aca="false">G16/J16-1</f>
        <v>-0.218025815935667</v>
      </c>
      <c r="L16" s="144" t="n">
        <f aca="false">SUM(L3:L15)</f>
        <v>-1403050.632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ינואר!E17+פברואר!E17+מרץ!E17+אפריל!E17</f>
        <v>171892.78</v>
      </c>
      <c r="F17" s="138" t="n">
        <f aca="false">ינואר!F17+פברואר!F17+מרץ!F17+אפריל!F17</f>
        <v>385485.9</v>
      </c>
      <c r="G17" s="138" t="n">
        <f aca="false">ינואר!G17+פברואר!G17+מרץ!G17+אפריל!G17</f>
        <v>1403140.80000003</v>
      </c>
      <c r="H17" s="139" t="n">
        <f aca="false">G17/F17-1</f>
        <v>2.6399276860711</v>
      </c>
      <c r="I17" s="140" t="n">
        <f aca="false">G17-F17</f>
        <v>1017654.90000003</v>
      </c>
      <c r="J17" s="138" t="n">
        <f aca="false">ינואר!J17+פברואר!J17+מרץ!J17+אפריל!J17</f>
        <v>1684533.89830508</v>
      </c>
      <c r="K17" s="139" t="n">
        <f aca="false">G17/J17-1</f>
        <v>-0.167045079109526</v>
      </c>
      <c r="L17" s="142" t="n">
        <f aca="false">G17-J17</f>
        <v>-281393.098305051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ינואר!E18+פברואר!E18+מרץ!E18+אפריל!E18</f>
        <v>8390.49</v>
      </c>
      <c r="F18" s="138" t="n">
        <f aca="false">ינואר!F18+פברואר!F18+מרץ!F18+אפריל!F18</f>
        <v>11405.08</v>
      </c>
      <c r="G18" s="138" t="n">
        <f aca="false">ינואר!G18+פברואר!G18+מרץ!G18+אפריל!G18</f>
        <v>6389.97</v>
      </c>
      <c r="H18" s="139" t="n">
        <f aca="false">G18/F18-1</f>
        <v>-0.439725981755498</v>
      </c>
      <c r="I18" s="140" t="n">
        <f aca="false">G18-F18</f>
        <v>-5015.11</v>
      </c>
      <c r="J18" s="138" t="n">
        <f aca="false">ינואר!J18+פברואר!J18+מרץ!J18+אפריל!J18</f>
        <v>10147.7133333333</v>
      </c>
      <c r="K18" s="139" t="n">
        <f aca="false">G18/J18-1</f>
        <v>-0.370304442971388</v>
      </c>
      <c r="L18" s="142" t="n">
        <f aca="false">G18-J18</f>
        <v>-3757.74333333332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5723903.867</v>
      </c>
      <c r="F19" s="146" t="n">
        <f aca="false">F16+F17+F18</f>
        <v>6025300.54200002</v>
      </c>
      <c r="G19" s="146" t="n">
        <f aca="false">G16+G17+G18</f>
        <v>6441730.13800003</v>
      </c>
      <c r="H19" s="147" t="n">
        <f aca="false">G19/F19-1</f>
        <v>0.0691134978408541</v>
      </c>
      <c r="I19" s="146" t="n">
        <f aca="false">I16+I17+I18</f>
        <v>416429.596000016</v>
      </c>
      <c r="J19" s="146" t="n">
        <f aca="false">J16+J17+J18</f>
        <v>8129931.61163842</v>
      </c>
      <c r="K19" s="147" t="n">
        <f aca="false">G19/J19-1</f>
        <v>-0.207652604509199</v>
      </c>
      <c r="L19" s="146" t="n">
        <f aca="false">L16+L17+L18</f>
        <v>-1688201.47363838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ינואר!E20+פברואר!E20+מרץ!E20+אפריל!E20</f>
        <v>1368359.15</v>
      </c>
      <c r="F20" s="138" t="n">
        <f aca="false">ינואר!F20+פברואר!F20+מרץ!F20+אפריל!F20</f>
        <v>854114.09</v>
      </c>
      <c r="G20" s="138" t="n">
        <f aca="false">ינואר!G20+פברואר!G20+מרץ!G20+אפריל!G20</f>
        <v>801164.24</v>
      </c>
      <c r="H20" s="139" t="n">
        <f aca="false">G20/F20-1</f>
        <v>-0.0619938842128223</v>
      </c>
      <c r="I20" s="140" t="n">
        <f aca="false">G20-F20</f>
        <v>-52949.8500000001</v>
      </c>
      <c r="J20" s="138" t="n">
        <f aca="false">ינואר!J20+פברואר!J20+מרץ!J20+אפריל!J20</f>
        <v>1284545.6691375</v>
      </c>
      <c r="K20" s="139" t="n">
        <f aca="false">G20/J20-1</f>
        <v>-0.376305366754351</v>
      </c>
      <c r="L20" s="142" t="n">
        <f aca="false">G20-J20</f>
        <v>-483381.4291375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ינואר!E21+פברואר!E21+מרץ!E21+אפריל!E21</f>
        <v>440395.64</v>
      </c>
      <c r="F21" s="138" t="n">
        <f aca="false">ינואר!F21+פברואר!F21+מרץ!F21+אפריל!F21</f>
        <v>430264.8</v>
      </c>
      <c r="G21" s="138" t="n">
        <f aca="false">ינואר!G21+פברואר!G21+מרץ!G21+אפריל!G21</f>
        <v>137198.2</v>
      </c>
      <c r="H21" s="139" t="n">
        <f aca="false">G21/F21-1</f>
        <v>-0.681130782717991</v>
      </c>
      <c r="I21" s="140" t="n">
        <f aca="false">G21-F21</f>
        <v>-293066.6</v>
      </c>
      <c r="J21" s="138" t="n">
        <f aca="false">ינואר!J21+פברואר!J21+מרץ!J21+אפריל!J21</f>
        <v>235200</v>
      </c>
      <c r="K21" s="139" t="n">
        <f aca="false">G21/J21-1</f>
        <v>-0.416674319727891</v>
      </c>
      <c r="L21" s="142" t="n">
        <f aca="false">G21-J21</f>
        <v>-98001.8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ינואר!E22+פברואר!E22+מרץ!E22+אפריל!E22</f>
        <v>134605.5</v>
      </c>
      <c r="F22" s="138" t="n">
        <f aca="false">ינואר!F22+פברואר!F22+מרץ!F22+אפריל!F22</f>
        <v>80573.03</v>
      </c>
      <c r="G22" s="138" t="n">
        <f aca="false">ינואר!G22+פברואר!G22+מרץ!G22+אפריל!G22</f>
        <v>272984.45</v>
      </c>
      <c r="H22" s="139" t="n">
        <f aca="false">G22/F22-1</f>
        <v>2.38803753563693</v>
      </c>
      <c r="I22" s="140" t="n">
        <f aca="false">G22-F22</f>
        <v>192411.42</v>
      </c>
      <c r="J22" s="138" t="n">
        <f aca="false">ינואר!J22+פברואר!J22+מרץ!J22+אפריל!J22</f>
        <v>251610.27</v>
      </c>
      <c r="K22" s="139" t="n">
        <f aca="false">G22/J22-1</f>
        <v>0.0849495531323106</v>
      </c>
      <c r="L22" s="142" t="n">
        <f aca="false">G22-J22</f>
        <v>21374.18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ינואר!E23+פברואר!E23+מרץ!E23+אפריל!E23</f>
        <v>153212.06</v>
      </c>
      <c r="F23" s="138" t="n">
        <f aca="false">ינואר!F23+פברואר!F23+מרץ!F23+אפריל!F23</f>
        <v>174270.07</v>
      </c>
      <c r="G23" s="138" t="n">
        <f aca="false">ינואר!G23+פברואר!G23+מרץ!G23+אפריל!G23</f>
        <v>159563.93</v>
      </c>
      <c r="H23" s="139" t="n">
        <f aca="false">G23/F23-1</f>
        <v>-0.0843870665800502</v>
      </c>
      <c r="I23" s="140" t="n">
        <f aca="false">G23-F23</f>
        <v>-14706.14</v>
      </c>
      <c r="J23" s="138" t="n">
        <f aca="false">ינואר!J23+פברואר!J23+מרץ!J23+אפריל!J23</f>
        <v>162158.97</v>
      </c>
      <c r="K23" s="139" t="n">
        <f aca="false">G23/J23-1</f>
        <v>-0.016003061686936</v>
      </c>
      <c r="L23" s="142" t="n">
        <f aca="false">G23-J23</f>
        <v>-2595.04000000001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ינואר!E24+פברואר!E24+מרץ!E24+אפריל!E24</f>
        <v>49857.25</v>
      </c>
      <c r="F24" s="138" t="n">
        <f aca="false">ינואר!F24+פברואר!F24+מרץ!F24+אפריל!F24</f>
        <v>41888.1</v>
      </c>
      <c r="G24" s="138" t="n">
        <f aca="false">ינואר!G24+פברואר!G24+מרץ!G24+אפריל!G24</f>
        <v>44796.11</v>
      </c>
      <c r="H24" s="139" t="n">
        <f aca="false">G24/F24-1</f>
        <v>0.0694232968313198</v>
      </c>
      <c r="I24" s="140" t="n">
        <f aca="false">G24-F24</f>
        <v>2908.01</v>
      </c>
      <c r="J24" s="138" t="n">
        <f aca="false">ינואר!J24+פברואר!J24+מרץ!J24+אפריל!J24</f>
        <v>42774.92</v>
      </c>
      <c r="K24" s="139" t="n">
        <f aca="false">G24/J24-1</f>
        <v>0.0472517540652326</v>
      </c>
      <c r="L24" s="142" t="n">
        <f aca="false">G24-J24</f>
        <v>2021.19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ינואר!E25+פברואר!E25+מרץ!E25+אפריל!E25</f>
        <v>50777.76</v>
      </c>
      <c r="F25" s="138" t="n">
        <f aca="false">ינואר!F25+פברואר!F25+מרץ!F25+אפריל!F25</f>
        <v>42132.93</v>
      </c>
      <c r="G25" s="138" t="n">
        <f aca="false">ינואר!G25+פברואר!G25+מרץ!G25+אפריל!G25</f>
        <v>0</v>
      </c>
      <c r="H25" s="139" t="n">
        <f aca="false">G25/F25-1</f>
        <v>-1</v>
      </c>
      <c r="I25" s="140" t="n">
        <f aca="false">G25-F25</f>
        <v>-42132.93</v>
      </c>
      <c r="J25" s="138" t="n">
        <f aca="false">ינואר!J25+פברואר!J25+מרץ!J25+אפריל!J25</f>
        <v>10000</v>
      </c>
      <c r="K25" s="139" t="n">
        <f aca="false">G25/J25-1</f>
        <v>-1</v>
      </c>
      <c r="L25" s="142" t="n">
        <f aca="false">G25-J25</f>
        <v>-10000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ינואר!E26+פברואר!E26+מרץ!E26+אפריל!E26</f>
        <v>249206.12</v>
      </c>
      <c r="F26" s="138" t="n">
        <f aca="false">ינואר!F26+פברואר!F26+מרץ!F26+אפריל!F26</f>
        <v>0</v>
      </c>
      <c r="G26" s="138" t="n">
        <f aca="false">ינואר!G26+פברואר!G26+מרץ!G26+אפריל!G26</f>
        <v>164087.8</v>
      </c>
      <c r="H26" s="139" t="str">
        <f aca="false">IFERROR(G26/F26-1,"-")</f>
        <v>-</v>
      </c>
      <c r="I26" s="140" t="n">
        <f aca="false">G26-F26</f>
        <v>164087.8</v>
      </c>
      <c r="J26" s="138" t="n">
        <f aca="false">ינואר!J26+פברואר!J26+מרץ!J26+אפריל!J26</f>
        <v>150000</v>
      </c>
      <c r="K26" s="139" t="n">
        <f aca="false">G26/J26-1</f>
        <v>0.0939186666666665</v>
      </c>
      <c r="L26" s="142" t="n">
        <f aca="false">G26-J26</f>
        <v>14087.8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ינואר!E27+פברואר!E27+מרץ!E27+אפריל!E27</f>
        <v>62495.48</v>
      </c>
      <c r="F27" s="138" t="n">
        <f aca="false">ינואר!F27+פברואר!F27+מרץ!F27+אפריל!F27</f>
        <v>35240.62</v>
      </c>
      <c r="G27" s="138" t="n">
        <f aca="false">ינואר!G27+פברואר!G27+מרץ!G27+אפריל!G27</f>
        <v>42152.31</v>
      </c>
      <c r="H27" s="139" t="n">
        <f aca="false">G27/F27-1</f>
        <v>0.196128501711945</v>
      </c>
      <c r="I27" s="140" t="n">
        <f aca="false">G27-F27</f>
        <v>6911.69</v>
      </c>
      <c r="J27" s="138" t="n">
        <f aca="false">ינואר!J27+פברואר!J27+מרץ!J27+אפריל!J27</f>
        <v>80000</v>
      </c>
      <c r="K27" s="139" t="n">
        <f aca="false">G27/J27-1</f>
        <v>-0.473096125</v>
      </c>
      <c r="L27" s="142" t="n">
        <f aca="false">G27-J27</f>
        <v>-37847.69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ינואר!E28+פברואר!E28+מרץ!E28+אפריל!E28</f>
        <v>171813.81</v>
      </c>
      <c r="F28" s="138" t="n">
        <f aca="false">ינואר!F28+פברואר!F28+מרץ!F28+אפריל!F28</f>
        <v>0.22</v>
      </c>
      <c r="G28" s="138" t="n">
        <f aca="false">ינואר!G28+פברואר!G28+מרץ!G28+אפריל!G28</f>
        <v>0</v>
      </c>
      <c r="H28" s="139" t="n">
        <f aca="false">G28/F28-1</f>
        <v>-1</v>
      </c>
      <c r="I28" s="140" t="n">
        <f aca="false">G28-F28</f>
        <v>-0.22</v>
      </c>
      <c r="J28" s="138" t="n">
        <f aca="false">ינואר!J28+פברואר!J28+מרץ!J28+אפריל!J28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ינואר!E29+פברואר!E29+מרץ!E29+אפריל!E29</f>
        <v>103249.77</v>
      </c>
      <c r="F29" s="138" t="n">
        <f aca="false">ינואר!F29+פברואר!F29+מרץ!F29+אפריל!F29</f>
        <v>131517.05</v>
      </c>
      <c r="G29" s="138" t="n">
        <f aca="false">ינואר!G29+פברואר!G29+מרץ!G29+אפריל!G29</f>
        <v>113055.9</v>
      </c>
      <c r="H29" s="139" t="n">
        <f aca="false">G29/F29-1</f>
        <v>-0.140370773219138</v>
      </c>
      <c r="I29" s="140" t="n">
        <f aca="false">G29-F29</f>
        <v>-18461.15</v>
      </c>
      <c r="J29" s="138" t="n">
        <f aca="false">ינואר!J29+פברואר!J29+מרץ!J29+אפריל!J29</f>
        <v>131879.392</v>
      </c>
      <c r="K29" s="139" t="n">
        <f aca="false">G29/J29-1</f>
        <v>-0.142732626489512</v>
      </c>
      <c r="L29" s="142" t="n">
        <f aca="false">G29-J29</f>
        <v>-18823.492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ינואר!E30+פברואר!E30+מרץ!E30+אפריל!E30</f>
        <v>49617.59</v>
      </c>
      <c r="F30" s="138" t="n">
        <f aca="false">ינואר!F30+פברואר!F30+מרץ!F30+אפריל!F30</f>
        <v>32010.18</v>
      </c>
      <c r="G30" s="138" t="n">
        <f aca="false">ינואר!G30+פברואר!G30+מרץ!G30+אפריל!G30</f>
        <v>0</v>
      </c>
      <c r="H30" s="139" t="n">
        <f aca="false">G30/F30-1</f>
        <v>-1</v>
      </c>
      <c r="I30" s="140" t="n">
        <f aca="false">G30-F30</f>
        <v>-32010.18</v>
      </c>
      <c r="J30" s="138" t="n">
        <f aca="false">ינואר!J30+פברואר!J30+מרץ!J30+אפריל!J30</f>
        <v>35000</v>
      </c>
      <c r="K30" s="139" t="n">
        <f aca="false">G30/J30-1</f>
        <v>-1</v>
      </c>
      <c r="L30" s="142" t="n">
        <f aca="false">G30-J30</f>
        <v>-35000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ינואר!E31+פברואר!E31+מרץ!E31+אפריל!E31</f>
        <v>20354.79</v>
      </c>
      <c r="F31" s="138" t="n">
        <f aca="false">ינואר!F31+פברואר!F31+מרץ!F31+אפריל!F31</f>
        <v>19897.57</v>
      </c>
      <c r="G31" s="138" t="n">
        <f aca="false">ינואר!G31+פברואר!G31+מרץ!G31+אפריל!G31</f>
        <v>17809.5</v>
      </c>
      <c r="H31" s="139" t="n">
        <f aca="false">G31/F31-1</f>
        <v>-0.104940955101553</v>
      </c>
      <c r="I31" s="140" t="n">
        <f aca="false">G31-F31</f>
        <v>-2088.07</v>
      </c>
      <c r="J31" s="138" t="n">
        <f aca="false">ינואר!J31+פברואר!J31+מרץ!J31+אפריל!J31</f>
        <v>20000</v>
      </c>
      <c r="K31" s="139" t="n">
        <f aca="false">G31/J31-1</f>
        <v>-0.109525</v>
      </c>
      <c r="L31" s="142" t="n">
        <f aca="false">G31-J31</f>
        <v>-2190.5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ינואר!E32+פברואר!E32+מרץ!E32+אפריל!E32</f>
        <v>0</v>
      </c>
      <c r="F32" s="138" t="n">
        <f aca="false">ינואר!F32+פברואר!F32+מרץ!F32+אפריל!F32</f>
        <v>16024.5</v>
      </c>
      <c r="G32" s="138" t="n">
        <f aca="false">ינואר!G32+פברואר!G32+מרץ!G32+אפריל!G32</f>
        <v>0</v>
      </c>
      <c r="H32" s="139" t="n">
        <f aca="false">G32/F32-1</f>
        <v>-1</v>
      </c>
      <c r="I32" s="140" t="n">
        <f aca="false">G32-F32</f>
        <v>-16024.5</v>
      </c>
      <c r="J32" s="138" t="n">
        <f aca="false">ינואר!J32+פברואר!J32+מרץ!J32+אפריל!J32</f>
        <v>18000</v>
      </c>
      <c r="K32" s="139" t="n">
        <f aca="false">G32/J32-1</f>
        <v>-1</v>
      </c>
      <c r="L32" s="142" t="n">
        <f aca="false">G32-J32</f>
        <v>-18000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 t="n">
        <f aca="false">ינואר!E33+פברואר!E33+מרץ!E33+אפריל!E33</f>
        <v>0</v>
      </c>
      <c r="F33" s="138" t="n">
        <f aca="false">ינואר!F33+פברואר!F33+מרץ!F33+אפריל!F33</f>
        <v>0</v>
      </c>
      <c r="G33" s="138" t="n">
        <f aca="false">ינואר!G33+פברואר!G33+מרץ!G33+אפריל!G33</f>
        <v>0</v>
      </c>
      <c r="H33" s="139" t="str">
        <f aca="false">IFERROR(G33/F33-1,"-")</f>
        <v>-</v>
      </c>
      <c r="I33" s="140" t="n">
        <f aca="false">G33-F33</f>
        <v>0</v>
      </c>
      <c r="J33" s="138" t="n">
        <f aca="false">ינואר!J33+פברואר!J33+מרץ!J33+אפריל!J33</f>
        <v>0</v>
      </c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ינואר!E34+פברואר!E34+מרץ!E34+אפריל!E34</f>
        <v>19941.82</v>
      </c>
      <c r="F34" s="138" t="n">
        <f aca="false">ינואר!F34+פברואר!F34+מרץ!F34+אפריל!F34</f>
        <v>20695.69</v>
      </c>
      <c r="G34" s="138" t="n">
        <f aca="false">ינואר!G34+פברואר!G34+מרץ!G34+אפריל!G34</f>
        <v>18792.66</v>
      </c>
      <c r="H34" s="139" t="n">
        <f aca="false">G34/F34-1</f>
        <v>-0.0919529621868128</v>
      </c>
      <c r="I34" s="140" t="n">
        <f aca="false">G34-F34</f>
        <v>-1903.03</v>
      </c>
      <c r="J34" s="138" t="n">
        <f aca="false">ינואר!J34+פברואר!J34+מרץ!J34+אפריל!J34</f>
        <v>18792.66</v>
      </c>
      <c r="K34" s="139" t="n">
        <f aca="false">G34/J34-1</f>
        <v>0</v>
      </c>
      <c r="L34" s="142" t="n">
        <f aca="false">G34-J34</f>
        <v>0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ינואר!E35+פברואר!E35+מרץ!E35+אפריל!E35</f>
        <v>34034.18</v>
      </c>
      <c r="F35" s="138" t="n">
        <f aca="false">ינואר!F35+פברואר!F35+מרץ!F35+אפריל!F35</f>
        <v>0</v>
      </c>
      <c r="G35" s="138" t="n">
        <f aca="false">ינואר!G35+פברואר!G35+מרץ!G35+אפריל!G35</f>
        <v>0</v>
      </c>
      <c r="H35" s="139" t="str">
        <f aca="false">IFERROR(G35/F35-1,"-")</f>
        <v>-</v>
      </c>
      <c r="I35" s="140" t="n">
        <f aca="false">G35-F35</f>
        <v>0</v>
      </c>
      <c r="J35" s="138" t="n">
        <f aca="false">ינואר!J35+פברואר!J35+מרץ!J35+אפריל!J35</f>
        <v>0</v>
      </c>
      <c r="K35" s="139" t="str">
        <f aca="false">IFERROR(G35/J35-1,"-")</f>
        <v>-</v>
      </c>
      <c r="L35" s="142" t="n">
        <f aca="false">G35-J35</f>
        <v>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ינואר!E36+פברואר!E36+מרץ!E36+אפריל!E36</f>
        <v>41531.96</v>
      </c>
      <c r="F36" s="138" t="n">
        <f aca="false">ינואר!F36+פברואר!F36+מרץ!F36+אפריל!F36</f>
        <v>0</v>
      </c>
      <c r="G36" s="138" t="n">
        <f aca="false">ינואר!G36+פברואר!G36+מרץ!G36+אפריל!G36</f>
        <v>0</v>
      </c>
      <c r="H36" s="139" t="str">
        <f aca="false">IFERROR(G36/F36-1,"-")</f>
        <v>-</v>
      </c>
      <c r="I36" s="140" t="n">
        <f aca="false">G36-F36</f>
        <v>0</v>
      </c>
      <c r="J36" s="138" t="n">
        <f aca="false">ינואר!J36+פברואר!J36+מרץ!J36+אפריל!J36</f>
        <v>0</v>
      </c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ינואר!E37+פברואר!E37+מרץ!E37+אפריל!E37</f>
        <v>0</v>
      </c>
      <c r="F37" s="138" t="n">
        <f aca="false">ינואר!F37+פברואר!F37+מרץ!F37+אפריל!F37</f>
        <v>0</v>
      </c>
      <c r="G37" s="138" t="n">
        <f aca="false">ינואר!G37+פברואר!G37+מרץ!G37+אפריל!G37</f>
        <v>0</v>
      </c>
      <c r="H37" s="139" t="str">
        <f aca="false">IFERROR(G37/F37-1,"-")</f>
        <v>-</v>
      </c>
      <c r="I37" s="140" t="n">
        <f aca="false">G37-F37</f>
        <v>0</v>
      </c>
      <c r="J37" s="138" t="n">
        <f aca="false">ינואר!J37+פברואר!J37+מרץ!J37+אפריל!J37</f>
        <v>0</v>
      </c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ינואר!E38+פברואר!E38+מרץ!E38+אפריל!E38</f>
        <v>0</v>
      </c>
      <c r="F38" s="138" t="n">
        <f aca="false">ינואר!F38+פברואר!F38+מרץ!F38+אפריל!F38</f>
        <v>0</v>
      </c>
      <c r="G38" s="138" t="n">
        <f aca="false">ינואר!G38+פברואר!G38+מרץ!G38+אפריל!G38</f>
        <v>0</v>
      </c>
      <c r="H38" s="139" t="str">
        <f aca="false">IFERROR(G38/F38-1,"-")</f>
        <v>-</v>
      </c>
      <c r="I38" s="140" t="n">
        <f aca="false">G38-F38</f>
        <v>0</v>
      </c>
      <c r="J38" s="138" t="n">
        <f aca="false">ינואר!J38+פברואר!J38+מרץ!J38+אפריל!J38</f>
        <v>200000</v>
      </c>
      <c r="K38" s="139" t="n">
        <f aca="false">G38/J38-1</f>
        <v>-1</v>
      </c>
      <c r="L38" s="142" t="n">
        <f aca="false">G38-J38</f>
        <v>-200000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 t="n">
        <f aca="false">ינואר!E39+פברואר!E39+מרץ!E39+אפריל!E39</f>
        <v>0</v>
      </c>
      <c r="F39" s="138" t="n">
        <f aca="false">ינואר!F39+פברואר!F39+מרץ!F39+אפריל!F39</f>
        <v>0</v>
      </c>
      <c r="G39" s="138" t="n">
        <f aca="false">ינואר!G39+פברואר!G39+מרץ!G39+אפריל!G39</f>
        <v>0</v>
      </c>
      <c r="H39" s="139" t="str">
        <f aca="false">IFERROR(G39/F39-1,"-")</f>
        <v>-</v>
      </c>
      <c r="I39" s="140" t="n">
        <f aca="false">G39-F39</f>
        <v>0</v>
      </c>
      <c r="J39" s="138" t="n">
        <f aca="false">ינואר!J39+פברואר!J39+מרץ!J39+אפריל!J39</f>
        <v>0</v>
      </c>
      <c r="K39" s="139" t="str">
        <f aca="false">IFERROR(G39/J39-1,"-")</f>
        <v>-</v>
      </c>
      <c r="L39" s="142" t="n">
        <f aca="false">G39-J39</f>
        <v>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</f>
        <v>2949452.88</v>
      </c>
      <c r="F40" s="149" t="n">
        <f aca="false">SUM(F20:F39)</f>
        <v>1878628.85</v>
      </c>
      <c r="G40" s="149" t="n">
        <f aca="false">SUM(G20:G39)</f>
        <v>1771605.1</v>
      </c>
      <c r="H40" s="150" t="n">
        <f aca="false">G40/F40-1</f>
        <v>-0.0569690761429541</v>
      </c>
      <c r="I40" s="149" t="n">
        <f aca="false">SUM(I20:I39)</f>
        <v>-107023.75</v>
      </c>
      <c r="J40" s="149" t="n">
        <f aca="false">SUM(J20:J39)</f>
        <v>2639961.8811375</v>
      </c>
      <c r="K40" s="150" t="n">
        <f aca="false">G40/J40-1</f>
        <v>-0.328927772534104</v>
      </c>
      <c r="L40" s="149" t="n">
        <f aca="false">SUM(L20:L39)</f>
        <v>-868356.7811375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8673356.747</v>
      </c>
      <c r="F41" s="152" t="n">
        <f aca="false">F40+F19</f>
        <v>7903929.39200002</v>
      </c>
      <c r="G41" s="152" t="n">
        <f aca="false">G40+G19</f>
        <v>8213335.23800003</v>
      </c>
      <c r="H41" s="153" t="n">
        <f aca="false">G41/F41-1</f>
        <v>0.0391458261650439</v>
      </c>
      <c r="I41" s="152" t="n">
        <f aca="false">I40+I19</f>
        <v>309405.846000016</v>
      </c>
      <c r="J41" s="152" t="n">
        <f aca="false">J40+J19</f>
        <v>10769893.4927759</v>
      </c>
      <c r="K41" s="153" t="n">
        <f aca="false">G41/J41-1</f>
        <v>-0.237380087044569</v>
      </c>
      <c r="L41" s="152" t="n">
        <f aca="false">L40+L19</f>
        <v>-2556558.25477588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0.340058983624786</v>
      </c>
      <c r="F42" s="155" t="n">
        <f aca="false">F40/F41</f>
        <v>0.237682898825167</v>
      </c>
      <c r="G42" s="155" t="n">
        <f aca="false">G40/G41</f>
        <v>0.215698622869239</v>
      </c>
      <c r="H42" s="156"/>
      <c r="I42" s="5"/>
      <c r="J42" s="76" t="n">
        <f aca="false">J40-ינואר!J40-פברואר!J40-מרץ!J40-אפריל!J40</f>
        <v>0</v>
      </c>
    </row>
    <row r="43" customFormat="false" ht="14.25" hidden="false" customHeight="true" outlineLevel="0" collapsed="false">
      <c r="E43" s="76" t="n">
        <f aca="false">E41-ינואר!E41-פברואר!E41-מרץ!E41-אפריל!E41</f>
        <v>0</v>
      </c>
      <c r="I43" s="5"/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C36" activeCellId="0" sqref="C36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200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n">
        <v>5.2024</v>
      </c>
      <c r="F2" s="133" t="n">
        <v>5.2025</v>
      </c>
      <c r="G2" s="133" t="n">
        <v>5.2026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VLOOKUP(A3,'2024'!$A:$O,6,0)</f>
        <v>155618.13</v>
      </c>
      <c r="F3" s="138" t="n">
        <f aca="false">VLOOKUP($A3,'2025'!$A:$O,6,0)</f>
        <v>131634</v>
      </c>
      <c r="G3" s="138"/>
      <c r="H3" s="139" t="n">
        <f aca="false">G3/F3-1</f>
        <v>-1</v>
      </c>
      <c r="I3" s="140" t="n">
        <f aca="false">G3-F3</f>
        <v>-131634</v>
      </c>
      <c r="J3" s="141" t="n">
        <f aca="false">VLOOKUP(B3,'תקציב  '!$B:$S,8,0)*1</f>
        <v>188253.968253968</v>
      </c>
      <c r="K3" s="139" t="n">
        <f aca="false">G3/J3-1</f>
        <v>-1</v>
      </c>
      <c r="L3" s="142" t="n">
        <f aca="false">G3-J3</f>
        <v>-188253.968253968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VLOOKUP(B4,'2024'!$A:$O,6,0)</f>
        <v>560199.913</v>
      </c>
      <c r="F4" s="138" t="n">
        <f aca="false">VLOOKUP($A4,'2025'!$A:$O,6,0)</f>
        <v>729180.694700011</v>
      </c>
      <c r="G4" s="138" t="n">
        <v>498482.53</v>
      </c>
      <c r="H4" s="139" t="n">
        <f aca="false">G4/F4-1</f>
        <v>-0.316379967786889</v>
      </c>
      <c r="I4" s="140" t="n">
        <f aca="false">G4-F4</f>
        <v>-230698.164700011</v>
      </c>
      <c r="J4" s="141" t="n">
        <f aca="false">VLOOKUP(B4,'תקציב  '!$B:$S,8,0)*1</f>
        <v>558634.920634921</v>
      </c>
      <c r="K4" s="139" t="n">
        <f aca="false">G4/J4-1</f>
        <v>-0.107677462351538</v>
      </c>
      <c r="L4" s="142" t="n">
        <f aca="false">G4-J4</f>
        <v>-60152.390634921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VLOOKUP(B5,'2024'!$A:$O,6,0)</f>
        <v>104005.538</v>
      </c>
      <c r="F5" s="138" t="n">
        <f aca="false">VLOOKUP($A5,'2025'!$A:$O,6,0)</f>
        <v>80577.77</v>
      </c>
      <c r="G5" s="138" t="n">
        <v>81328.338</v>
      </c>
      <c r="H5" s="139" t="n">
        <f aca="false">G5/F5-1</f>
        <v>0.00931482715394094</v>
      </c>
      <c r="I5" s="140" t="n">
        <f aca="false">G5-F5</f>
        <v>750.567999999999</v>
      </c>
      <c r="J5" s="141" t="n">
        <f aca="false">VLOOKUP(B5,'תקציב  '!$B:$S,8,0)*1</f>
        <v>71428.5714285714</v>
      </c>
      <c r="K5" s="139" t="n">
        <f aca="false">G5/J5-1</f>
        <v>0.138596732</v>
      </c>
      <c r="L5" s="142" t="n">
        <f aca="false">G5-J5</f>
        <v>9899.7665714286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VLOOKUP(B6,'2024'!$A:$O,6,0)</f>
        <v>211638.805</v>
      </c>
      <c r="F6" s="138" t="n">
        <f aca="false">VLOOKUP($A6,'2025'!$A:$O,6,0)</f>
        <v>186515.155300001</v>
      </c>
      <c r="G6" s="138" t="n">
        <v>148972.084</v>
      </c>
      <c r="H6" s="139" t="n">
        <f aca="false">G6/F6-1</f>
        <v>-0.201286974453173</v>
      </c>
      <c r="I6" s="140" t="n">
        <f aca="false">G6-F6</f>
        <v>-37543.071300001</v>
      </c>
      <c r="J6" s="141" t="n">
        <f aca="false">VLOOKUP(A6,'תקציב  '!$B:$S,8,0)*1</f>
        <v>160793.650793651</v>
      </c>
      <c r="K6" s="139" t="n">
        <f aca="false">G6/J6-1</f>
        <v>-0.0735201093780861</v>
      </c>
      <c r="L6" s="142" t="n">
        <f aca="false">G6-J6</f>
        <v>-11821.566793651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VLOOKUP(A7,'2024'!$A:$O,6,0)</f>
        <v>327442</v>
      </c>
      <c r="F7" s="138" t="n">
        <f aca="false">VLOOKUP($A7,'2025'!$A:$O,6,0)</f>
        <v>307503</v>
      </c>
      <c r="G7" s="138" t="n">
        <v>318846.8</v>
      </c>
      <c r="H7" s="139" t="n">
        <f aca="false">G7/F7-1</f>
        <v>0.0368900466011712</v>
      </c>
      <c r="I7" s="140" t="n">
        <f aca="false">G7-F7</f>
        <v>11343.8</v>
      </c>
      <c r="J7" s="141" t="n">
        <f aca="false">VLOOKUP(B7,'תקציב  '!$B:$S,8,0)*1</f>
        <v>365000</v>
      </c>
      <c r="K7" s="139" t="n">
        <f aca="false">G7/J7-1</f>
        <v>-0.126447123287671</v>
      </c>
      <c r="L7" s="142" t="n">
        <f aca="false">G7-J7</f>
        <v>-46153.2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VLOOKUP(A8,'2024'!$A:$O,6,0)</f>
        <v>65998.04</v>
      </c>
      <c r="F8" s="138" t="n">
        <f aca="false">VLOOKUP($A8,'2025'!$A:$O,6,0)</f>
        <v>88130.8</v>
      </c>
      <c r="G8" s="138" t="n">
        <v>47091.772</v>
      </c>
      <c r="H8" s="139" t="n">
        <f aca="false">G8/F8-1</f>
        <v>-0.465660450149097</v>
      </c>
      <c r="I8" s="140" t="n">
        <f aca="false">G8-F8</f>
        <v>-41039.028</v>
      </c>
      <c r="J8" s="141" t="n">
        <f aca="false">VLOOKUP(B8,'תקציב  '!$B:$S,8,0)*1</f>
        <v>99365.0793650794</v>
      </c>
      <c r="K8" s="139" t="n">
        <f aca="false">G8/J8-1</f>
        <v>-0.526073221086262</v>
      </c>
      <c r="L8" s="142" t="n">
        <f aca="false">G8-J8</f>
        <v>-52273.3073650794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VLOOKUP(A9,'2024'!$A:$O,6,0)</f>
        <v>99310.41</v>
      </c>
      <c r="F9" s="138" t="n">
        <f aca="false">VLOOKUP($A9,'2025'!$A:$O,6,0)</f>
        <v>94846.85</v>
      </c>
      <c r="G9" s="138" t="n">
        <v>102176.91</v>
      </c>
      <c r="H9" s="139" t="n">
        <f aca="false">G9/F9-1</f>
        <v>0.0772831148319633</v>
      </c>
      <c r="I9" s="140" t="n">
        <f aca="false">G9-F9</f>
        <v>7330.06</v>
      </c>
      <c r="J9" s="141" t="n">
        <f aca="false">VLOOKUP(B9,'תקציב  '!$B:$S,8,0)*1</f>
        <v>170079.365079365</v>
      </c>
      <c r="K9" s="139" t="n">
        <f aca="false">G9/J9-1</f>
        <v>-0.399239819878674</v>
      </c>
      <c r="L9" s="142" t="n">
        <f aca="false">G9-J9</f>
        <v>-67902.455079365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VLOOKUP(A10,'2024'!$A:$O,6,0)</f>
        <v>16034.44</v>
      </c>
      <c r="F10" s="138" t="n">
        <f aca="false">VLOOKUP($A10,'2025'!$A:$O,6,0)</f>
        <v>15870.65</v>
      </c>
      <c r="G10" s="138" t="n">
        <v>6343.11</v>
      </c>
      <c r="H10" s="139" t="n">
        <f aca="false">G10/F10-1</f>
        <v>-0.600324498366482</v>
      </c>
      <c r="I10" s="140" t="n">
        <f aca="false">G10-F10</f>
        <v>-9527.54</v>
      </c>
      <c r="J10" s="141" t="n">
        <f aca="false">VLOOKUP(B10,'תקציב  '!$B:$S,8,0)*1</f>
        <v>15079.3650793651</v>
      </c>
      <c r="K10" s="139" t="n">
        <f aca="false">G10/J10-1</f>
        <v>-0.57935165263158</v>
      </c>
      <c r="L10" s="142" t="n">
        <f aca="false">G10-J10</f>
        <v>-8736.2550793651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VLOOKUP(A11,'2024'!$A:$O,6,0)</f>
        <v>1188.66</v>
      </c>
      <c r="F11" s="138" t="n">
        <f aca="false">VLOOKUP($A11,'2025'!$A:$O,6,0)</f>
        <v>5871.12</v>
      </c>
      <c r="G11" s="138" t="n">
        <v>7664.69</v>
      </c>
      <c r="H11" s="139" t="n">
        <f aca="false">G11/F11-1</f>
        <v>0.305490264208533</v>
      </c>
      <c r="I11" s="140" t="n">
        <f aca="false">G11-F11</f>
        <v>1793.57</v>
      </c>
      <c r="J11" s="141" t="n">
        <f aca="false">VLOOKUP(B11,'תקציב  '!$B:$S,8,0)*1</f>
        <v>7936.50793650794</v>
      </c>
      <c r="K11" s="139" t="n">
        <f aca="false">G11/J11-1</f>
        <v>-0.0342490600000005</v>
      </c>
      <c r="L11" s="142" t="n">
        <f aca="false">G11-J11</f>
        <v>-271.81793650794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VLOOKUP(A12,'2024'!$A:$O,6,0)</f>
        <v>0</v>
      </c>
      <c r="F12" s="138" t="n">
        <f aca="false">VLOOKUP($A12,'2025'!$A:$O,6,0)</f>
        <v>0</v>
      </c>
      <c r="G12" s="138"/>
      <c r="H12" s="139" t="str">
        <f aca="false">IFERROR(G12/F12-1,"-")</f>
        <v>-</v>
      </c>
      <c r="I12" s="140" t="n">
        <f aca="false">G12-F12</f>
        <v>0</v>
      </c>
      <c r="J12" s="141" t="n">
        <f aca="false">VLOOKUP(B12,'תקציב  '!$B:$S,8,0)*1</f>
        <v>0</v>
      </c>
      <c r="K12" s="139"/>
      <c r="L12" s="142" t="n">
        <f aca="false">G12-J12</f>
        <v>0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VLOOKUP(A13,'2024'!$A:$O,6,0)</f>
        <v>1597.46</v>
      </c>
      <c r="F13" s="138" t="n">
        <f aca="false">VLOOKUP($A13,'2025'!$A:$O,6,0)</f>
        <v>0</v>
      </c>
      <c r="G13" s="138" t="n">
        <v>1896.82</v>
      </c>
      <c r="H13" s="139" t="str">
        <f aca="false">IFERROR(G13/F13-1,"-")</f>
        <v>-</v>
      </c>
      <c r="I13" s="140" t="n">
        <f aca="false">G13-F13</f>
        <v>1896.82</v>
      </c>
      <c r="J13" s="141" t="n">
        <f aca="false">VLOOKUP(B13,'תקציב  '!$B:$S,8,0)*1</f>
        <v>0</v>
      </c>
      <c r="K13" s="139" t="str">
        <f aca="false">IFERROR(G13/J13-1,"-")</f>
        <v>-</v>
      </c>
      <c r="L13" s="142" t="n">
        <f aca="false">G13-J13</f>
        <v>1896.82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VLOOKUP(A14,'2024'!$A:$O,6,0)</f>
        <v>0</v>
      </c>
      <c r="F14" s="138" t="n">
        <f aca="false">VLOOKUP($A14,'2025'!$A:$O,6,0)</f>
        <v>0</v>
      </c>
      <c r="G14" s="138" t="n">
        <v>3430</v>
      </c>
      <c r="H14" s="139" t="str">
        <f aca="false">IFERROR(G14/F14-1,"-")</f>
        <v>-</v>
      </c>
      <c r="I14" s="140" t="n">
        <f aca="false">G14-F14</f>
        <v>3430</v>
      </c>
      <c r="J14" s="141" t="n">
        <f aca="false">VLOOKUP(B14,'תקציב  '!$B:$S,8,0)*1</f>
        <v>50000</v>
      </c>
      <c r="K14" s="139" t="n">
        <f aca="false">G14/J14-1</f>
        <v>-0.9314</v>
      </c>
      <c r="L14" s="142" t="n">
        <f aca="false">G14-J14</f>
        <v>-46570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VLOOKUP(A15,'2024'!$A:$O,6,0)</f>
        <v>3187.34</v>
      </c>
      <c r="F15" s="138" t="n">
        <f aca="false">VLOOKUP($A15,'2025'!$A:$O,6,0)</f>
        <v>707.660000000001</v>
      </c>
      <c r="G15" s="138" t="n">
        <v>6150.22</v>
      </c>
      <c r="H15" s="139" t="n">
        <f aca="false">G15/F15-1</f>
        <v>7.69092502049005</v>
      </c>
      <c r="I15" s="140" t="n">
        <f aca="false">G15-F15</f>
        <v>5442.56</v>
      </c>
      <c r="J15" s="141" t="n">
        <f aca="false">VLOOKUP(B15,'תקציב  '!$B:$S,8,0)*1</f>
        <v>15873.0158730159</v>
      </c>
      <c r="K15" s="139" t="n">
        <f aca="false">G15/J15-1</f>
        <v>-0.612536140000001</v>
      </c>
      <c r="L15" s="142" t="n">
        <f aca="false">G15-J15</f>
        <v>-9722.7958730159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SUM(E3:E15)+E50</f>
        <v>1546220.736</v>
      </c>
      <c r="F16" s="144" t="n">
        <f aca="false">SUM(F3:F15)+F50</f>
        <v>1640837.70000001</v>
      </c>
      <c r="G16" s="144" t="n">
        <f aca="false">SUM(G3:G15)+G50</f>
        <v>1222383.274</v>
      </c>
      <c r="H16" s="145" t="n">
        <f aca="false">G16/F16-1</f>
        <v>-0.255024872965808</v>
      </c>
      <c r="I16" s="144" t="n">
        <f aca="false">SUM(I3:I15)+I50</f>
        <v>-418454.426000012</v>
      </c>
      <c r="J16" s="144" t="n">
        <f aca="false">SUM(J3:J15)+J50</f>
        <v>1702444.44444444</v>
      </c>
      <c r="K16" s="145" t="n">
        <f aca="false">G16/J16-1</f>
        <v>-0.281983457381543</v>
      </c>
      <c r="L16" s="144" t="n">
        <f aca="false">SUM(L3:L15)+L50</f>
        <v>-480061.170444445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VLOOKUP(A17,'2024'!$A:$O,6,0)</f>
        <v>49304.7</v>
      </c>
      <c r="F17" s="138" t="n">
        <f aca="false">VLOOKUP($A17,'2025'!$A:$O,6,0)</f>
        <v>99302.9500000002</v>
      </c>
      <c r="G17" s="138" t="n">
        <v>404699.340000001</v>
      </c>
      <c r="H17" s="139" t="n">
        <f aca="false">G17/F17-1</f>
        <v>3.07540098254886</v>
      </c>
      <c r="I17" s="140" t="n">
        <f aca="false">G17-F17</f>
        <v>305396.390000001</v>
      </c>
      <c r="J17" s="141" t="n">
        <f aca="false">VLOOKUP(B17,'תקציב  '!$B:$S,8,0)*1</f>
        <v>592182.203389831</v>
      </c>
      <c r="K17" s="139" t="n">
        <f aca="false">G17/J17-1</f>
        <v>-0.316596585166898</v>
      </c>
      <c r="L17" s="142" t="n">
        <f aca="false">G17-J17</f>
        <v>-187482.86338983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VLOOKUP(A18,'2024'!$A:$O,6,0)</f>
        <v>2364.29</v>
      </c>
      <c r="F18" s="138" t="n">
        <f aca="false">VLOOKUP($A18,'2025'!$A:$O,6,0)</f>
        <v>1491.14</v>
      </c>
      <c r="G18" s="138" t="n">
        <v>2347.76</v>
      </c>
      <c r="H18" s="139" t="n">
        <f aca="false">G18/F18-1</f>
        <v>0.574473221830278</v>
      </c>
      <c r="I18" s="140" t="n">
        <f aca="false">G18-F18</f>
        <v>856.62</v>
      </c>
      <c r="J18" s="141" t="n">
        <f aca="false">VLOOKUP(B18,'תקציב  '!$B:$S,8,0)*1</f>
        <v>2536.92833333333</v>
      </c>
      <c r="K18" s="139" t="n">
        <f aca="false">G18/J18-1</f>
        <v>-0.0745658956336291</v>
      </c>
      <c r="L18" s="142" t="n">
        <f aca="false">G18-J18</f>
        <v>-189.16833333333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1597889.726</v>
      </c>
      <c r="F19" s="146" t="n">
        <f aca="false">F16+F17+F18</f>
        <v>1741631.79000001</v>
      </c>
      <c r="G19" s="146" t="n">
        <f aca="false">G16+G17+G18</f>
        <v>1629430.374</v>
      </c>
      <c r="H19" s="147" t="n">
        <f aca="false">G19/F19-1</f>
        <v>-0.064423155711926</v>
      </c>
      <c r="I19" s="146" t="n">
        <f aca="false">I16+I17+I18</f>
        <v>-112201.416000011</v>
      </c>
      <c r="J19" s="146" t="n">
        <f aca="false">J16+J17+J18</f>
        <v>2297163.57616761</v>
      </c>
      <c r="K19" s="147" t="n">
        <f aca="false">G19/J19-1</f>
        <v>-0.290677254808992</v>
      </c>
      <c r="L19" s="146" t="n">
        <f aca="false">L16+L17+L18</f>
        <v>-667733.202167608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VLOOKUP(A20,'2024'!$A:$O,6,0)</f>
        <v>318316.8</v>
      </c>
      <c r="F20" s="138" t="n">
        <f aca="false">VLOOKUP($A20,'2025'!$A:$O,6,0)</f>
        <v>252540.02</v>
      </c>
      <c r="G20" s="138" t="n">
        <v>224163.96</v>
      </c>
      <c r="H20" s="139" t="n">
        <f aca="false">G20/F20-1</f>
        <v>-0.112362626723479</v>
      </c>
      <c r="I20" s="140" t="n">
        <f aca="false">G20-F20</f>
        <v>-28376.06</v>
      </c>
      <c r="J20" s="141" t="n">
        <f aca="false">VLOOKUP(B20,'תקציב  '!$B:$S,8,0)*1</f>
        <v>398486.4708</v>
      </c>
      <c r="K20" s="139" t="n">
        <f aca="false">G20/J20-1</f>
        <v>-0.437461554089981</v>
      </c>
      <c r="L20" s="142" t="n">
        <f aca="false">G20-J20</f>
        <v>-174322.5108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VLOOKUP(A21,'2024'!$A:$O,6,0)</f>
        <v>0</v>
      </c>
      <c r="F21" s="138" t="n">
        <f aca="false">VLOOKUP($A21,'2025'!$A:$O,6,0)</f>
        <v>0</v>
      </c>
      <c r="G21" s="158" t="n">
        <v>204882.82</v>
      </c>
      <c r="H21" s="139" t="str">
        <f aca="false">IFERROR(G21/F21-1,"-")</f>
        <v>-</v>
      </c>
      <c r="I21" s="140" t="n">
        <f aca="false">G21-F21</f>
        <v>204882.82</v>
      </c>
      <c r="J21" s="141" t="n">
        <f aca="false">VLOOKUP(B21,'תקציב  '!$B:$S,8,0)*1</f>
        <v>235200</v>
      </c>
      <c r="K21" s="139" t="n">
        <f aca="false">G21/J21-1</f>
        <v>-0.128899574829932</v>
      </c>
      <c r="L21" s="142" t="n">
        <f aca="false">G21-J21</f>
        <v>-30317.18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VLOOKUP(A22,'2024'!$A:$O,6,0)</f>
        <v>169505.88</v>
      </c>
      <c r="F22" s="138" t="n">
        <f aca="false">VLOOKUP($A22,'2025'!$A:$O,6,0)</f>
        <v>1513.3</v>
      </c>
      <c r="G22" s="158" t="n">
        <v>5036.8</v>
      </c>
      <c r="H22" s="139" t="n">
        <f aca="false">G22/F22-1</f>
        <v>2.32835525011564</v>
      </c>
      <c r="I22" s="140" t="n">
        <f aca="false">G22-F22</f>
        <v>3523.5</v>
      </c>
      <c r="J22" s="141" t="n">
        <f aca="false">VLOOKUP(B22,'תקציב  '!$B:$S,8,0)*1</f>
        <v>15000</v>
      </c>
      <c r="K22" s="139" t="n">
        <f aca="false">G22/J22-1</f>
        <v>-0.664213333333333</v>
      </c>
      <c r="L22" s="142" t="n">
        <f aca="false">G22-J22</f>
        <v>-9963.2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VLOOKUP(A23,'2024'!$A:$O,6,0)</f>
        <v>0</v>
      </c>
      <c r="F23" s="138" t="n">
        <f aca="false">VLOOKUP($A23,'2025'!$A:$O,6,0)</f>
        <v>0</v>
      </c>
      <c r="G23" s="178"/>
      <c r="H23" s="139" t="str">
        <f aca="false">IFERROR(G23/F23-1,"-")</f>
        <v>-</v>
      </c>
      <c r="I23" s="140" t="n">
        <f aca="false">G23-F23</f>
        <v>0</v>
      </c>
      <c r="J23" s="141" t="n">
        <f aca="false">VLOOKUP(B23,'תקציב  '!$B:$S,8,0)*1</f>
        <v>85000</v>
      </c>
      <c r="K23" s="139" t="n">
        <f aca="false">G23/J23-1</f>
        <v>-1</v>
      </c>
      <c r="L23" s="142" t="n">
        <f aca="false">G23-J23</f>
        <v>-85000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VLOOKUP(A24,'2024'!$A:$O,6,0)</f>
        <v>0</v>
      </c>
      <c r="F24" s="138" t="n">
        <f aca="false">VLOOKUP($A24,'2025'!$A:$O,6,0)</f>
        <v>0</v>
      </c>
      <c r="G24" s="138" t="n">
        <v>16087.48</v>
      </c>
      <c r="H24" s="139" t="str">
        <f aca="false">IFERROR(G24/F24-1,"-")</f>
        <v>-</v>
      </c>
      <c r="I24" s="140" t="n">
        <f aca="false">G24-F24</f>
        <v>16087.48</v>
      </c>
      <c r="J24" s="141" t="n">
        <f aca="false">VLOOKUP(B24,'תקציב  '!$B:$S,8,0)*1</f>
        <v>17000</v>
      </c>
      <c r="K24" s="139" t="n">
        <f aca="false">G24/J24-1</f>
        <v>-0.0536776470588236</v>
      </c>
      <c r="L24" s="142" t="n">
        <f aca="false">G24-J24</f>
        <v>-912.52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VLOOKUP(A25,'2024'!$A:$O,6,0)</f>
        <v>0</v>
      </c>
      <c r="F25" s="138" t="n">
        <f aca="false">VLOOKUP($A25,'2025'!$A:$O,6,0)</f>
        <v>10766.89</v>
      </c>
      <c r="G25" s="138"/>
      <c r="H25" s="139" t="n">
        <f aca="false">G25/F25-1</f>
        <v>-1</v>
      </c>
      <c r="I25" s="140" t="n">
        <f aca="false">G25-F25</f>
        <v>-10766.89</v>
      </c>
      <c r="J25" s="141" t="n">
        <f aca="false">VLOOKUP(B25,'תקציב  '!$B:$S,8,0)*1</f>
        <v>5000</v>
      </c>
      <c r="K25" s="139" t="n">
        <f aca="false">G25/J25-1</f>
        <v>-1</v>
      </c>
      <c r="L25" s="142" t="n">
        <f aca="false">G25-J25</f>
        <v>-5000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VLOOKUP(A26,'2024'!$A:$O,6,0)</f>
        <v>0</v>
      </c>
      <c r="F26" s="138" t="n">
        <f aca="false">VLOOKUP($A26,'2025'!$A:$O,6,0)</f>
        <v>172805.6</v>
      </c>
      <c r="G26" s="138" t="n">
        <v>-19940.33</v>
      </c>
      <c r="H26" s="139" t="n">
        <f aca="false">G26/F26-1</f>
        <v>-1.11539168869527</v>
      </c>
      <c r="I26" s="140" t="n">
        <f aca="false">G26-F26</f>
        <v>-192745.93</v>
      </c>
      <c r="J26" s="141" t="n">
        <f aca="false">VLOOKUP(B26,'תקציב  '!$B:$S,8,0)*1</f>
        <v>0</v>
      </c>
      <c r="K26" s="139" t="str">
        <f aca="false">IFERROR(G26/J26-1,"-")</f>
        <v>-</v>
      </c>
      <c r="L26" s="142" t="n">
        <f aca="false">G26-J26</f>
        <v>-19940.33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VLOOKUP(A27,'2024'!$A:$O,6,0)</f>
        <v>-0.48</v>
      </c>
      <c r="F27" s="138" t="n">
        <f aca="false">VLOOKUP($A27,'2025'!$A:$O,6,0)</f>
        <v>0</v>
      </c>
      <c r="G27" s="158" t="n">
        <v>18541.7</v>
      </c>
      <c r="H27" s="139" t="str">
        <f aca="false">IFERROR(G27/F27-1,"-")</f>
        <v>-</v>
      </c>
      <c r="I27" s="140" t="n">
        <f aca="false">G27-F27</f>
        <v>18541.7</v>
      </c>
      <c r="J27" s="141" t="n">
        <f aca="false">VLOOKUP(B27,'תקציב  '!$B:$S,8,0)*1</f>
        <v>0</v>
      </c>
      <c r="K27" s="139" t="str">
        <f aca="false">IFERROR(G27/J27-1,"-")</f>
        <v>-</v>
      </c>
      <c r="L27" s="142" t="n">
        <f aca="false">G27-J27</f>
        <v>18541.7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VLOOKUP(A28,'2024'!$A:$O,6,0)</f>
        <v>0</v>
      </c>
      <c r="F28" s="138" t="n">
        <f aca="false">VLOOKUP($A28,'2025'!$A:$O,6,0)</f>
        <v>0</v>
      </c>
      <c r="G28" s="138"/>
      <c r="H28" s="139" t="str">
        <f aca="false">IFERROR(G28/F28-1,"-")</f>
        <v>-</v>
      </c>
      <c r="I28" s="140" t="n">
        <f aca="false">G28-F28</f>
        <v>0</v>
      </c>
      <c r="J28" s="141" t="n">
        <f aca="false">VLOOKUP(B28,'תקציב  '!$B:$S,8,0)*1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VLOOKUP(A29,'2024'!$A:$O,6,0)</f>
        <v>31259.76</v>
      </c>
      <c r="F29" s="138" t="n">
        <f aca="false">VLOOKUP($A29,'2025'!$A:$O,6,0)</f>
        <v>56732.32</v>
      </c>
      <c r="G29" s="158" t="n">
        <v>33066.23</v>
      </c>
      <c r="H29" s="139" t="n">
        <f aca="false">G29/F29-1</f>
        <v>-0.417153573130801</v>
      </c>
      <c r="I29" s="140" t="n">
        <f aca="false">G29-F29</f>
        <v>-23666.09</v>
      </c>
      <c r="J29" s="141" t="n">
        <f aca="false">VLOOKUP(B29,'תקציב  '!$B:$S,8,0)*1</f>
        <v>39765.076</v>
      </c>
      <c r="K29" s="139" t="n">
        <f aca="false">G29/J29-1</f>
        <v>-0.168460535571465</v>
      </c>
      <c r="L29" s="142" t="n">
        <f aca="false">G29-J29</f>
        <v>-6698.846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VLOOKUP(A30,'2024'!$A:$O,6,0)</f>
        <v>0</v>
      </c>
      <c r="F30" s="138" t="n">
        <f aca="false">VLOOKUP($A30,'2025'!$A:$O,6,0)</f>
        <v>0</v>
      </c>
      <c r="G30" s="158" t="n">
        <v>43116.44</v>
      </c>
      <c r="H30" s="139" t="str">
        <f aca="false">IFERROR(G30/F30-1,"-")</f>
        <v>-</v>
      </c>
      <c r="I30" s="140" t="n">
        <f aca="false">G30-F30</f>
        <v>43116.44</v>
      </c>
      <c r="J30" s="141" t="n">
        <f aca="false">VLOOKUP(B30,'תקציב  '!$B:$S,8,0)*1</f>
        <v>0</v>
      </c>
      <c r="K30" s="139" t="str">
        <f aca="false">IFERROR(G30/J30-1,"-")</f>
        <v>-</v>
      </c>
      <c r="L30" s="142" t="n">
        <f aca="false">G30-J30</f>
        <v>43116.44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VLOOKUP(A31,'2024'!$A:$O,6,0)</f>
        <v>0</v>
      </c>
      <c r="F31" s="138" t="n">
        <f aca="false">VLOOKUP($A31,'2025'!$A:$O,6,0)</f>
        <v>18835.73</v>
      </c>
      <c r="G31" s="138"/>
      <c r="H31" s="139" t="n">
        <f aca="false">G31/F31-1</f>
        <v>-1</v>
      </c>
      <c r="I31" s="140" t="n">
        <f aca="false">G31-F31</f>
        <v>-18835.73</v>
      </c>
      <c r="J31" s="141" t="n">
        <f aca="false">VLOOKUP(B31,'תקציב  '!$B:$S,8,0)*1</f>
        <v>0</v>
      </c>
      <c r="K31" s="139" t="str">
        <f aca="false">IFERROR(G31/J31-1,"-")</f>
        <v>-</v>
      </c>
      <c r="L31" s="142" t="n">
        <f aca="false">G31-J31</f>
        <v>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VLOOKUP(A32,'2024'!$A:$O,6,0)</f>
        <v>0</v>
      </c>
      <c r="F32" s="138" t="n">
        <f aca="false">VLOOKUP($A32,'2025'!$A:$O,6,0)</f>
        <v>0</v>
      </c>
      <c r="G32" s="138"/>
      <c r="H32" s="139" t="str">
        <f aca="false">IFERROR(G32/F32-1,"-")</f>
        <v>-</v>
      </c>
      <c r="I32" s="140" t="n">
        <f aca="false">G32-F32</f>
        <v>0</v>
      </c>
      <c r="J32" s="141" t="n">
        <f aca="false">VLOOKUP(B32,'תקציב  '!$B:$S,8,0)*1</f>
        <v>0</v>
      </c>
      <c r="K32" s="139" t="str">
        <f aca="false">IFERROR(G32/J32-1,"-")</f>
        <v>-</v>
      </c>
      <c r="L32" s="142" t="n">
        <f aca="false">G32-J32</f>
        <v>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/>
      <c r="F33" s="138"/>
      <c r="G33" s="138"/>
      <c r="H33" s="139" t="str">
        <f aca="false">IFERROR(G33/F33-1,"-")</f>
        <v>-</v>
      </c>
      <c r="I33" s="140" t="n">
        <f aca="false">G33-F33</f>
        <v>0</v>
      </c>
      <c r="J33" s="141"/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VLOOKUP(A34,'2024'!$A:$O,6,0)</f>
        <v>0</v>
      </c>
      <c r="F34" s="138" t="n">
        <f aca="false">VLOOKUP($A34,'2025'!$A:$O,6,0)</f>
        <v>19017.88</v>
      </c>
      <c r="G34" s="138"/>
      <c r="H34" s="139" t="n">
        <f aca="false">G34/F34-1</f>
        <v>-1</v>
      </c>
      <c r="I34" s="140" t="n">
        <f aca="false">G34-F34</f>
        <v>-19017.88</v>
      </c>
      <c r="J34" s="141" t="n">
        <f aca="false">VLOOKUP(B34,'תקציב  '!$B:$S,8,0)*1</f>
        <v>21207.34</v>
      </c>
      <c r="K34" s="139" t="n">
        <f aca="false">G34/J34-1</f>
        <v>-1</v>
      </c>
      <c r="L34" s="142" t="n">
        <f aca="false">G34-J34</f>
        <v>-21207.34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VLOOKUP(A35,'2024'!$A:$O,6,0)</f>
        <v>0</v>
      </c>
      <c r="F35" s="138" t="n">
        <f aca="false">VLOOKUP($A35,'2025'!$A:$O,6,0)</f>
        <v>30531.53</v>
      </c>
      <c r="G35" s="138"/>
      <c r="H35" s="139" t="n">
        <f aca="false">G35/F35-1</f>
        <v>-1</v>
      </c>
      <c r="I35" s="140" t="n">
        <f aca="false">G35-F35</f>
        <v>-30531.53</v>
      </c>
      <c r="J35" s="141" t="n">
        <f aca="false">VLOOKUP(B35,'תקציב  '!$B:$S,8,0)*1</f>
        <v>40000</v>
      </c>
      <c r="K35" s="139" t="n">
        <f aca="false">G35/J35-1</f>
        <v>-1</v>
      </c>
      <c r="L35" s="142" t="n">
        <f aca="false">G35-J35</f>
        <v>-40000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VLOOKUP(A36,'2024'!$A:$O,6,0)</f>
        <v>0</v>
      </c>
      <c r="F36" s="138" t="n">
        <f aca="false">VLOOKUP($A36,'2025'!$A:$O,6,0)</f>
        <v>0</v>
      </c>
      <c r="G36" s="138"/>
      <c r="H36" s="139" t="str">
        <f aca="false">IFERROR(G36/F36-1,"-")</f>
        <v>-</v>
      </c>
      <c r="I36" s="140" t="n">
        <f aca="false">G36-F36</f>
        <v>0</v>
      </c>
      <c r="J36" s="141"/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VLOOKUP(A37,'2024'!$A:$O,6,0)</f>
        <v>0</v>
      </c>
      <c r="F37" s="138" t="n">
        <f aca="false">VLOOKUP($A37,'2025'!$A:$O,6,0)</f>
        <v>0</v>
      </c>
      <c r="G37" s="138"/>
      <c r="H37" s="139" t="str">
        <f aca="false">IFERROR(G37/F37-1,"-")</f>
        <v>-</v>
      </c>
      <c r="I37" s="140" t="n">
        <f aca="false">G37-F37</f>
        <v>0</v>
      </c>
      <c r="J37" s="141"/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VLOOKUP(A38,'2024'!$A:$O,6,0)</f>
        <v>0</v>
      </c>
      <c r="F38" s="138" t="n">
        <f aca="false">VLOOKUP($A38,'2025'!$A:$O,6,0)</f>
        <v>248.59</v>
      </c>
      <c r="G38" s="138"/>
      <c r="H38" s="139" t="n">
        <f aca="false">G38/F38-1</f>
        <v>-1</v>
      </c>
      <c r="I38" s="140" t="n">
        <f aca="false">G38-F38</f>
        <v>-248.59</v>
      </c>
      <c r="J38" s="141" t="n">
        <f aca="false">VLOOKUP(B38,'תקציב  '!$B:$S,8,0)*1</f>
        <v>0</v>
      </c>
      <c r="K38" s="139" t="str">
        <f aca="false">IFERROR(G38/J38-1,"-")</f>
        <v>-</v>
      </c>
      <c r="L38" s="142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/>
      <c r="F39" s="138"/>
      <c r="G39" s="138"/>
      <c r="H39" s="139" t="str">
        <f aca="false">IFERROR(G39/F39-1,"-")</f>
        <v>-</v>
      </c>
      <c r="I39" s="140" t="n">
        <f aca="false">G39-F39</f>
        <v>0</v>
      </c>
      <c r="J39" s="141" t="n">
        <f aca="false">VLOOKUP(B39,'תקציב  '!$B:$S,8,0)*1</f>
        <v>0</v>
      </c>
      <c r="K39" s="139" t="str">
        <f aca="false">IFERROR(G39/J39-1,"-")</f>
        <v>-</v>
      </c>
      <c r="L39" s="142" t="n">
        <f aca="false">G39-J39</f>
        <v>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SUM(E20:E39)+E51+E52</f>
        <v>519081.96</v>
      </c>
      <c r="F40" s="149" t="n">
        <f aca="false">SUM(F20:F39)+F51+F52</f>
        <v>562991.86</v>
      </c>
      <c r="G40" s="149" t="n">
        <f aca="false">SUM(G20:G39)+G51+G52</f>
        <v>524955.1</v>
      </c>
      <c r="H40" s="150" t="n">
        <f aca="false">G40/F40-1</f>
        <v>-0.0675618294019384</v>
      </c>
      <c r="I40" s="149" t="n">
        <f aca="false">SUM(I20:I39)+I51+I52</f>
        <v>-38036.76</v>
      </c>
      <c r="J40" s="149" t="n">
        <f aca="false">SUM(J20:J39)+J51+J52</f>
        <v>856658.8868</v>
      </c>
      <c r="K40" s="150" t="n">
        <f aca="false">G40/J40-1</f>
        <v>-0.387206380405462</v>
      </c>
      <c r="L40" s="149" t="n">
        <f aca="false">SUM(L20:L39)+L51+L52</f>
        <v>-331703.7868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2116971.686</v>
      </c>
      <c r="F41" s="152" t="n">
        <f aca="false">F40+F19</f>
        <v>2304623.65000001</v>
      </c>
      <c r="G41" s="152" t="n">
        <f aca="false">G40+G19</f>
        <v>2154385.474</v>
      </c>
      <c r="H41" s="153" t="n">
        <f aca="false">G41/F41-1</f>
        <v>-0.0651898959728242</v>
      </c>
      <c r="I41" s="152" t="n">
        <f aca="false">I40+I19</f>
        <v>-150238.176000011</v>
      </c>
      <c r="J41" s="152" t="n">
        <f aca="false">J40+J19</f>
        <v>3153822.46296761</v>
      </c>
      <c r="K41" s="153" t="n">
        <f aca="false">G41/J41-1</f>
        <v>-0.316897035487274</v>
      </c>
      <c r="L41" s="152" t="n">
        <f aca="false">L40+L19</f>
        <v>-999436.988967608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0.245200237411206</v>
      </c>
      <c r="F42" s="155" t="n">
        <f aca="false">F40/F41</f>
        <v>0.244287981684123</v>
      </c>
      <c r="G42" s="155" t="n">
        <f aca="false">G40/G41</f>
        <v>0.243668139400015</v>
      </c>
      <c r="H42" s="156"/>
      <c r="I42" s="5"/>
      <c r="J42" s="76" t="n">
        <f aca="false">J41-'תקציב  '!I41*1</f>
        <v>0</v>
      </c>
    </row>
    <row r="43" customFormat="false" ht="14.25" hidden="false" customHeight="true" outlineLevel="0" collapsed="false">
      <c r="E43" s="157" t="n">
        <f aca="false">E41-'2024'!F38</f>
        <v>0</v>
      </c>
      <c r="I43" s="5"/>
    </row>
    <row r="50" customFormat="false" ht="14.25" hidden="false" customHeight="true" outlineLevel="0" collapsed="false">
      <c r="A50" s="85"/>
      <c r="B50" s="24" t="s">
        <v>176</v>
      </c>
      <c r="C50" s="24" t="s">
        <v>176</v>
      </c>
      <c r="D50" s="26" t="s">
        <v>32</v>
      </c>
      <c r="E50" s="138"/>
      <c r="F50" s="138"/>
      <c r="G50" s="138" t="n">
        <v>0</v>
      </c>
      <c r="H50" s="139" t="str">
        <f aca="false">IFERROR(G50/F50-1,"-")</f>
        <v>-</v>
      </c>
      <c r="I50" s="140" t="n">
        <f aca="false">G50-F50</f>
        <v>0</v>
      </c>
      <c r="J50" s="141"/>
      <c r="K50" s="139" t="str">
        <f aca="false">IFERROR(G50/J50-1,"-")</f>
        <v>-</v>
      </c>
      <c r="L50" s="142" t="n">
        <f aca="false">G50-J50</f>
        <v>0</v>
      </c>
    </row>
    <row r="51" customFormat="false" ht="14.25" hidden="false" customHeight="true" outlineLevel="0" collapsed="false">
      <c r="A51" s="85"/>
      <c r="B51" s="84" t="s">
        <v>177</v>
      </c>
      <c r="C51" s="65" t="s">
        <v>177</v>
      </c>
      <c r="D51" s="26" t="s">
        <v>178</v>
      </c>
      <c r="E51" s="138"/>
      <c r="F51" s="138"/>
      <c r="G51" s="138" t="n">
        <v>0</v>
      </c>
      <c r="H51" s="139" t="str">
        <f aca="false">IFERROR(G51/F51-1,"-")</f>
        <v>-</v>
      </c>
      <c r="I51" s="140" t="n">
        <f aca="false">G51-F51</f>
        <v>0</v>
      </c>
      <c r="J51" s="141"/>
      <c r="K51" s="139" t="str">
        <f aca="false">IFERROR(G51/J51-1,"-")</f>
        <v>-</v>
      </c>
      <c r="L51" s="142" t="n">
        <f aca="false">G51-J51</f>
        <v>0</v>
      </c>
    </row>
    <row r="52" customFormat="false" ht="14.25" hidden="false" customHeight="true" outlineLevel="0" collapsed="false">
      <c r="A52" s="85"/>
      <c r="B52" s="84" t="s">
        <v>179</v>
      </c>
      <c r="C52" s="65" t="s">
        <v>179</v>
      </c>
      <c r="D52" s="26" t="s">
        <v>179</v>
      </c>
      <c r="E52" s="138"/>
      <c r="F52" s="138"/>
      <c r="G52" s="138" t="n">
        <v>0</v>
      </c>
      <c r="H52" s="139" t="str">
        <f aca="false">IFERROR(G52/F52-1,"-")</f>
        <v>-</v>
      </c>
      <c r="I52" s="140" t="n">
        <f aca="false">G52-F52</f>
        <v>0</v>
      </c>
      <c r="J52" s="141"/>
      <c r="K52" s="139" t="str">
        <f aca="false">IFERROR(G52/J52-1,"-")</f>
        <v>-</v>
      </c>
      <c r="L52" s="142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L23" activeCellId="0" sqref="L23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5" min="5" style="1" width="13.25"/>
    <col collapsed="false" customWidth="true" hidden="false" outlineLevel="0" max="7" min="6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5.88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201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s">
        <v>202</v>
      </c>
      <c r="F2" s="133" t="s">
        <v>203</v>
      </c>
      <c r="G2" s="133" t="s">
        <v>204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ינואר!E3+פברואר!E3+מרץ!E3+אפריל!E3+מאי!E3</f>
        <v>765644.29</v>
      </c>
      <c r="F3" s="138" t="n">
        <f aca="false">ינואר!F3+פברואר!F3+מרץ!F3+אפריל!F3+מאי!F3</f>
        <v>826817.4</v>
      </c>
      <c r="G3" s="138" t="n">
        <f aca="false">ינואר!G3+פברואר!G3+מרץ!G3+אפריל!G3+מאי!G3</f>
        <v>675311.6</v>
      </c>
      <c r="H3" s="139" t="n">
        <f aca="false">G3/F3-1</f>
        <v>-0.183239733464729</v>
      </c>
      <c r="I3" s="140" t="n">
        <f aca="false">G3-F3</f>
        <v>-151505.8</v>
      </c>
      <c r="J3" s="138" t="n">
        <f aca="false">ינואר!J3+פברואר!J3+מרץ!J3+אפריל!J3+מאי!J3</f>
        <v>899682.53968254</v>
      </c>
      <c r="K3" s="139" t="n">
        <f aca="false">G3/J3-1</f>
        <v>-0.249389011997178</v>
      </c>
      <c r="L3" s="142" t="n">
        <f aca="false">G3-J3</f>
        <v>-224370.93968254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ינואר!E4+פברואר!E4+מרץ!E4+אפריל!E4+מאי!E4</f>
        <v>2350844.041</v>
      </c>
      <c r="F4" s="138" t="n">
        <f aca="false">ינואר!F4+פברואר!F4+מרץ!F4+אפריל!F4+מאי!F4</f>
        <v>2794352.64260003</v>
      </c>
      <c r="G4" s="138" t="n">
        <f aca="false">ינואר!G4+פברואר!G4+מרץ!G4+אפריל!G4+מאי!G4</f>
        <v>2240183.491</v>
      </c>
      <c r="H4" s="139" t="n">
        <f aca="false">G4/F4-1</f>
        <v>-0.198317543445195</v>
      </c>
      <c r="I4" s="140" t="n">
        <f aca="false">G4-F4</f>
        <v>-554169.151600028</v>
      </c>
      <c r="J4" s="138" t="n">
        <f aca="false">ינואר!J4+פברואר!J4+מרץ!J4+אפריל!J4+מאי!J4</f>
        <v>2714206.34920635</v>
      </c>
      <c r="K4" s="139" t="n">
        <f aca="false">G4/J4-1</f>
        <v>-0.174645106973889</v>
      </c>
      <c r="L4" s="142" t="n">
        <f aca="false">G4-J4</f>
        <v>-474022.858206351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ינואר!E5+פברואר!E5+מרץ!E5+אפריל!E5+מאי!E5</f>
        <v>449106.931</v>
      </c>
      <c r="F5" s="138" t="n">
        <f aca="false">ינואר!F5+פברואר!F5+מרץ!F5+אפריל!F5+מאי!F5</f>
        <v>334455.21</v>
      </c>
      <c r="G5" s="138" t="n">
        <f aca="false">ינואר!G5+פברואר!G5+מרץ!G5+אפריל!G5+מאי!G5</f>
        <v>360710.532</v>
      </c>
      <c r="H5" s="139" t="n">
        <f aca="false">G5/F5-1</f>
        <v>0.0785017581277923</v>
      </c>
      <c r="I5" s="140" t="n">
        <f aca="false">G5-F5</f>
        <v>26255.322</v>
      </c>
      <c r="J5" s="138" t="n">
        <f aca="false">ינואר!J5+פברואר!J5+מרץ!J5+אפריל!J5+מאי!J5</f>
        <v>360714.285714286</v>
      </c>
      <c r="K5" s="139" t="n">
        <f aca="false">G5/J5-1</f>
        <v>-1.04063366334062E-005</v>
      </c>
      <c r="L5" s="142" t="n">
        <f aca="false">G5-J5</f>
        <v>-3.7537142856163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ינואר!E6+פברואר!E6+מרץ!E6+אפריל!E6+מאי!E6</f>
        <v>827534.741</v>
      </c>
      <c r="F6" s="138" t="n">
        <f aca="false">ינואר!F6+פברואר!F6+מרץ!F6+אפריל!F6+מאי!F6</f>
        <v>782310.939400002</v>
      </c>
      <c r="G6" s="138" t="n">
        <f aca="false">ינואר!G6+פברואר!G6+מרץ!G6+אפריל!G6+מאי!G6</f>
        <v>730156.397</v>
      </c>
      <c r="H6" s="139" t="n">
        <f aca="false">G6/F6-1</f>
        <v>-0.0666672799437037</v>
      </c>
      <c r="I6" s="140" t="n">
        <f aca="false">G6-F6</f>
        <v>-52154.5424000018</v>
      </c>
      <c r="J6" s="138" t="n">
        <f aca="false">ינואר!J6+פברואר!J6+מרץ!J6+אפריל!J6+מאי!J6</f>
        <v>777507.936507936</v>
      </c>
      <c r="K6" s="139" t="n">
        <f aca="false">G6/J6-1</f>
        <v>-0.060901679950186</v>
      </c>
      <c r="L6" s="142" t="n">
        <f aca="false">G6-J6</f>
        <v>-47351.5395079359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ינואר!E7+פברואר!E7+מרץ!E7+אפריל!E7+מאי!E7</f>
        <v>1761859.5</v>
      </c>
      <c r="F7" s="138" t="n">
        <f aca="false">ינואר!F7+פברואר!F7+מרץ!F7+אפריל!F7+מאי!F7</f>
        <v>1645344</v>
      </c>
      <c r="G7" s="138" t="n">
        <f aca="false">ינואר!G7+פברואר!G7+מרץ!G7+אפריל!G7+מאי!G7</f>
        <v>1403039.1</v>
      </c>
      <c r="H7" s="139" t="n">
        <f aca="false">G7/F7-1</f>
        <v>-0.147267015286773</v>
      </c>
      <c r="I7" s="140" t="n">
        <f aca="false">G7-F7</f>
        <v>-242304.9</v>
      </c>
      <c r="J7" s="138" t="n">
        <f aca="false">ינואר!J7+פברואר!J7+מרץ!J7+אפריל!J7+מאי!J7</f>
        <v>1825000</v>
      </c>
      <c r="K7" s="139" t="n">
        <f aca="false">G7/J7-1</f>
        <v>-0.231211452054794</v>
      </c>
      <c r="L7" s="142" t="n">
        <f aca="false">G7-J7</f>
        <v>-421960.9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ינואר!E8+פברואר!E8+מרץ!E8+אפריל!E8+מאי!E8</f>
        <v>369704.94</v>
      </c>
      <c r="F8" s="138" t="n">
        <f aca="false">ינואר!F8+פברואר!F8+מרץ!F8+אפריל!F8+מאי!F8</f>
        <v>365047.01</v>
      </c>
      <c r="G8" s="138" t="n">
        <f aca="false">ינואר!G8+פברואר!G8+מרץ!G8+אפריל!G8+מאי!G8</f>
        <v>273092.312</v>
      </c>
      <c r="H8" s="139" t="n">
        <f aca="false">G8/F8-1</f>
        <v>-0.251898236339479</v>
      </c>
      <c r="I8" s="140" t="n">
        <f aca="false">G8-F8</f>
        <v>-91954.698</v>
      </c>
      <c r="J8" s="138" t="n">
        <f aca="false">ינואר!J8+פברואר!J8+מרץ!J8+אפריל!J8+מאי!J8</f>
        <v>500793.65079365</v>
      </c>
      <c r="K8" s="139" t="n">
        <f aca="false">G8/J8-1</f>
        <v>-0.45468096177496</v>
      </c>
      <c r="L8" s="142" t="n">
        <f aca="false">G8-J8</f>
        <v>-227701.33879365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ינואר!E9+פברואר!E9+מרץ!E9+אפריל!E9+מאי!E9</f>
        <v>433858.1</v>
      </c>
      <c r="F9" s="138" t="n">
        <f aca="false">ינואר!F9+פברואר!F9+מרץ!F9+אפריל!F9+מאי!F9</f>
        <v>353945.2</v>
      </c>
      <c r="G9" s="138" t="n">
        <f aca="false">ינואר!G9+פברואר!G9+מרץ!G9+אפריל!G9+מאי!G9</f>
        <v>407554.35</v>
      </c>
      <c r="H9" s="139" t="n">
        <f aca="false">G9/F9-1</f>
        <v>0.151461723453235</v>
      </c>
      <c r="I9" s="140" t="n">
        <f aca="false">G9-F9</f>
        <v>53609.15</v>
      </c>
      <c r="J9" s="138" t="n">
        <f aca="false">ינואר!J9+פברואר!J9+מרץ!J9+אפריל!J9+מאי!J9</f>
        <v>752900.793650793</v>
      </c>
      <c r="K9" s="139" t="n">
        <f aca="false">G9/J9-1</f>
        <v>-0.458687846477381</v>
      </c>
      <c r="L9" s="142" t="n">
        <f aca="false">G9-J9</f>
        <v>-345346.443650793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ינואר!E10+פברואר!E10+מרץ!E10+אפריל!E10+מאי!E10</f>
        <v>79144.87</v>
      </c>
      <c r="F10" s="138" t="n">
        <f aca="false">ינואר!F10+פברואר!F10+מרץ!F10+אפריל!F10+מאי!F10</f>
        <v>86365.76</v>
      </c>
      <c r="G10" s="138" t="n">
        <f aca="false">ינואר!G10+פברואר!G10+מרץ!G10+אפריל!G10+מאי!G10</f>
        <v>54473.64</v>
      </c>
      <c r="H10" s="139" t="n">
        <f aca="false">G10/F10-1</f>
        <v>-0.36926809883917</v>
      </c>
      <c r="I10" s="140" t="n">
        <f aca="false">G10-F10</f>
        <v>-31892.12</v>
      </c>
      <c r="J10" s="138" t="n">
        <f aca="false">ינואר!J10+פברואר!J10+מרץ!J10+אפריל!J10+מאי!J10</f>
        <v>76150.7936507936</v>
      </c>
      <c r="K10" s="139" t="n">
        <f aca="false">G10/J10-1</f>
        <v>-0.284660902553413</v>
      </c>
      <c r="L10" s="142" t="n">
        <f aca="false">G10-J10</f>
        <v>-21677.1536507936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ינואר!E11+פברואר!E11+מרץ!E11+אפריל!E11+מאי!E11</f>
        <v>21739.1</v>
      </c>
      <c r="F11" s="138" t="n">
        <f aca="false">ינואר!F11+פברואר!F11+מרץ!F11+אפריל!F11+מאי!F11</f>
        <v>31349.36</v>
      </c>
      <c r="G11" s="138" t="n">
        <f aca="false">ינואר!G11+פברואר!G11+מרץ!G11+אפריל!G11+מאי!G11</f>
        <v>25030.83</v>
      </c>
      <c r="H11" s="139" t="n">
        <f aca="false">G11/F11-1</f>
        <v>-0.201552121000237</v>
      </c>
      <c r="I11" s="140" t="n">
        <f aca="false">G11-F11</f>
        <v>-6318.53</v>
      </c>
      <c r="J11" s="138" t="n">
        <f aca="false">ינואר!J11+פברואר!J11+מרץ!J11+אפריל!J11+מאי!J11</f>
        <v>38079.3650793651</v>
      </c>
      <c r="K11" s="139" t="n">
        <f aca="false">G11/J11-1</f>
        <v>-0.342666823676532</v>
      </c>
      <c r="L11" s="142" t="n">
        <f aca="false">G11-J11</f>
        <v>-13048.5350793651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ינואר!E12+פברואר!E12+מרץ!E12+אפריל!E12+מאי!E12</f>
        <v>850.4</v>
      </c>
      <c r="F12" s="138" t="n">
        <f aca="false">ינואר!F12+פברואר!F12+מרץ!F12+אפריל!F12+מאי!F12</f>
        <v>1732.3</v>
      </c>
      <c r="G12" s="138" t="n">
        <f aca="false">ינואר!G12+פברואר!G12+מרץ!G12+אפריל!G12+מאי!G12</f>
        <v>1917.16</v>
      </c>
      <c r="H12" s="139" t="n">
        <f aca="false">G12/F12-1</f>
        <v>0.106713617733649</v>
      </c>
      <c r="I12" s="140" t="n">
        <f aca="false">G12-F12</f>
        <v>184.86</v>
      </c>
      <c r="J12" s="138" t="n">
        <f aca="false">ינואר!J12+פברואר!J12+מרץ!J12+אפריל!J12+מאי!J12</f>
        <v>0</v>
      </c>
      <c r="K12" s="139"/>
      <c r="L12" s="142" t="n">
        <f aca="false">G12-J12</f>
        <v>1917.16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ינואר!E13+פברואר!E13+מרץ!E13+אפריל!E13+מאי!E13</f>
        <v>1597.46</v>
      </c>
      <c r="F13" s="138" t="n">
        <f aca="false">ינואר!F13+פברואר!F13+מרץ!F13+אפריל!F13+מאי!F13</f>
        <v>0</v>
      </c>
      <c r="G13" s="138" t="n">
        <f aca="false">ינואר!G13+פברואר!G13+מרץ!G13+אפריל!G13+מאי!G13</f>
        <v>1896.82</v>
      </c>
      <c r="H13" s="139" t="str">
        <f aca="false">IFERROR(G13/F13-1,"-")</f>
        <v>-</v>
      </c>
      <c r="I13" s="140" t="n">
        <f aca="false">G13-F13</f>
        <v>1896.82</v>
      </c>
      <c r="J13" s="138" t="n">
        <f aca="false">ינואר!J13+פברואר!J13+מרץ!J13+אפריל!J13+מאי!J13</f>
        <v>12500</v>
      </c>
      <c r="K13" s="139" t="n">
        <f aca="false">G13/J13-1</f>
        <v>-0.8482544</v>
      </c>
      <c r="L13" s="142" t="n">
        <f aca="false">G13-J13</f>
        <v>-10603.18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ינואר!E14+פברואר!E14+מרץ!E14+אפריל!E14+מאי!E14</f>
        <v>1275.21</v>
      </c>
      <c r="F14" s="138" t="n">
        <f aca="false">ינואר!F14+פברואר!F14+מרץ!F14+אפריל!F14+מאי!F14</f>
        <v>11067.51</v>
      </c>
      <c r="G14" s="138" t="n">
        <f aca="false">ינואר!G14+פברואר!G14+מרץ!G14+אפריל!G14+מאי!G14</f>
        <v>7748.72</v>
      </c>
      <c r="H14" s="139" t="n">
        <f aca="false">G14/F14-1</f>
        <v>-0.299867811278237</v>
      </c>
      <c r="I14" s="140" t="n">
        <f aca="false">G14-F14</f>
        <v>-3318.79</v>
      </c>
      <c r="J14" s="138" t="n">
        <f aca="false">ינואר!J14+פברואר!J14+מרץ!J14+אפריל!J14+מאי!J14</f>
        <v>100000</v>
      </c>
      <c r="K14" s="139" t="n">
        <f aca="false">G14/J14-1</f>
        <v>-0.9225128</v>
      </c>
      <c r="L14" s="142" t="n">
        <f aca="false">G14-J14</f>
        <v>-92251.28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ינואר!E15+פברואר!E15+מרץ!E15+אפריל!E15+מאי!E15</f>
        <v>26681.75</v>
      </c>
      <c r="F15" s="138" t="n">
        <f aca="false">ינואר!F15+פברואר!F15+מרץ!F15+אפריל!F15+מאי!F15</f>
        <v>36459.93</v>
      </c>
      <c r="G15" s="138" t="n">
        <f aca="false">ינואר!G15+פברואר!G15+מרץ!G15+אפריל!G15+מאי!G15</f>
        <v>73467.69</v>
      </c>
      <c r="H15" s="139" t="n">
        <f aca="false">G15/F15-1</f>
        <v>1.01502553625309</v>
      </c>
      <c r="I15" s="140" t="n">
        <f aca="false">G15-F15</f>
        <v>37007.76</v>
      </c>
      <c r="J15" s="138" t="n">
        <f aca="false">ינואר!J15+פברואר!J15+מרץ!J15+אפריל!J15+מאי!J15</f>
        <v>80158.7301587303</v>
      </c>
      <c r="K15" s="139" t="n">
        <f aca="false">G15/J15-1</f>
        <v>-0.0834723821782193</v>
      </c>
      <c r="L15" s="142" t="n">
        <f aca="false">G15-J15</f>
        <v>-6691.04015873029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</f>
        <v>7089841.333</v>
      </c>
      <c r="F16" s="144" t="n">
        <f aca="false">SUM(F3:F15)</f>
        <v>7269247.26200003</v>
      </c>
      <c r="G16" s="144" t="n">
        <f aca="false">SUM(G3:G15)</f>
        <v>6254582.642</v>
      </c>
      <c r="H16" s="145" t="n">
        <f aca="false">G16/F16-1</f>
        <v>-0.139583176005607</v>
      </c>
      <c r="I16" s="144" t="n">
        <f aca="false">SUM(I3:I15)</f>
        <v>-1014664.62000003</v>
      </c>
      <c r="J16" s="144" t="n">
        <f aca="false">SUM(J3:J15)</f>
        <v>8137694.44444445</v>
      </c>
      <c r="K16" s="145" t="n">
        <f aca="false">G16/J16-1</f>
        <v>-0.231406059210055</v>
      </c>
      <c r="L16" s="144" t="n">
        <f aca="false">SUM(L3:L15)</f>
        <v>-1883111.80244444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ינואר!E17+פברואר!E17+מרץ!E17+אפריל!E17+מאי!E17</f>
        <v>221197.48</v>
      </c>
      <c r="F17" s="138" t="n">
        <f aca="false">ינואר!F17+פברואר!F17+מרץ!F17+אפריל!F17+מאי!F17</f>
        <v>484788.85</v>
      </c>
      <c r="G17" s="138" t="n">
        <f aca="false">ינואר!G17+פברואר!G17+מרץ!G17+אפריל!G17+מאי!G17</f>
        <v>1807840.14000003</v>
      </c>
      <c r="H17" s="139" t="n">
        <f aca="false">G17/F17-1</f>
        <v>2.72912895995862</v>
      </c>
      <c r="I17" s="140" t="n">
        <f aca="false">G17-F17</f>
        <v>1323051.29000003</v>
      </c>
      <c r="J17" s="138" t="n">
        <f aca="false">ינואר!J17+פברואר!J17+מרץ!J17+אפריל!J17+מאי!J17</f>
        <v>2276716.10169492</v>
      </c>
      <c r="K17" s="139" t="n">
        <f aca="false">G17/J17-1</f>
        <v>-0.205943974018466</v>
      </c>
      <c r="L17" s="142" t="n">
        <f aca="false">G17-J17</f>
        <v>-468875.961694881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ינואר!E18+פברואר!E18+מרץ!E18+אפריל!E18+מאי!E18</f>
        <v>10754.78</v>
      </c>
      <c r="F18" s="138" t="n">
        <f aca="false">ינואר!F18+פברואר!F18+מרץ!F18+אפריל!F18+מאי!F18</f>
        <v>12896.22</v>
      </c>
      <c r="G18" s="138" t="n">
        <f aca="false">ינואר!G18+פברואר!G18+מרץ!G18+אפריל!G18+מאי!G18</f>
        <v>8737.73</v>
      </c>
      <c r="H18" s="139" t="n">
        <f aca="false">G18/F18-1</f>
        <v>-0.322458053600202</v>
      </c>
      <c r="I18" s="140" t="n">
        <f aca="false">G18-F18</f>
        <v>-4158.49</v>
      </c>
      <c r="J18" s="138" t="n">
        <f aca="false">ינואר!J18+פברואר!J18+מרץ!J18+אפריל!J18+מאי!J18</f>
        <v>12684.6416666667</v>
      </c>
      <c r="K18" s="139" t="n">
        <f aca="false">G18/J18-1</f>
        <v>-0.311156733503836</v>
      </c>
      <c r="L18" s="142" t="n">
        <f aca="false">G18-J18</f>
        <v>-3946.91166666665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7321793.593</v>
      </c>
      <c r="F19" s="146" t="n">
        <f aca="false">F16+F17+F18</f>
        <v>7766932.33200003</v>
      </c>
      <c r="G19" s="146" t="n">
        <f aca="false">G16+G17+G18</f>
        <v>8071160.51200004</v>
      </c>
      <c r="H19" s="147" t="n">
        <f aca="false">G19/F19-1</f>
        <v>0.0391696704690701</v>
      </c>
      <c r="I19" s="146" t="n">
        <f aca="false">I16+I17+I18</f>
        <v>304228.180000005</v>
      </c>
      <c r="J19" s="146" t="n">
        <f aca="false">J16+J17+J18</f>
        <v>10427095.187806</v>
      </c>
      <c r="K19" s="147" t="n">
        <f aca="false">G19/J19-1</f>
        <v>-0.225943528218783</v>
      </c>
      <c r="L19" s="146" t="n">
        <f aca="false">L16+L17+L18</f>
        <v>-2355934.67580599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ינואר!E20+פברואר!E20+מרץ!E20+אפריל!E20+מאי!E20</f>
        <v>1686675.95</v>
      </c>
      <c r="F20" s="138" t="n">
        <f aca="false">ינואר!F20+פברואר!F20+מרץ!F20+אפריל!F20+מאי!F20</f>
        <v>1106654.11</v>
      </c>
      <c r="G20" s="138" t="n">
        <f aca="false">ינואר!G20+פברואר!G20+מרץ!G20+אפריל!G20+מאי!G20</f>
        <v>1025328.2</v>
      </c>
      <c r="H20" s="139" t="n">
        <f aca="false">G20/F20-1</f>
        <v>-0.0734881018966261</v>
      </c>
      <c r="I20" s="140" t="n">
        <f aca="false">G20-F20</f>
        <v>-81325.9100000002</v>
      </c>
      <c r="J20" s="138" t="n">
        <f aca="false">ינואר!J20+פברואר!J20+מרץ!J20+אפריל!J20+מאי!J20</f>
        <v>1683032.1399375</v>
      </c>
      <c r="K20" s="139" t="n">
        <f aca="false">G20/J20-1</f>
        <v>-0.390785133765731</v>
      </c>
      <c r="L20" s="142" t="n">
        <f aca="false">G20-J20</f>
        <v>-657703.9399375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ינואר!E21+פברואר!E21+מרץ!E21+אפריל!E21+מאי!E21</f>
        <v>440395.64</v>
      </c>
      <c r="F21" s="138" t="n">
        <f aca="false">ינואר!F21+פברואר!F21+מרץ!F21+אפריל!F21+מאי!F21</f>
        <v>430264.8</v>
      </c>
      <c r="G21" s="138" t="n">
        <f aca="false">ינואר!G21+פברואר!G21+מרץ!G21+אפריל!G21+מאי!G21</f>
        <v>342081.02</v>
      </c>
      <c r="H21" s="139" t="n">
        <f aca="false">G21/F21-1</f>
        <v>-0.204952345625299</v>
      </c>
      <c r="I21" s="140" t="n">
        <f aca="false">G21-F21</f>
        <v>-88183.78</v>
      </c>
      <c r="J21" s="138" t="n">
        <f aca="false">ינואר!J21+פברואר!J21+מרץ!J21+אפריל!J21+מאי!J21</f>
        <v>470400</v>
      </c>
      <c r="K21" s="139" t="n">
        <f aca="false">G21/J21-1</f>
        <v>-0.272786947278912</v>
      </c>
      <c r="L21" s="142" t="n">
        <f aca="false">G21-J21</f>
        <v>-128318.98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ינואר!E22+פברואר!E22+מרץ!E22+אפריל!E22+מאי!E22</f>
        <v>304111.38</v>
      </c>
      <c r="F22" s="138" t="n">
        <f aca="false">ינואר!F22+פברואר!F22+מרץ!F22+אפריל!F22+מאי!F22</f>
        <v>82086.33</v>
      </c>
      <c r="G22" s="138" t="n">
        <f aca="false">ינואר!G22+פברואר!G22+מרץ!G22+אפריל!G22+מאי!G22</f>
        <v>278021.25</v>
      </c>
      <c r="H22" s="139" t="n">
        <f aca="false">G22/F22-1</f>
        <v>2.38693726470656</v>
      </c>
      <c r="I22" s="140" t="n">
        <f aca="false">G22-F22</f>
        <v>195934.92</v>
      </c>
      <c r="J22" s="138" t="n">
        <f aca="false">ינואר!J22+פברואר!J22+מרץ!J22+אפריל!J22+מאי!J22</f>
        <v>266610.27</v>
      </c>
      <c r="K22" s="139" t="n">
        <f aca="false">G22/J22-1</f>
        <v>0.0428002267129468</v>
      </c>
      <c r="L22" s="142" t="n">
        <f aca="false">G22-J22</f>
        <v>11410.98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ינואר!E23+פברואר!E23+מרץ!E23+אפריל!E23+מאי!E23</f>
        <v>153212.06</v>
      </c>
      <c r="F23" s="138" t="n">
        <f aca="false">ינואר!F23+פברואר!F23+מרץ!F23+אפריל!F23+מאי!F23</f>
        <v>174270.07</v>
      </c>
      <c r="G23" s="138" t="n">
        <f aca="false">ינואר!G23+פברואר!G23+מרץ!G23+אפריל!G23+מאי!G23</f>
        <v>159563.93</v>
      </c>
      <c r="H23" s="139" t="n">
        <f aca="false">G23/F23-1</f>
        <v>-0.0843870665800502</v>
      </c>
      <c r="I23" s="140" t="n">
        <f aca="false">G23-F23</f>
        <v>-14706.14</v>
      </c>
      <c r="J23" s="138" t="n">
        <f aca="false">ינואר!J23+פברואר!J23+מרץ!J23+אפריל!J23+מאי!J23</f>
        <v>247158.97</v>
      </c>
      <c r="K23" s="139" t="n">
        <f aca="false">G23/J23-1</f>
        <v>-0.354407691535533</v>
      </c>
      <c r="L23" s="142" t="n">
        <f aca="false">G23-J23</f>
        <v>-87595.04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ינואר!E24+פברואר!E24+מרץ!E24+אפריל!E24+מאי!E24</f>
        <v>49857.25</v>
      </c>
      <c r="F24" s="138" t="n">
        <f aca="false">ינואר!F24+פברואר!F24+מרץ!F24+אפריל!F24+מאי!F24</f>
        <v>41888.1</v>
      </c>
      <c r="G24" s="138" t="n">
        <f aca="false">ינואר!G24+פברואר!G24+מרץ!G24+אפריל!G24+מאי!G24</f>
        <v>60883.59</v>
      </c>
      <c r="H24" s="139" t="n">
        <f aca="false">G24/F24-1</f>
        <v>0.453481776447249</v>
      </c>
      <c r="I24" s="140" t="n">
        <f aca="false">G24-F24</f>
        <v>18995.49</v>
      </c>
      <c r="J24" s="138" t="n">
        <f aca="false">ינואר!J24+פברואר!J24+מרץ!J24+אפריל!J24+מאי!J24</f>
        <v>59774.92</v>
      </c>
      <c r="K24" s="139" t="n">
        <f aca="false">G24/J24-1</f>
        <v>0.0185474108539165</v>
      </c>
      <c r="L24" s="142" t="n">
        <f aca="false">G24-J24</f>
        <v>1108.67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ינואר!E25+פברואר!E25+מרץ!E25+אפריל!E25+מאי!E25</f>
        <v>50777.76</v>
      </c>
      <c r="F25" s="138" t="n">
        <f aca="false">ינואר!F25+פברואר!F25+מרץ!F25+אפריל!F25+מאי!F25</f>
        <v>52899.82</v>
      </c>
      <c r="G25" s="138" t="n">
        <f aca="false">ינואר!G25+פברואר!G25+מרץ!G25+אפריל!G25+מאי!G25</f>
        <v>0</v>
      </c>
      <c r="H25" s="139" t="n">
        <f aca="false">G25/F25-1</f>
        <v>-1</v>
      </c>
      <c r="I25" s="140" t="n">
        <f aca="false">G25-F25</f>
        <v>-52899.82</v>
      </c>
      <c r="J25" s="138" t="n">
        <f aca="false">ינואר!J25+פברואר!J25+מרץ!J25+אפריל!J25+מאי!J25</f>
        <v>15000</v>
      </c>
      <c r="K25" s="139" t="n">
        <f aca="false">G25/J25-1</f>
        <v>-1</v>
      </c>
      <c r="L25" s="142" t="n">
        <f aca="false">G25-J25</f>
        <v>-15000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ינואר!E26+פברואר!E26+מרץ!E26+אפריל!E26+מאי!E26</f>
        <v>249206.12</v>
      </c>
      <c r="F26" s="138" t="n">
        <f aca="false">ינואר!F26+פברואר!F26+מרץ!F26+אפריל!F26+מאי!F26</f>
        <v>172805.6</v>
      </c>
      <c r="G26" s="138" t="n">
        <f aca="false">ינואר!G26+פברואר!G26+מרץ!G26+אפריל!G26+מאי!G26</f>
        <v>144147.47</v>
      </c>
      <c r="H26" s="139" t="n">
        <f aca="false">G26/F26-1</f>
        <v>-0.165840285268533</v>
      </c>
      <c r="I26" s="140" t="n">
        <f aca="false">G26-F26</f>
        <v>-28658.13</v>
      </c>
      <c r="J26" s="138" t="n">
        <f aca="false">ינואר!J26+פברואר!J26+מרץ!J26+אפריל!J26+מאי!J26</f>
        <v>150000</v>
      </c>
      <c r="K26" s="139" t="n">
        <f aca="false">G26/J26-1</f>
        <v>-0.0390168666666668</v>
      </c>
      <c r="L26" s="142" t="n">
        <f aca="false">G26-J26</f>
        <v>-5852.53000000003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ינואר!E27+פברואר!E27+מרץ!E27+אפריל!E27+מאי!E27</f>
        <v>62495</v>
      </c>
      <c r="F27" s="138" t="n">
        <f aca="false">ינואר!F27+פברואר!F27+מרץ!F27+אפריל!F27+מאי!F27</f>
        <v>35240.62</v>
      </c>
      <c r="G27" s="138" t="n">
        <f aca="false">ינואר!G27+פברואר!G27+מרץ!G27+אפריל!G27+מאי!G27</f>
        <v>60694.01</v>
      </c>
      <c r="H27" s="139" t="n">
        <f aca="false">G27/F27-1</f>
        <v>0.722274182463305</v>
      </c>
      <c r="I27" s="140" t="n">
        <f aca="false">G27-F27</f>
        <v>25453.39</v>
      </c>
      <c r="J27" s="138" t="n">
        <f aca="false">ינואר!J27+פברואר!J27+מרץ!J27+אפריל!J27+מאי!J27</f>
        <v>80000</v>
      </c>
      <c r="K27" s="139" t="n">
        <f aca="false">G27/J27-1</f>
        <v>-0.241324875</v>
      </c>
      <c r="L27" s="142" t="n">
        <f aca="false">G27-J27</f>
        <v>-19305.99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ינואר!E28+פברואר!E28+מרץ!E28+אפריל!E28+מאי!E28</f>
        <v>171813.81</v>
      </c>
      <c r="F28" s="138" t="n">
        <f aca="false">ינואר!F28+פברואר!F28+מרץ!F28+אפריל!F28+מאי!F28</f>
        <v>0.22</v>
      </c>
      <c r="G28" s="138" t="n">
        <f aca="false">ינואר!G28+פברואר!G28+מרץ!G28+אפריל!G28+מאי!G28</f>
        <v>0</v>
      </c>
      <c r="H28" s="139" t="n">
        <f aca="false">G28/F28-1</f>
        <v>-1</v>
      </c>
      <c r="I28" s="140" t="n">
        <f aca="false">G28-F28</f>
        <v>-0.22</v>
      </c>
      <c r="J28" s="138" t="n">
        <f aca="false">ינואר!J28+פברואר!J28+מרץ!J28+אפריל!J28+מאי!J28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ינואר!E29+פברואר!E29+מרץ!E29+אפריל!E29+מאי!E29</f>
        <v>134509.53</v>
      </c>
      <c r="F29" s="138" t="n">
        <f aca="false">ינואר!F29+פברואר!F29+מרץ!F29+אפריל!F29+מאי!F29</f>
        <v>188249.37</v>
      </c>
      <c r="G29" s="138" t="n">
        <f aca="false">ינואר!G29+פברואר!G29+מרץ!G29+אפריל!G29+מאי!G29</f>
        <v>146122.13</v>
      </c>
      <c r="H29" s="139" t="n">
        <f aca="false">G29/F29-1</f>
        <v>-0.223784228335</v>
      </c>
      <c r="I29" s="140" t="n">
        <f aca="false">G29-F29</f>
        <v>-42127.24</v>
      </c>
      <c r="J29" s="138" t="n">
        <f aca="false">ינואר!J29+פברואר!J29+מרץ!J29+אפריל!J29+מאי!J29</f>
        <v>171644.468</v>
      </c>
      <c r="K29" s="139" t="n">
        <f aca="false">G29/J29-1</f>
        <v>-0.148693041479204</v>
      </c>
      <c r="L29" s="142" t="n">
        <f aca="false">G29-J29</f>
        <v>-25522.338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ינואר!E30+פברואר!E30+מרץ!E30+אפריל!E30+מאי!E30</f>
        <v>49617.59</v>
      </c>
      <c r="F30" s="138" t="n">
        <f aca="false">ינואר!F30+פברואר!F30+מרץ!F30+אפריל!F30+מאי!F30</f>
        <v>32010.18</v>
      </c>
      <c r="G30" s="138" t="n">
        <f aca="false">ינואר!G30+פברואר!G30+מרץ!G30+אפריל!G30+מאי!G30</f>
        <v>43116.44</v>
      </c>
      <c r="H30" s="139" t="n">
        <f aca="false">G30/F30-1</f>
        <v>0.346960248271019</v>
      </c>
      <c r="I30" s="140" t="n">
        <f aca="false">G30-F30</f>
        <v>11106.26</v>
      </c>
      <c r="J30" s="138" t="n">
        <f aca="false">ינואר!J30+פברואר!J30+מרץ!J30+אפריל!J30+מאי!J30</f>
        <v>35000</v>
      </c>
      <c r="K30" s="139" t="n">
        <f aca="false">G30/J30-1</f>
        <v>0.231898285714286</v>
      </c>
      <c r="L30" s="142" t="n">
        <f aca="false">G30-J30</f>
        <v>8116.44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ינואר!E31+פברואר!E31+מרץ!E31+אפריל!E31+מאי!E31</f>
        <v>20354.79</v>
      </c>
      <c r="F31" s="138" t="n">
        <f aca="false">ינואר!F31+פברואר!F31+מרץ!F31+אפריל!F31+מאי!F31</f>
        <v>38733.3</v>
      </c>
      <c r="G31" s="138" t="n">
        <f aca="false">ינואר!G31+פברואר!G31+מרץ!G31+אפריל!G31+מאי!G31</f>
        <v>17809.5</v>
      </c>
      <c r="H31" s="139" t="n">
        <f aca="false">G31/F31-1</f>
        <v>-0.540201841826026</v>
      </c>
      <c r="I31" s="140" t="n">
        <f aca="false">G31-F31</f>
        <v>-20923.8</v>
      </c>
      <c r="J31" s="138" t="n">
        <f aca="false">ינואר!J31+פברואר!J31+מרץ!J31+אפריל!J31+מאי!J31</f>
        <v>20000</v>
      </c>
      <c r="K31" s="139" t="n">
        <f aca="false">G31/J31-1</f>
        <v>-0.109525</v>
      </c>
      <c r="L31" s="142" t="n">
        <f aca="false">G31-J31</f>
        <v>-2190.5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ינואר!E32+פברואר!E32+מרץ!E32+אפריל!E32+מאי!E32</f>
        <v>0</v>
      </c>
      <c r="F32" s="138" t="n">
        <f aca="false">ינואר!F32+פברואר!F32+מרץ!F32+אפריל!F32+מאי!F32</f>
        <v>16024.5</v>
      </c>
      <c r="G32" s="138" t="n">
        <f aca="false">ינואר!G32+פברואר!G32+מרץ!G32+אפריל!G32+מאי!G32</f>
        <v>0</v>
      </c>
      <c r="H32" s="139" t="n">
        <f aca="false">G32/F32-1</f>
        <v>-1</v>
      </c>
      <c r="I32" s="140" t="n">
        <f aca="false">G32-F32</f>
        <v>-16024.5</v>
      </c>
      <c r="J32" s="138" t="n">
        <f aca="false">ינואר!J32+פברואר!J32+מרץ!J32+אפריל!J32+מאי!J32</f>
        <v>18000</v>
      </c>
      <c r="K32" s="139" t="n">
        <f aca="false">G32/J32-1</f>
        <v>-1</v>
      </c>
      <c r="L32" s="142" t="n">
        <f aca="false">G32-J32</f>
        <v>-18000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 t="n">
        <f aca="false">ינואר!E33+פברואר!E33+מרץ!E33+אפריל!E33+מאי!E33</f>
        <v>0</v>
      </c>
      <c r="F33" s="138" t="n">
        <f aca="false">ינואר!F33+פברואר!F33+מרץ!F33+אפריל!F33+מאי!F33</f>
        <v>0</v>
      </c>
      <c r="G33" s="138" t="n">
        <f aca="false">ינואר!G33+פברואר!G33+מרץ!G33+אפריל!G33+מאי!G33</f>
        <v>0</v>
      </c>
      <c r="H33" s="139" t="str">
        <f aca="false">IFERROR(G33/F33-1,"-")</f>
        <v>-</v>
      </c>
      <c r="I33" s="140" t="n">
        <f aca="false">G33-F33</f>
        <v>0</v>
      </c>
      <c r="J33" s="138" t="n">
        <f aca="false">ינואר!J33+פברואר!J33+מרץ!J33+אפריל!J33+מאי!J33</f>
        <v>0</v>
      </c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ינואר!E34+פברואר!E34+מרץ!E34+אפריל!E34+מאי!E34</f>
        <v>19941.82</v>
      </c>
      <c r="F34" s="138" t="n">
        <f aca="false">ינואר!F34+פברואר!F34+מרץ!F34+אפריל!F34+מאי!F34</f>
        <v>39713.57</v>
      </c>
      <c r="G34" s="138" t="n">
        <f aca="false">ינואר!G34+פברואר!G34+מרץ!G34+אפריל!G34+מאי!G34</f>
        <v>18792.66</v>
      </c>
      <c r="H34" s="139" t="n">
        <f aca="false">G34/F34-1</f>
        <v>-0.52679499727675</v>
      </c>
      <c r="I34" s="140" t="n">
        <f aca="false">G34-F34</f>
        <v>-20920.91</v>
      </c>
      <c r="J34" s="138" t="n">
        <f aca="false">ינואר!J34+פברואר!J34+מרץ!J34+אפריל!J34+מאי!J34</f>
        <v>40000</v>
      </c>
      <c r="K34" s="139" t="n">
        <f aca="false">G34/J34-1</f>
        <v>-0.5301835</v>
      </c>
      <c r="L34" s="142" t="n">
        <f aca="false">G34-J34</f>
        <v>-21207.34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ינואר!E35+פברואר!E35+מרץ!E35+אפריל!E35+מאי!E35</f>
        <v>34034.18</v>
      </c>
      <c r="F35" s="138" t="n">
        <f aca="false">ינואר!F35+פברואר!F35+מרץ!F35+אפריל!F35+מאי!F35</f>
        <v>30531.53</v>
      </c>
      <c r="G35" s="138" t="n">
        <f aca="false">ינואר!G35+פברואר!G35+מרץ!G35+אפריל!G35+מאי!G35</f>
        <v>0</v>
      </c>
      <c r="H35" s="139" t="n">
        <f aca="false">G35/F35-1</f>
        <v>-1</v>
      </c>
      <c r="I35" s="140" t="n">
        <f aca="false">G35-F35</f>
        <v>-30531.53</v>
      </c>
      <c r="J35" s="138" t="n">
        <f aca="false">ינואר!J35+פברואר!J35+מרץ!J35+אפריל!J35+מאי!J35</f>
        <v>40000</v>
      </c>
      <c r="K35" s="139" t="n">
        <f aca="false">G35/J35-1</f>
        <v>-1</v>
      </c>
      <c r="L35" s="142" t="n">
        <f aca="false">G35-J35</f>
        <v>-40000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ינואר!E36+פברואר!E36+מרץ!E36+אפריל!E36+מאי!E36</f>
        <v>41531.96</v>
      </c>
      <c r="F36" s="138" t="n">
        <f aca="false">ינואר!F36+פברואר!F36+מרץ!F36+אפריל!F36+מאי!F36</f>
        <v>0</v>
      </c>
      <c r="G36" s="138" t="n">
        <f aca="false">ינואר!G36+פברואר!G36+מרץ!G36+אפריל!G36+מאי!G36</f>
        <v>0</v>
      </c>
      <c r="H36" s="139" t="str">
        <f aca="false">IFERROR(G36/F36-1,"-")</f>
        <v>-</v>
      </c>
      <c r="I36" s="140" t="n">
        <f aca="false">G36-F36</f>
        <v>0</v>
      </c>
      <c r="J36" s="138" t="n">
        <f aca="false">ינואר!J36+פברואר!J36+מרץ!J36+אפריל!J36+מאי!J36</f>
        <v>0</v>
      </c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ינואר!E37+פברואר!E37+מרץ!E37+אפריל!E37+מאי!E37</f>
        <v>0</v>
      </c>
      <c r="F37" s="138" t="n">
        <f aca="false">ינואר!F37+פברואר!F37+מרץ!F37+אפריל!F37+מאי!F37</f>
        <v>0</v>
      </c>
      <c r="G37" s="138" t="n">
        <f aca="false">ינואר!G37+פברואר!G37+מרץ!G37+אפריל!G37+מאי!G37</f>
        <v>0</v>
      </c>
      <c r="H37" s="139" t="str">
        <f aca="false">IFERROR(G37/F37-1,"-")</f>
        <v>-</v>
      </c>
      <c r="I37" s="140" t="n">
        <f aca="false">G37-F37</f>
        <v>0</v>
      </c>
      <c r="J37" s="138" t="n">
        <f aca="false">ינואר!J37+פברואר!J37+מרץ!J37+אפריל!J37+מאי!J37</f>
        <v>0</v>
      </c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ינואר!E38+פברואר!E38+מרץ!E38+אפריל!E38+מאי!E38</f>
        <v>0</v>
      </c>
      <c r="F38" s="138" t="n">
        <f aca="false">ינואר!F38+פברואר!F38+מרץ!F38+אפריל!F38+מאי!F38</f>
        <v>248.59</v>
      </c>
      <c r="G38" s="138" t="n">
        <f aca="false">ינואר!G38+פברואר!G38+מרץ!G38+אפריל!G38+מאי!G38</f>
        <v>0</v>
      </c>
      <c r="H38" s="139" t="n">
        <f aca="false">G38/F38-1</f>
        <v>-1</v>
      </c>
      <c r="I38" s="140" t="n">
        <f aca="false">G38-F38</f>
        <v>-248.59</v>
      </c>
      <c r="J38" s="138" t="n">
        <f aca="false">ינואר!J38+פברואר!J38+מרץ!J38+אפריל!J38+מאי!J38</f>
        <v>200000</v>
      </c>
      <c r="K38" s="139" t="n">
        <f aca="false">G38/J38-1</f>
        <v>-1</v>
      </c>
      <c r="L38" s="142" t="n">
        <f aca="false">G38-J38</f>
        <v>-200000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 t="n">
        <f aca="false">ינואר!E39+פברואר!E39+מרץ!E39+אפריל!E39+מאי!E39</f>
        <v>0</v>
      </c>
      <c r="F39" s="138" t="n">
        <f aca="false">ינואר!F39+פברואר!F39+מרץ!F39+אפריל!F39+מאי!F39</f>
        <v>0</v>
      </c>
      <c r="G39" s="138" t="n">
        <f aca="false">ינואר!G39+פברואר!G39+מרץ!G39+אפריל!G39+מאי!G39</f>
        <v>0</v>
      </c>
      <c r="H39" s="139" t="str">
        <f aca="false">IFERROR(G39/F39-1,"-")</f>
        <v>-</v>
      </c>
      <c r="I39" s="140" t="n">
        <f aca="false">G39-F39</f>
        <v>0</v>
      </c>
      <c r="J39" s="138" t="n">
        <f aca="false">ינואר!J39+פברואר!J39+מרץ!J39+אפריל!J39+מאי!J39</f>
        <v>0</v>
      </c>
      <c r="K39" s="139" t="str">
        <f aca="false">IFERROR(G39/J39-1,"-")</f>
        <v>-</v>
      </c>
      <c r="L39" s="142" t="n">
        <f aca="false">G39-J39</f>
        <v>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</f>
        <v>3468534.84</v>
      </c>
      <c r="F40" s="149" t="n">
        <f aca="false">SUM(F20:F39)</f>
        <v>2441620.71</v>
      </c>
      <c r="G40" s="149" t="n">
        <f aca="false">SUM(G20:G39)</f>
        <v>2296560.2</v>
      </c>
      <c r="H40" s="150" t="n">
        <f aca="false">G40/F40-1</f>
        <v>-0.059411566016738</v>
      </c>
      <c r="I40" s="149" t="n">
        <f aca="false">SUM(I20:I39)</f>
        <v>-145060.51</v>
      </c>
      <c r="J40" s="149" t="n">
        <f aca="false">SUM(J20:J39)</f>
        <v>3496620.7679375</v>
      </c>
      <c r="K40" s="150" t="n">
        <f aca="false">G40/J40-1</f>
        <v>-0.343205811434153</v>
      </c>
      <c r="L40" s="149" t="n">
        <f aca="false">SUM(L20:L39)</f>
        <v>-1200060.5679375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10790328.433</v>
      </c>
      <c r="F41" s="152" t="n">
        <f aca="false">F40+F19</f>
        <v>10208553.042</v>
      </c>
      <c r="G41" s="152" t="n">
        <f aca="false">G40+G19</f>
        <v>10367720.712</v>
      </c>
      <c r="H41" s="153" t="n">
        <f aca="false">G41/F41-1</f>
        <v>0.0155915994504958</v>
      </c>
      <c r="I41" s="152" t="n">
        <f aca="false">I40+I19</f>
        <v>159167.670000005</v>
      </c>
      <c r="J41" s="152" t="n">
        <f aca="false">J40+J19</f>
        <v>13923715.9557435</v>
      </c>
      <c r="K41" s="153" t="n">
        <f aca="false">G41/J41-1</f>
        <v>-0.255391251519796</v>
      </c>
      <c r="L41" s="152" t="n">
        <f aca="false">L40+L19</f>
        <v>-3555995.24374349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0.321448495431539</v>
      </c>
      <c r="F42" s="155" t="n">
        <f aca="false">F40/F41</f>
        <v>0.239174023973298</v>
      </c>
      <c r="G42" s="155" t="n">
        <f aca="false">G40/G41</f>
        <v>0.221510615861967</v>
      </c>
      <c r="H42" s="156"/>
      <c r="I42" s="5"/>
      <c r="J42" s="76" t="n">
        <f aca="false">J40-ינואר!J40-פברואר!J40-מרץ!J40-אפריל!J40-מאי!J40</f>
        <v>0</v>
      </c>
    </row>
    <row r="43" customFormat="false" ht="14.25" hidden="false" customHeight="true" outlineLevel="0" collapsed="false">
      <c r="E43" s="76" t="n">
        <f aca="false">E41-ינואר!E41-פברואר!E41-מרץ!E41-אפריל!E41-מאי!E41</f>
        <v>0</v>
      </c>
      <c r="I43" s="5"/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D35" activeCellId="0" sqref="D35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7" min="5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205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n">
        <v>6.2024</v>
      </c>
      <c r="F2" s="133" t="n">
        <v>6.2025</v>
      </c>
      <c r="G2" s="133" t="n">
        <v>6.2026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VLOOKUP(A3,'2024'!$A:$O,7,0)</f>
        <v>144633.67</v>
      </c>
      <c r="F3" s="138" t="n">
        <f aca="false">VLOOKUP($A3,'2025'!$A:$O,7,0)</f>
        <v>0</v>
      </c>
      <c r="G3" s="138" t="n">
        <v>65131.7</v>
      </c>
      <c r="H3" s="139" t="str">
        <f aca="false">IFERROR(G3/F3-1,"-")</f>
        <v>-</v>
      </c>
      <c r="I3" s="140" t="n">
        <f aca="false">G3-F3</f>
        <v>65131.7</v>
      </c>
      <c r="J3" s="141" t="n">
        <f aca="false">VLOOKUP(B3,'תקציב  '!$B:$S,9,0)*1</f>
        <v>235079.365079365</v>
      </c>
      <c r="K3" s="139" t="n">
        <f aca="false">G3/J3-1</f>
        <v>-0.722937400405132</v>
      </c>
      <c r="L3" s="142" t="n">
        <f aca="false">G3-J3</f>
        <v>-169947.665079365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VLOOKUP(B4,'2024'!$A:$O,7,0)</f>
        <v>429114.049</v>
      </c>
      <c r="F4" s="138" t="n">
        <f aca="false">VLOOKUP($A4,'2025'!$A:$O,7,0)</f>
        <v>452295.980000005</v>
      </c>
      <c r="G4" s="138" t="n">
        <v>534754.402</v>
      </c>
      <c r="H4" s="139" t="n">
        <f aca="false">G4/F4-1</f>
        <v>0.182310755890411</v>
      </c>
      <c r="I4" s="140" t="n">
        <f aca="false">G4-F4</f>
        <v>82458.421999995</v>
      </c>
      <c r="J4" s="141" t="n">
        <f aca="false">VLOOKUP(B4,'תקציב  '!$B:$S,9,0)*1</f>
        <v>605698.412698413</v>
      </c>
      <c r="K4" s="139" t="n">
        <f aca="false">G4/J4-1</f>
        <v>-0.117127615346315</v>
      </c>
      <c r="L4" s="142" t="n">
        <f aca="false">G4-J4</f>
        <v>-70944.010698413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VLOOKUP(B5,'2024'!$A:$O,7,0)</f>
        <v>94683.953</v>
      </c>
      <c r="F5" s="138" t="n">
        <f aca="false">VLOOKUP($A5,'2025'!$A:$O,7,0)</f>
        <v>87191.65</v>
      </c>
      <c r="G5" s="138" t="n">
        <v>76564.033</v>
      </c>
      <c r="H5" s="139" t="n">
        <f aca="false">G5/F5-1</f>
        <v>-0.121888013359077</v>
      </c>
      <c r="I5" s="140" t="n">
        <f aca="false">G5-F5</f>
        <v>-10627.617</v>
      </c>
      <c r="J5" s="141" t="n">
        <f aca="false">VLOOKUP(B5,'תקציב  '!$B:$S,9,0)*1</f>
        <v>78571.4285714286</v>
      </c>
      <c r="K5" s="139" t="n">
        <f aca="false">G5/J5-1</f>
        <v>-0.0255486709090913</v>
      </c>
      <c r="L5" s="142" t="n">
        <f aca="false">G5-J5</f>
        <v>-2007.3955714286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VLOOKUP(B6,'2024'!$A:$O,7,0)</f>
        <v>174598.676</v>
      </c>
      <c r="F6" s="138" t="n">
        <f aca="false">VLOOKUP($A6,'2025'!$A:$O,7,0)</f>
        <v>160476.44</v>
      </c>
      <c r="G6" s="138" t="n">
        <v>188367.581</v>
      </c>
      <c r="H6" s="139" t="n">
        <f aca="false">G6/F6-1</f>
        <v>0.173802092070338</v>
      </c>
      <c r="I6" s="140" t="n">
        <f aca="false">G6-F6</f>
        <v>27891.141</v>
      </c>
      <c r="J6" s="141" t="n">
        <f aca="false">VLOOKUP(A6,'תקציב  '!$B:$S,9,0)*1</f>
        <v>170873.015873016</v>
      </c>
      <c r="K6" s="139" t="n">
        <f aca="false">G6/J6-1</f>
        <v>0.102383428053878</v>
      </c>
      <c r="L6" s="142" t="n">
        <f aca="false">G6-J6</f>
        <v>17494.565126984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VLOOKUP(A7,'2024'!$A:$O,7,0)</f>
        <v>315729.5</v>
      </c>
      <c r="F7" s="138" t="n">
        <f aca="false">VLOOKUP($A7,'2025'!$A:$O,7,0)</f>
        <v>363201.5</v>
      </c>
      <c r="G7" s="138" t="n">
        <v>339371.75</v>
      </c>
      <c r="H7" s="139" t="n">
        <f aca="false">G7/F7-1</f>
        <v>-0.065610274186643</v>
      </c>
      <c r="I7" s="140" t="n">
        <f aca="false">G7-F7</f>
        <v>-23829.75</v>
      </c>
      <c r="J7" s="141" t="n">
        <f aca="false">VLOOKUP(B7,'תקציב  '!$B:$S,9,0)*1</f>
        <v>365000</v>
      </c>
      <c r="K7" s="139" t="n">
        <f aca="false">G7/J7-1</f>
        <v>-0.0702143835616439</v>
      </c>
      <c r="L7" s="142" t="n">
        <f aca="false">G7-J7</f>
        <v>-25628.25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VLOOKUP(A8,'2024'!$A:$O,7,0)</f>
        <v>43688.56</v>
      </c>
      <c r="F8" s="138" t="n">
        <f aca="false">VLOOKUP($A8,'2025'!$A:$O,7,0)</f>
        <v>62616.16</v>
      </c>
      <c r="G8" s="138" t="n">
        <v>70005.299</v>
      </c>
      <c r="H8" s="139" t="n">
        <f aca="false">G8/F8-1</f>
        <v>0.118006901093903</v>
      </c>
      <c r="I8" s="140" t="n">
        <f aca="false">G8-F8</f>
        <v>7389.139</v>
      </c>
      <c r="J8" s="141" t="n">
        <f aca="false">VLOOKUP(B8,'תקציב  '!$B:$S,9,0)*1</f>
        <v>107301.587301587</v>
      </c>
      <c r="K8" s="139" t="n">
        <f aca="false">G8/J8-1</f>
        <v>-0.347583751923075</v>
      </c>
      <c r="L8" s="142" t="n">
        <f aca="false">G8-J8</f>
        <v>-37296.288301587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VLOOKUP(A9,'2024'!$A:$O,7,0)</f>
        <v>77555.62</v>
      </c>
      <c r="F9" s="138" t="n">
        <f aca="false">VLOOKUP($A9,'2025'!$A:$O,7,0)</f>
        <v>63999.64</v>
      </c>
      <c r="G9" s="138" t="n">
        <v>67723.22</v>
      </c>
      <c r="H9" s="139" t="n">
        <f aca="false">G9/F9-1</f>
        <v>0.0581812647696143</v>
      </c>
      <c r="I9" s="140" t="n">
        <f aca="false">G9-F9</f>
        <v>3723.58</v>
      </c>
      <c r="J9" s="141" t="n">
        <f aca="false">VLOOKUP(B9,'תקציב  '!$B:$S,9,0)*1</f>
        <v>177087.301587302</v>
      </c>
      <c r="K9" s="139" t="n">
        <f aca="false">G9/J9-1</f>
        <v>-0.617571562766101</v>
      </c>
      <c r="L9" s="142" t="n">
        <f aca="false">G9-J9</f>
        <v>-109364.081587302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VLOOKUP(A10,'2024'!$A:$O,7,0)</f>
        <v>13321.91</v>
      </c>
      <c r="F10" s="138" t="n">
        <f aca="false">VLOOKUP($A10,'2025'!$A:$O,7,0)</f>
        <v>9192.17</v>
      </c>
      <c r="G10" s="138" t="n">
        <v>6761.44</v>
      </c>
      <c r="H10" s="139" t="n">
        <f aca="false">G10/F10-1</f>
        <v>-0.264434839651573</v>
      </c>
      <c r="I10" s="140" t="n">
        <f aca="false">G10-F10</f>
        <v>-2430.73</v>
      </c>
      <c r="J10" s="141" t="n">
        <f aca="false">VLOOKUP(B10,'תקציב  '!$B:$S,9,0)*1</f>
        <v>16587.3015873016</v>
      </c>
      <c r="K10" s="139" t="n">
        <f aca="false">G10/J10-1</f>
        <v>-0.592372516746412</v>
      </c>
      <c r="L10" s="142" t="n">
        <f aca="false">G10-J10</f>
        <v>-9825.8615873016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VLOOKUP(A11,'2024'!$A:$O,7,0)</f>
        <v>11738.24</v>
      </c>
      <c r="F11" s="138" t="n">
        <f aca="false">VLOOKUP($A11,'2025'!$A:$O,7,0)</f>
        <v>4288.26</v>
      </c>
      <c r="G11" s="138" t="n">
        <v>8984.58</v>
      </c>
      <c r="H11" s="139" t="n">
        <f aca="false">G11/F11-1</f>
        <v>1.09515747645898</v>
      </c>
      <c r="I11" s="140" t="n">
        <f aca="false">G11-F11</f>
        <v>4696.32</v>
      </c>
      <c r="J11" s="141" t="n">
        <f aca="false">VLOOKUP(B11,'תקציב  '!$B:$S,9,0)*1</f>
        <v>8730.15873015873</v>
      </c>
      <c r="K11" s="139" t="n">
        <f aca="false">G11/J11-1</f>
        <v>0.0291428</v>
      </c>
      <c r="L11" s="142" t="n">
        <f aca="false">G11-J11</f>
        <v>254.42126984127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VLOOKUP(A12,'2024'!$A:$O,7,0)</f>
        <v>0</v>
      </c>
      <c r="F12" s="138" t="n">
        <f aca="false">VLOOKUP($A12,'2025'!$A:$O,7,0)</f>
        <v>1244.84</v>
      </c>
      <c r="G12" s="138" t="n">
        <v>1658.99</v>
      </c>
      <c r="H12" s="139" t="n">
        <f aca="false">G12/F12-1</f>
        <v>0.332693358182578</v>
      </c>
      <c r="I12" s="140" t="n">
        <f aca="false">G12-F12</f>
        <v>414.15</v>
      </c>
      <c r="J12" s="141" t="n">
        <f aca="false">VLOOKUP(B12,'תקציב  '!$B:$S,9,0)*1</f>
        <v>0</v>
      </c>
      <c r="K12" s="139"/>
      <c r="L12" s="142" t="n">
        <f aca="false">G12-J12</f>
        <v>1658.99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VLOOKUP(A13,'2024'!$A:$O,7,0)</f>
        <v>0</v>
      </c>
      <c r="F13" s="138" t="n">
        <f aca="false">VLOOKUP($A13,'2025'!$A:$O,7,0)</f>
        <v>0</v>
      </c>
      <c r="G13" s="138"/>
      <c r="H13" s="139" t="str">
        <f aca="false">IFERROR(G13/F13-1,"-")</f>
        <v>-</v>
      </c>
      <c r="I13" s="140" t="n">
        <f aca="false">G13-F13</f>
        <v>0</v>
      </c>
      <c r="J13" s="141" t="n">
        <f aca="false">VLOOKUP(B13,'תקציב  '!$B:$S,9,0)*1</f>
        <v>0</v>
      </c>
      <c r="K13" s="139" t="str">
        <f aca="false">IFERROR(G13/J13-1,"-")</f>
        <v>-</v>
      </c>
      <c r="L13" s="142" t="n">
        <f aca="false">G13-J13</f>
        <v>0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VLOOKUP(A14,'2024'!$A:$O,7,0)</f>
        <v>4579.64</v>
      </c>
      <c r="F14" s="138" t="n">
        <f aca="false">VLOOKUP($A14,'2025'!$A:$O,7,0)</f>
        <v>0</v>
      </c>
      <c r="G14" s="138"/>
      <c r="H14" s="139" t="str">
        <f aca="false">IFERROR(G14/F14-1,"-")</f>
        <v>-</v>
      </c>
      <c r="I14" s="140" t="n">
        <f aca="false">G14-F14</f>
        <v>0</v>
      </c>
      <c r="J14" s="141" t="n">
        <f aca="false">VLOOKUP(B14,'תקציב  '!$B:$S,9,0)*1</f>
        <v>50000</v>
      </c>
      <c r="K14" s="139" t="n">
        <f aca="false">G14/J14-1</f>
        <v>-1</v>
      </c>
      <c r="L14" s="142" t="n">
        <f aca="false">G14-J14</f>
        <v>-50000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VLOOKUP(A15,'2024'!$A:$O,7,0)</f>
        <v>5235.63</v>
      </c>
      <c r="F15" s="138" t="n">
        <f aca="false">VLOOKUP($A15,'2025'!$A:$O,7,0)</f>
        <v>17697.58</v>
      </c>
      <c r="G15" s="138" t="n">
        <v>15643.41</v>
      </c>
      <c r="H15" s="139" t="n">
        <f aca="false">G15/F15-1</f>
        <v>-0.116070671809366</v>
      </c>
      <c r="I15" s="140" t="n">
        <f aca="false">G15-F15</f>
        <v>-2054.17</v>
      </c>
      <c r="J15" s="141" t="n">
        <f aca="false">VLOOKUP(B15,'תקציב  '!$B:$S,9,0)*1</f>
        <v>17460.3174603175</v>
      </c>
      <c r="K15" s="139" t="n">
        <f aca="false">G15/J15-1</f>
        <v>-0.104059245454547</v>
      </c>
      <c r="L15" s="142" t="n">
        <f aca="false">G15-J15</f>
        <v>-1816.9074603175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SUM(E3:E15)+E50</f>
        <v>1314879.448</v>
      </c>
      <c r="F16" s="144" t="n">
        <f aca="false">SUM(F3:F15)+F50</f>
        <v>1222204.22000001</v>
      </c>
      <c r="G16" s="144" t="n">
        <f aca="false">SUM(G3:G15)+G50</f>
        <v>1374966.405</v>
      </c>
      <c r="H16" s="145" t="n">
        <f aca="false">G16/F16-1</f>
        <v>0.124989083248293</v>
      </c>
      <c r="I16" s="144" t="n">
        <f aca="false">SUM(I3:I15)+I50</f>
        <v>152762.184999995</v>
      </c>
      <c r="J16" s="144" t="n">
        <f aca="false">SUM(J3:J15)+J50</f>
        <v>1832388.88888889</v>
      </c>
      <c r="K16" s="145" t="n">
        <f aca="false">G16/J16-1</f>
        <v>-0.249631771215475</v>
      </c>
      <c r="L16" s="144" t="n">
        <f aca="false">SUM(L3:L15)+L50</f>
        <v>-457422.483888889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VLOOKUP(A17,'2024'!$A:$O,7,0)</f>
        <v>52569.54</v>
      </c>
      <c r="F17" s="138" t="n">
        <f aca="false">VLOOKUP($A17,'2025'!$A:$O,7,0)</f>
        <v>128892.76</v>
      </c>
      <c r="G17" s="138" t="n">
        <v>423398.059999998</v>
      </c>
      <c r="H17" s="139" t="n">
        <f aca="false">G17/F17-1</f>
        <v>2.28488628841525</v>
      </c>
      <c r="I17" s="140" t="n">
        <f aca="false">G17-F17</f>
        <v>294505.299999998</v>
      </c>
      <c r="J17" s="141" t="n">
        <f aca="false">VLOOKUP(B17,'תקציב  '!$B:$S,9,0)*1</f>
        <v>888273.728813559</v>
      </c>
      <c r="K17" s="139" t="n">
        <f aca="false">G17/J17-1</f>
        <v>-0.523347312584018</v>
      </c>
      <c r="L17" s="142" t="n">
        <f aca="false">G17-J17</f>
        <v>-464875.668813561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VLOOKUP(A18,'2024'!$A:$O,7,0)</f>
        <v>5374.81</v>
      </c>
      <c r="F18" s="138" t="n">
        <f aca="false">VLOOKUP($A18,'2025'!$A:$O,7,0)</f>
        <v>4432.93</v>
      </c>
      <c r="G18" s="138" t="n">
        <v>1069.29</v>
      </c>
      <c r="H18" s="139" t="n">
        <f aca="false">G18/F18-1</f>
        <v>-0.758784821777019</v>
      </c>
      <c r="I18" s="140" t="n">
        <f aca="false">G18-F18</f>
        <v>-3363.64</v>
      </c>
      <c r="J18" s="141" t="n">
        <f aca="false">VLOOKUP(B18,'תקציב  '!$B:$S,9,0)*1</f>
        <v>2536.92833333333</v>
      </c>
      <c r="K18" s="139" t="n">
        <f aca="false">G18/J18-1</f>
        <v>-0.578509969733739</v>
      </c>
      <c r="L18" s="142" t="n">
        <f aca="false">G18-J18</f>
        <v>-1467.63833333333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1372823.798</v>
      </c>
      <c r="F19" s="146" t="n">
        <f aca="false">F16+F17+F18</f>
        <v>1355529.91000001</v>
      </c>
      <c r="G19" s="146" t="n">
        <f aca="false">G16+G17+G18</f>
        <v>1799433.755</v>
      </c>
      <c r="H19" s="147" t="n">
        <f aca="false">G19/F19-1</f>
        <v>0.327476245064922</v>
      </c>
      <c r="I19" s="146" t="n">
        <f aca="false">I16+I17+I18</f>
        <v>443903.844999993</v>
      </c>
      <c r="J19" s="146" t="n">
        <f aca="false">J16+J17+J18</f>
        <v>2723199.54603578</v>
      </c>
      <c r="K19" s="147" t="n">
        <f aca="false">G19/J19-1</f>
        <v>-0.339220749496866</v>
      </c>
      <c r="L19" s="146" t="n">
        <f aca="false">L16+L17+L18</f>
        <v>-923765.791035784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VLOOKUP(A20,'2024'!$A:$O,7,0)</f>
        <v>371311.12</v>
      </c>
      <c r="F20" s="138" t="n">
        <f aca="false">VLOOKUP($A20,'2025'!$A:$O,7,0)</f>
        <v>68328.76</v>
      </c>
      <c r="G20" s="138" t="n">
        <v>229029.21</v>
      </c>
      <c r="H20" s="139" t="n">
        <f aca="false">G20/F20-1</f>
        <v>2.35187130572836</v>
      </c>
      <c r="I20" s="140" t="n">
        <f aca="false">G20-F20</f>
        <v>160700.45</v>
      </c>
      <c r="J20" s="141" t="n">
        <f aca="false">VLOOKUP(B20,'תקציב  '!$B:$S,9,0)*1</f>
        <v>428463.7533</v>
      </c>
      <c r="K20" s="139" t="n">
        <f aca="false">G20/J20-1</f>
        <v>-0.46546421199919</v>
      </c>
      <c r="L20" s="142" t="n">
        <f aca="false">G20-J20</f>
        <v>-199434.5433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VLOOKUP(A21,'2024'!$A:$O,7,0)</f>
        <v>0</v>
      </c>
      <c r="F21" s="138" t="n">
        <f aca="false">VLOOKUP($A21,'2025'!$A:$O,7,0)</f>
        <v>0</v>
      </c>
      <c r="G21" s="138"/>
      <c r="H21" s="139" t="str">
        <f aca="false">IFERROR(G21/F21-1,"-")</f>
        <v>-</v>
      </c>
      <c r="I21" s="140" t="n">
        <f aca="false">G21-F21</f>
        <v>0</v>
      </c>
      <c r="J21" s="141" t="n">
        <f aca="false">VLOOKUP(B21,'תקציב  '!$B:$S,9,0)*1</f>
        <v>0</v>
      </c>
      <c r="K21" s="139" t="str">
        <f aca="false">IFERROR(G21/J21-1,"-")</f>
        <v>-</v>
      </c>
      <c r="L21" s="142" t="n">
        <f aca="false">G21-J21</f>
        <v>0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VLOOKUP(A22,'2024'!$A:$O,7,0)</f>
        <v>14810.7</v>
      </c>
      <c r="F22" s="138" t="n">
        <f aca="false">VLOOKUP($A22,'2025'!$A:$O,7,0)</f>
        <v>0</v>
      </c>
      <c r="G22" s="158" t="n">
        <v>55255.27</v>
      </c>
      <c r="H22" s="139" t="str">
        <f aca="false">IFERROR(G22/F22-1,"-")</f>
        <v>-</v>
      </c>
      <c r="I22" s="140" t="n">
        <f aca="false">G22-F22</f>
        <v>55255.27</v>
      </c>
      <c r="J22" s="141" t="n">
        <f aca="false">VLOOKUP(B22,'תקציב  '!$B:$S,9,0)*1</f>
        <v>35000</v>
      </c>
      <c r="K22" s="139" t="n">
        <f aca="false">G22/J22-1</f>
        <v>0.578722</v>
      </c>
      <c r="L22" s="142" t="n">
        <f aca="false">G22-J22</f>
        <v>20255.27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VLOOKUP(A23,'2024'!$A:$O,7,0)</f>
        <v>83128.56</v>
      </c>
      <c r="F23" s="138" t="n">
        <f aca="false">VLOOKUP($A23,'2025'!$A:$O,7,0)</f>
        <v>0</v>
      </c>
      <c r="G23" s="166" t="n">
        <v>147489.2</v>
      </c>
      <c r="H23" s="139" t="str">
        <f aca="false">IFERROR(G23/F23-1,"-")</f>
        <v>-</v>
      </c>
      <c r="I23" s="140" t="n">
        <f aca="false">G23-F23</f>
        <v>147489.2</v>
      </c>
      <c r="J23" s="141" t="n">
        <f aca="false">VLOOKUP(B23,'תקציב  '!$B:$S,9,0)*1</f>
        <v>0</v>
      </c>
      <c r="K23" s="139" t="str">
        <f aca="false">IFERROR(G23/J23-1,"-")</f>
        <v>-</v>
      </c>
      <c r="L23" s="142" t="n">
        <f aca="false">G23-J23</f>
        <v>147489.2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VLOOKUP(A24,'2024'!$A:$O,7,0)</f>
        <v>14559.92</v>
      </c>
      <c r="F24" s="138" t="n">
        <f aca="false">VLOOKUP($A24,'2025'!$A:$O,7,0)</f>
        <v>0</v>
      </c>
      <c r="G24" s="158" t="n">
        <v>15795</v>
      </c>
      <c r="H24" s="139"/>
      <c r="I24" s="140" t="n">
        <f aca="false">G24-F24</f>
        <v>15795</v>
      </c>
      <c r="J24" s="141" t="n">
        <f aca="false">VLOOKUP(B24,'תקציב  '!$B:$S,9,0)*1</f>
        <v>10000</v>
      </c>
      <c r="K24" s="139" t="n">
        <f aca="false">G24/J24-1</f>
        <v>0.5795</v>
      </c>
      <c r="L24" s="142" t="n">
        <f aca="false">G24-J24</f>
        <v>5795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VLOOKUP(A25,'2024'!$A:$O,7,0)</f>
        <v>65362.29</v>
      </c>
      <c r="F25" s="138" t="n">
        <f aca="false">VLOOKUP($A25,'2025'!$A:$O,7,0)</f>
        <v>0</v>
      </c>
      <c r="G25" s="138"/>
      <c r="H25" s="139" t="str">
        <f aca="false">IFERROR(G25/F25-1,"-")</f>
        <v>-</v>
      </c>
      <c r="I25" s="140" t="n">
        <f aca="false">G25-F25</f>
        <v>0</v>
      </c>
      <c r="J25" s="141" t="n">
        <f aca="false">VLOOKUP(B25,'תקציב  '!$B:$S,9,0)*1</f>
        <v>5000</v>
      </c>
      <c r="K25" s="139" t="n">
        <f aca="false">G25/J25-1</f>
        <v>-1</v>
      </c>
      <c r="L25" s="142" t="n">
        <f aca="false">G25-J25</f>
        <v>-5000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VLOOKUP(A26,'2024'!$A:$O,7,0)</f>
        <v>0</v>
      </c>
      <c r="F26" s="138" t="n">
        <f aca="false">VLOOKUP($A26,'2025'!$A:$O,7,0)</f>
        <v>0.33</v>
      </c>
      <c r="G26" s="138"/>
      <c r="H26" s="139" t="n">
        <f aca="false">G26/F26-1</f>
        <v>-1</v>
      </c>
      <c r="I26" s="140" t="n">
        <f aca="false">G26-F26</f>
        <v>-0.33</v>
      </c>
      <c r="J26" s="141" t="n">
        <f aca="false">VLOOKUP(B26,'תקציב  '!$B:$S,9,0)*1</f>
        <v>0</v>
      </c>
      <c r="K26" s="139" t="str">
        <f aca="false">IFERROR(G26/J26-1,"-")</f>
        <v>-</v>
      </c>
      <c r="L26" s="142" t="n">
        <f aca="false">G26-J26</f>
        <v>0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VLOOKUP(A27,'2024'!$A:$O,7,0)</f>
        <v>37671.79</v>
      </c>
      <c r="F27" s="138" t="n">
        <f aca="false">VLOOKUP($A27,'2025'!$A:$O,7,0)</f>
        <v>0</v>
      </c>
      <c r="G27" s="138"/>
      <c r="H27" s="139" t="str">
        <f aca="false">IFERROR(G27/F27-1,"-")</f>
        <v>-</v>
      </c>
      <c r="I27" s="140" t="n">
        <f aca="false">G27-F27</f>
        <v>0</v>
      </c>
      <c r="J27" s="141" t="n">
        <f aca="false">VLOOKUP(B27,'תקציב  '!$B:$S,9,0)*1</f>
        <v>40000</v>
      </c>
      <c r="K27" s="139" t="n">
        <f aca="false">G27/J27-1</f>
        <v>-1</v>
      </c>
      <c r="L27" s="142" t="n">
        <f aca="false">G27-J27</f>
        <v>-40000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VLOOKUP(A28,'2024'!$A:$O,7,0)</f>
        <v>0</v>
      </c>
      <c r="F28" s="138" t="n">
        <f aca="false">VLOOKUP($A28,'2025'!$A:$O,7,0)</f>
        <v>0</v>
      </c>
      <c r="G28" s="138"/>
      <c r="H28" s="139" t="str">
        <f aca="false">IFERROR(G28/F28-1,"-")</f>
        <v>-</v>
      </c>
      <c r="I28" s="140" t="n">
        <f aca="false">G28-F28</f>
        <v>0</v>
      </c>
      <c r="J28" s="141" t="n">
        <f aca="false">VLOOKUP(B28,'תקציב  '!$B:$S,9,0)*1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VLOOKUP(A29,'2024'!$A:$O,7,0)</f>
        <v>37331.12</v>
      </c>
      <c r="F29" s="138" t="n">
        <f aca="false">VLOOKUP($A29,'2025'!$A:$O,7,0)</f>
        <v>53.7</v>
      </c>
      <c r="G29" s="158" t="n">
        <v>57084.96</v>
      </c>
      <c r="H29" s="139" t="n">
        <f aca="false">G29/F29-1</f>
        <v>1062.03463687151</v>
      </c>
      <c r="I29" s="140" t="n">
        <f aca="false">G29-F29</f>
        <v>57031.26</v>
      </c>
      <c r="J29" s="141" t="n">
        <f aca="false">VLOOKUP(B29,'תקציב  '!$B:$S,9,0)*1</f>
        <v>39765.076</v>
      </c>
      <c r="K29" s="139" t="n">
        <f aca="false">G29/J29-1</f>
        <v>0.435555159004349</v>
      </c>
      <c r="L29" s="142" t="n">
        <f aca="false">G29-J29</f>
        <v>17319.884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VLOOKUP(A30,'2024'!$A:$O,7,0)</f>
        <v>0</v>
      </c>
      <c r="F30" s="138" t="n">
        <f aca="false">VLOOKUP($A30,'2025'!$A:$O,7,0)</f>
        <v>0</v>
      </c>
      <c r="G30" s="138"/>
      <c r="H30" s="139" t="str">
        <f aca="false">IFERROR(G30/F30-1,"-")</f>
        <v>-</v>
      </c>
      <c r="I30" s="140" t="n">
        <f aca="false">G30-F30</f>
        <v>0</v>
      </c>
      <c r="J30" s="141" t="n">
        <f aca="false">VLOOKUP(B30,'תקציב  '!$B:$S,9,0)*1</f>
        <v>0</v>
      </c>
      <c r="K30" s="139" t="str">
        <f aca="false">IFERROR(G30/J30-1,"-")</f>
        <v>-</v>
      </c>
      <c r="L30" s="142" t="n">
        <f aca="false">G30-J30</f>
        <v>0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VLOOKUP(A31,'2024'!$A:$O,7,0)</f>
        <v>0</v>
      </c>
      <c r="F31" s="138" t="n">
        <f aca="false">VLOOKUP($A31,'2025'!$A:$O,7,0)</f>
        <v>0</v>
      </c>
      <c r="G31" s="138"/>
      <c r="H31" s="139" t="str">
        <f aca="false">IFERROR(G31/F31-1,"-")</f>
        <v>-</v>
      </c>
      <c r="I31" s="140" t="n">
        <f aca="false">G31-F31</f>
        <v>0</v>
      </c>
      <c r="J31" s="141" t="n">
        <f aca="false">VLOOKUP(B31,'תקציב  '!$B:$S,9,0)*1</f>
        <v>0</v>
      </c>
      <c r="K31" s="139" t="str">
        <f aca="false">IFERROR(G31/J31-1,"-")</f>
        <v>-</v>
      </c>
      <c r="L31" s="142" t="n">
        <f aca="false">G31-J31</f>
        <v>0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VLOOKUP(A32,'2024'!$A:$O,7,0)</f>
        <v>0</v>
      </c>
      <c r="F32" s="138" t="n">
        <f aca="false">VLOOKUP($A32,'2025'!$A:$O,7,0)</f>
        <v>0</v>
      </c>
      <c r="G32" s="138"/>
      <c r="H32" s="139" t="str">
        <f aca="false">IFERROR(G32/F32-1,"-")</f>
        <v>-</v>
      </c>
      <c r="I32" s="140" t="n">
        <f aca="false">G32-F32</f>
        <v>0</v>
      </c>
      <c r="J32" s="141" t="n">
        <f aca="false">VLOOKUP(B32,'תקציב  '!$B:$S,9,0)*1</f>
        <v>0</v>
      </c>
      <c r="K32" s="139" t="str">
        <f aca="false">IFERROR(G32/J32-1,"-")</f>
        <v>-</v>
      </c>
      <c r="L32" s="142" t="n">
        <f aca="false">G32-J32</f>
        <v>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/>
      <c r="F33" s="138"/>
      <c r="G33" s="138"/>
      <c r="H33" s="139" t="str">
        <f aca="false">IFERROR(G33/F33-1,"-")</f>
        <v>-</v>
      </c>
      <c r="I33" s="140" t="n">
        <f aca="false">G33-F33</f>
        <v>0</v>
      </c>
      <c r="J33" s="141"/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VLOOKUP(A34,'2024'!$A:$O,7,0)</f>
        <v>0</v>
      </c>
      <c r="F34" s="138" t="n">
        <f aca="false">VLOOKUP($A34,'2025'!$A:$O,7,0)</f>
        <v>0</v>
      </c>
      <c r="G34" s="138"/>
      <c r="H34" s="139" t="str">
        <f aca="false">IFERROR(G34/F34-1,"-")</f>
        <v>-</v>
      </c>
      <c r="I34" s="140" t="n">
        <f aca="false">G34-F34</f>
        <v>0</v>
      </c>
      <c r="J34" s="141" t="n">
        <f aca="false">VLOOKUP(B34,'תקציב  '!$B:$S,9,0)*1</f>
        <v>0</v>
      </c>
      <c r="K34" s="139" t="str">
        <f aca="false">IFERROR(G34/J34-1,"-")</f>
        <v>-</v>
      </c>
      <c r="L34" s="142" t="n">
        <f aca="false">G34-J34</f>
        <v>0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VLOOKUP(A35,'2024'!$A:$O,7,0)</f>
        <v>0</v>
      </c>
      <c r="F35" s="138" t="n">
        <f aca="false">VLOOKUP($A35,'2025'!$A:$O,7,0)</f>
        <v>0</v>
      </c>
      <c r="G35" s="138"/>
      <c r="H35" s="139" t="str">
        <f aca="false">IFERROR(G35/F35-1,"-")</f>
        <v>-</v>
      </c>
      <c r="I35" s="140" t="n">
        <f aca="false">G35-F35</f>
        <v>0</v>
      </c>
      <c r="J35" s="141" t="n">
        <f aca="false">VLOOKUP(B35,'תקציב  '!$B:$S,9,0)*1</f>
        <v>0</v>
      </c>
      <c r="K35" s="139" t="str">
        <f aca="false">IFERROR(G35/J35-1,"-")</f>
        <v>-</v>
      </c>
      <c r="L35" s="142" t="n">
        <f aca="false">G35-J35</f>
        <v>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VLOOKUP(A36,'2024'!$A:$O,7,0)</f>
        <v>0</v>
      </c>
      <c r="F36" s="138" t="n">
        <f aca="false">VLOOKUP($A36,'2025'!$A:$O,7,0)</f>
        <v>0</v>
      </c>
      <c r="G36" s="138"/>
      <c r="H36" s="139" t="str">
        <f aca="false">IFERROR(G36/F36-1,"-")</f>
        <v>-</v>
      </c>
      <c r="I36" s="140" t="n">
        <f aca="false">G36-F36</f>
        <v>0</v>
      </c>
      <c r="J36" s="141"/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VLOOKUP(A37,'2024'!$A:$O,7,0)</f>
        <v>22310.96</v>
      </c>
      <c r="F37" s="138" t="n">
        <f aca="false">VLOOKUP($A37,'2025'!$A:$O,7,0)</f>
        <v>0</v>
      </c>
      <c r="G37" s="138"/>
      <c r="H37" s="139" t="str">
        <f aca="false">IFERROR(G37/F37-1,"-")</f>
        <v>-</v>
      </c>
      <c r="I37" s="140" t="n">
        <f aca="false">G37-F37</f>
        <v>0</v>
      </c>
      <c r="J37" s="141"/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VLOOKUP(A38,'2024'!$A:$O,7,0)</f>
        <v>0</v>
      </c>
      <c r="F38" s="138" t="n">
        <f aca="false">VLOOKUP($A38,'2025'!$A:$O,7,0)</f>
        <v>0</v>
      </c>
      <c r="G38" s="138"/>
      <c r="H38" s="139" t="str">
        <f aca="false">IFERROR(G38/F38-1,"-")</f>
        <v>-</v>
      </c>
      <c r="I38" s="140" t="n">
        <f aca="false">G38-F38</f>
        <v>0</v>
      </c>
      <c r="J38" s="141" t="n">
        <f aca="false">VLOOKUP(B38,'תקציב  '!$B:$S,9,0)*1</f>
        <v>0</v>
      </c>
      <c r="K38" s="139" t="str">
        <f aca="false">IFERROR(G38/J38-1,"-")</f>
        <v>-</v>
      </c>
      <c r="L38" s="142" t="n">
        <f aca="false">G38-J38</f>
        <v>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/>
      <c r="F39" s="138"/>
      <c r="G39" s="138"/>
      <c r="H39" s="139" t="str">
        <f aca="false">IFERROR(G39/F39-1,"-")</f>
        <v>-</v>
      </c>
      <c r="I39" s="140" t="n">
        <f aca="false">G39-F39</f>
        <v>0</v>
      </c>
      <c r="J39" s="141" t="n">
        <f aca="false">VLOOKUP(B39,'תקציב  '!$B:$S,9,0)*1</f>
        <v>200000</v>
      </c>
      <c r="K39" s="139" t="n">
        <f aca="false">G39/J39-1</f>
        <v>-1</v>
      </c>
      <c r="L39" s="142" t="n">
        <f aca="false">G39-J39</f>
        <v>-200000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SUM(E20:E39)+E51+E52</f>
        <v>646486.46</v>
      </c>
      <c r="F40" s="149" t="n">
        <f aca="false">SUM(F20:F39)+F51+F52</f>
        <v>68382.79</v>
      </c>
      <c r="G40" s="149" t="n">
        <f aca="false">SUM(G20:G39)+G51+G52</f>
        <v>504653.64</v>
      </c>
      <c r="H40" s="150" t="n">
        <f aca="false">G40/F40-1</f>
        <v>6.37983401964149</v>
      </c>
      <c r="I40" s="149" t="n">
        <f aca="false">SUM(I20:I39)+I51+I52</f>
        <v>436270.85</v>
      </c>
      <c r="J40" s="149" t="n">
        <f aca="false">SUM(J20:J39)+J51+J52</f>
        <v>758228.8293</v>
      </c>
      <c r="K40" s="150" t="n">
        <f aca="false">G40/J40-1</f>
        <v>-0.334430952109934</v>
      </c>
      <c r="L40" s="149" t="n">
        <f aca="false">SUM(L20:L39)+L51+L52</f>
        <v>-253575.1893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2019310.258</v>
      </c>
      <c r="F41" s="152" t="n">
        <f aca="false">F40+F19</f>
        <v>1423912.70000001</v>
      </c>
      <c r="G41" s="152" t="n">
        <f aca="false">G40+G19</f>
        <v>2304087.395</v>
      </c>
      <c r="H41" s="153" t="n">
        <f aca="false">G41/F41-1</f>
        <v>0.618138102848574</v>
      </c>
      <c r="I41" s="152" t="n">
        <f aca="false">I40+I19</f>
        <v>880174.694999993</v>
      </c>
      <c r="J41" s="152" t="n">
        <f aca="false">J40+J19</f>
        <v>3481428.37533578</v>
      </c>
      <c r="K41" s="153" t="n">
        <f aca="false">G41/J41-1</f>
        <v>-0.338177567769789</v>
      </c>
      <c r="L41" s="152" t="n">
        <f aca="false">L40+L19</f>
        <v>-1177340.98033578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0.320152119981951</v>
      </c>
      <c r="F42" s="155" t="n">
        <f aca="false">F40/F41</f>
        <v>0.048024566393712</v>
      </c>
      <c r="G42" s="155" t="n">
        <f aca="false">G40/G41</f>
        <v>0.219025389876759</v>
      </c>
      <c r="H42" s="156"/>
      <c r="I42" s="5"/>
      <c r="J42" s="76" t="n">
        <f aca="false">J41-'תקציב  '!J41*1</f>
        <v>0</v>
      </c>
    </row>
    <row r="43" customFormat="false" ht="14.25" hidden="false" customHeight="true" outlineLevel="0" collapsed="false">
      <c r="E43" s="157" t="n">
        <f aca="false">E41-'2024'!G38</f>
        <v>0</v>
      </c>
      <c r="I43" s="5"/>
    </row>
    <row r="50" customFormat="false" ht="14.25" hidden="false" customHeight="true" outlineLevel="0" collapsed="false">
      <c r="A50" s="85"/>
      <c r="B50" s="24" t="s">
        <v>176</v>
      </c>
      <c r="C50" s="24" t="s">
        <v>176</v>
      </c>
      <c r="D50" s="26" t="s">
        <v>32</v>
      </c>
      <c r="E50" s="138"/>
      <c r="F50" s="138"/>
      <c r="G50" s="138" t="n">
        <v>0</v>
      </c>
      <c r="H50" s="139" t="str">
        <f aca="false">IFERROR(G50/F50-1,"-")</f>
        <v>-</v>
      </c>
      <c r="I50" s="140" t="n">
        <f aca="false">G50-F50</f>
        <v>0</v>
      </c>
      <c r="J50" s="141"/>
      <c r="K50" s="139" t="str">
        <f aca="false">IFERROR(G50/J50-1,"-")</f>
        <v>-</v>
      </c>
      <c r="L50" s="142" t="n">
        <f aca="false">G50-J50</f>
        <v>0</v>
      </c>
    </row>
    <row r="51" customFormat="false" ht="14.25" hidden="false" customHeight="true" outlineLevel="0" collapsed="false">
      <c r="A51" s="85"/>
      <c r="B51" s="84" t="s">
        <v>177</v>
      </c>
      <c r="C51" s="65" t="s">
        <v>177</v>
      </c>
      <c r="D51" s="26" t="s">
        <v>178</v>
      </c>
      <c r="E51" s="138"/>
      <c r="F51" s="138"/>
      <c r="G51" s="138" t="n">
        <v>0</v>
      </c>
      <c r="H51" s="139" t="str">
        <f aca="false">IFERROR(G51/F51-1,"-")</f>
        <v>-</v>
      </c>
      <c r="I51" s="140" t="n">
        <f aca="false">G51-F51</f>
        <v>0</v>
      </c>
      <c r="J51" s="141"/>
      <c r="K51" s="139" t="str">
        <f aca="false">IFERROR(G51/J51-1,"-")</f>
        <v>-</v>
      </c>
      <c r="L51" s="142" t="n">
        <f aca="false">G51-J51</f>
        <v>0</v>
      </c>
    </row>
    <row r="52" customFormat="false" ht="14.25" hidden="false" customHeight="true" outlineLevel="0" collapsed="false">
      <c r="A52" s="85"/>
      <c r="B52" s="84" t="s">
        <v>179</v>
      </c>
      <c r="C52" s="65" t="s">
        <v>179</v>
      </c>
      <c r="D52" s="26" t="s">
        <v>179</v>
      </c>
      <c r="E52" s="138"/>
      <c r="F52" s="138"/>
      <c r="G52" s="138" t="n">
        <v>0</v>
      </c>
      <c r="H52" s="139" t="str">
        <f aca="false">IFERROR(G52/F52-1,"-")</f>
        <v>-</v>
      </c>
      <c r="I52" s="140" t="n">
        <f aca="false">G52-F52</f>
        <v>0</v>
      </c>
      <c r="J52" s="141"/>
      <c r="K52" s="139" t="str">
        <f aca="false">IFERROR(G52/J52-1,"-")</f>
        <v>-</v>
      </c>
      <c r="L52" s="142" t="n">
        <f aca="false">G52-J52</f>
        <v>0</v>
      </c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L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2" topLeftCell="E18" activePane="bottomRight" state="frozen"/>
      <selection pane="topLeft" activeCell="A1" activeCellId="0" sqref="A1"/>
      <selection pane="topRight" activeCell="E1" activeCellId="0" sqref="E1"/>
      <selection pane="bottomLeft" activeCell="A18" activeCellId="0" sqref="A18"/>
      <selection pane="bottomRight" activeCell="G32" activeCellId="0" sqref="G32"/>
    </sheetView>
  </sheetViews>
  <sheetFormatPr defaultColWidth="8.6171875" defaultRowHeight="14.25" zeroHeight="false" outlineLevelRow="0" outlineLevelCol="0"/>
  <cols>
    <col collapsed="false" customWidth="true" hidden="true" outlineLevel="0" max="1" min="1" style="1" width="18.12"/>
    <col collapsed="false" customWidth="true" hidden="false" outlineLevel="0" max="2" min="2" style="1" width="17.37"/>
    <col collapsed="false" customWidth="true" hidden="false" outlineLevel="0" max="3" min="3" style="1" width="21.38"/>
    <col collapsed="false" customWidth="true" hidden="false" outlineLevel="0" max="4" min="4" style="2" width="11.38"/>
    <col collapsed="false" customWidth="true" hidden="false" outlineLevel="0" max="5" min="5" style="1" width="13.25"/>
    <col collapsed="false" customWidth="true" hidden="false" outlineLevel="0" max="7" min="6" style="1" width="11.62"/>
    <col collapsed="false" customWidth="true" hidden="false" outlineLevel="0" max="8" min="8" style="111" width="11.88"/>
    <col collapsed="false" customWidth="true" hidden="false" outlineLevel="0" max="9" min="9" style="1" width="16.75"/>
    <col collapsed="false" customWidth="true" hidden="false" outlineLevel="0" max="10" min="10" style="1" width="14.75"/>
    <col collapsed="false" customWidth="true" hidden="false" outlineLevel="0" max="11" min="11" style="111" width="10.5"/>
    <col collapsed="false" customWidth="true" hidden="false" outlineLevel="0" max="12" min="12" style="1" width="17.25"/>
    <col collapsed="false" customWidth="true" hidden="false" outlineLevel="0" max="14" min="14" style="1" width="12.62"/>
    <col collapsed="false" customWidth="true" hidden="false" outlineLevel="0" max="15" min="15" style="1" width="10.88"/>
  </cols>
  <sheetData>
    <row r="1" customFormat="false" ht="16.5" hidden="false" customHeight="true" outlineLevel="0" collapsed="false">
      <c r="B1" s="132" t="s">
        <v>206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customFormat="false" ht="15" hidden="false" customHeight="true" outlineLevel="0" collapsed="false">
      <c r="B2" s="77"/>
      <c r="C2" s="10"/>
      <c r="D2" s="10" t="s">
        <v>3</v>
      </c>
      <c r="E2" s="133" t="s">
        <v>207</v>
      </c>
      <c r="F2" s="133" t="s">
        <v>208</v>
      </c>
      <c r="G2" s="133" t="s">
        <v>209</v>
      </c>
      <c r="H2" s="134" t="s">
        <v>168</v>
      </c>
      <c r="I2" s="135" t="s">
        <v>169</v>
      </c>
      <c r="J2" s="135" t="s">
        <v>170</v>
      </c>
      <c r="K2" s="136" t="s">
        <v>114</v>
      </c>
      <c r="L2" s="137" t="s">
        <v>115</v>
      </c>
    </row>
    <row r="3" customFormat="false" ht="14.25" hidden="false" customHeight="true" outlineLevel="0" collapsed="false">
      <c r="A3" s="85" t="s">
        <v>143</v>
      </c>
      <c r="B3" s="24" t="s">
        <v>31</v>
      </c>
      <c r="C3" s="24" t="s">
        <v>31</v>
      </c>
      <c r="D3" s="26" t="s">
        <v>32</v>
      </c>
      <c r="E3" s="138" t="n">
        <f aca="false">+אפריל!E3+מאי!E3+יוני!E3</f>
        <v>563289.3</v>
      </c>
      <c r="F3" s="138" t="n">
        <f aca="false">+אפריל!F3+מאי!F3+יוני!F3</f>
        <v>468571.6</v>
      </c>
      <c r="G3" s="138" t="n">
        <f aca="false">+אפריל!G3+מאי!G3+יוני!G3</f>
        <v>189706.96</v>
      </c>
      <c r="H3" s="139" t="n">
        <f aca="false">G3/F3-1</f>
        <v>-0.595137733486195</v>
      </c>
      <c r="I3" s="140" t="n">
        <f aca="false">G3-F3</f>
        <v>-278864.64</v>
      </c>
      <c r="J3" s="138" t="n">
        <f aca="false">+אפריל!J3+מאי!J3+יוני!J3</f>
        <v>596349.206349206</v>
      </c>
      <c r="K3" s="139" t="n">
        <f aca="false">G3/J3-1</f>
        <v>-0.681886119776417</v>
      </c>
      <c r="L3" s="142" t="n">
        <f aca="false">G3-J3</f>
        <v>-406642.246349206</v>
      </c>
    </row>
    <row r="4" customFormat="false" ht="14.25" hidden="false" customHeight="true" outlineLevel="0" collapsed="false">
      <c r="A4" s="24" t="s">
        <v>33</v>
      </c>
      <c r="B4" s="24" t="s">
        <v>33</v>
      </c>
      <c r="C4" s="24" t="s">
        <v>33</v>
      </c>
      <c r="D4" s="26" t="s">
        <v>32</v>
      </c>
      <c r="E4" s="138" t="n">
        <f aca="false">+אפריל!E4+מאי!E4+יוני!E4</f>
        <v>1463128.758</v>
      </c>
      <c r="F4" s="138" t="n">
        <f aca="false">+אפריל!F4+מאי!F4+יוני!F4</f>
        <v>1731022.50470002</v>
      </c>
      <c r="G4" s="138" t="n">
        <f aca="false">+אפריל!G4+מאי!G4+יוני!G4</f>
        <v>1462955.13</v>
      </c>
      <c r="H4" s="139" t="n">
        <f aca="false">G4/F4-1</f>
        <v>-0.15486071034442</v>
      </c>
      <c r="I4" s="140" t="n">
        <f aca="false">G4-F4</f>
        <v>-268067.374700023</v>
      </c>
      <c r="J4" s="138" t="n">
        <f aca="false">+אפריל!J4+מאי!J4+יוני!J4</f>
        <v>1639873.01587302</v>
      </c>
      <c r="K4" s="139" t="n">
        <f aca="false">G4/J4-1</f>
        <v>-0.107885113152393</v>
      </c>
      <c r="L4" s="142" t="n">
        <f aca="false">G4-J4</f>
        <v>-176917.885873017</v>
      </c>
    </row>
    <row r="5" customFormat="false" ht="14.25" hidden="false" customHeight="true" outlineLevel="0" collapsed="false">
      <c r="A5" s="24" t="s">
        <v>34</v>
      </c>
      <c r="B5" s="24" t="s">
        <v>34</v>
      </c>
      <c r="C5" s="24" t="s">
        <v>34</v>
      </c>
      <c r="D5" s="26" t="s">
        <v>32</v>
      </c>
      <c r="E5" s="138" t="n">
        <f aca="false">+אפריל!E5+מאי!E5+יוני!E5</f>
        <v>299535.782</v>
      </c>
      <c r="F5" s="138" t="n">
        <f aca="false">+אפריל!F5+מאי!F5+יוני!F5</f>
        <v>242937.42</v>
      </c>
      <c r="G5" s="138" t="n">
        <f aca="false">+אפריל!G5+מאי!G5+יוני!G5</f>
        <v>241394.335</v>
      </c>
      <c r="H5" s="139" t="n">
        <f aca="false">G5/F5-1</f>
        <v>-0.00635177981226598</v>
      </c>
      <c r="I5" s="140" t="n">
        <f aca="false">G5-F5</f>
        <v>-1543.08499999999</v>
      </c>
      <c r="J5" s="138" t="n">
        <f aca="false">+אפריל!J5+מאי!J5+יוני!J5</f>
        <v>210714.285714286</v>
      </c>
      <c r="K5" s="139" t="n">
        <f aca="false">G5/J5-1</f>
        <v>0.145600233898305</v>
      </c>
      <c r="L5" s="142" t="n">
        <f aca="false">G5-J5</f>
        <v>30680.0492857143</v>
      </c>
    </row>
    <row r="6" customFormat="false" ht="14.25" hidden="false" customHeight="true" outlineLevel="0" collapsed="false">
      <c r="A6" s="24" t="s">
        <v>35</v>
      </c>
      <c r="B6" s="24" t="s">
        <v>35</v>
      </c>
      <c r="C6" s="24" t="s">
        <v>35</v>
      </c>
      <c r="D6" s="26" t="s">
        <v>32</v>
      </c>
      <c r="E6" s="138" t="n">
        <f aca="false">+אפריל!E6+מאי!E6+יוני!E6</f>
        <v>518792.27</v>
      </c>
      <c r="F6" s="138" t="n">
        <f aca="false">+אפריל!F6+מאי!F6+יוני!F6</f>
        <v>520205.145300001</v>
      </c>
      <c r="G6" s="138" t="n">
        <f aca="false">+אפריל!G6+מאי!G6+יוני!G6</f>
        <v>462955.391</v>
      </c>
      <c r="H6" s="139" t="n">
        <f aca="false">G6/F6-1</f>
        <v>-0.110052264606082</v>
      </c>
      <c r="I6" s="140" t="n">
        <f aca="false">G6-F6</f>
        <v>-57249.754300001</v>
      </c>
      <c r="J6" s="138" t="n">
        <f aca="false">+אפריל!J6+מאי!J6+יוני!J6</f>
        <v>465841.26984127</v>
      </c>
      <c r="K6" s="139" t="n">
        <f aca="false">G6/J6-1</f>
        <v>-0.00619498320158118</v>
      </c>
      <c r="L6" s="142" t="n">
        <f aca="false">G6-J6</f>
        <v>-2885.87884126994</v>
      </c>
    </row>
    <row r="7" customFormat="false" ht="14.25" hidden="false" customHeight="true" outlineLevel="0" collapsed="false">
      <c r="A7" s="85" t="s">
        <v>148</v>
      </c>
      <c r="B7" s="24" t="s">
        <v>36</v>
      </c>
      <c r="C7" s="24" t="s">
        <v>36</v>
      </c>
      <c r="D7" s="26" t="s">
        <v>32</v>
      </c>
      <c r="E7" s="138" t="n">
        <f aca="false">+אפריל!E7+מאי!E7+יוני!E7</f>
        <v>887819.5</v>
      </c>
      <c r="F7" s="138" t="n">
        <f aca="false">+אפריל!F7+מאי!F7+יוני!F7</f>
        <v>934161.5</v>
      </c>
      <c r="G7" s="138" t="n">
        <f aca="false">+אפריל!G7+מאי!G7+יוני!G7</f>
        <v>878996.75</v>
      </c>
      <c r="H7" s="139" t="n">
        <f aca="false">G7/F7-1</f>
        <v>-0.0590526905679586</v>
      </c>
      <c r="I7" s="140" t="n">
        <f aca="false">G7-F7</f>
        <v>-55164.75</v>
      </c>
      <c r="J7" s="138" t="n">
        <f aca="false">+אפריל!J7+מאי!J7+יוני!J7</f>
        <v>1095000</v>
      </c>
      <c r="K7" s="139" t="n">
        <f aca="false">G7/J7-1</f>
        <v>-0.197263242009132</v>
      </c>
      <c r="L7" s="142" t="n">
        <f aca="false">G7-J7</f>
        <v>-216003.25</v>
      </c>
    </row>
    <row r="8" customFormat="false" ht="14.25" hidden="false" customHeight="true" outlineLevel="0" collapsed="false">
      <c r="A8" s="85" t="s">
        <v>147</v>
      </c>
      <c r="B8" s="24" t="s">
        <v>37</v>
      </c>
      <c r="C8" s="24" t="s">
        <v>37</v>
      </c>
      <c r="D8" s="26" t="s">
        <v>32</v>
      </c>
      <c r="E8" s="138" t="n">
        <f aca="false">+אפריל!E8+מאי!E8+יוני!E8</f>
        <v>169658.13</v>
      </c>
      <c r="F8" s="138" t="n">
        <f aca="false">+אפריל!F8+מאי!F8+יוני!F8</f>
        <v>213180.09</v>
      </c>
      <c r="G8" s="138" t="n">
        <f aca="false">+אפריל!G8+מאי!G8+יוני!G8</f>
        <v>168068.151</v>
      </c>
      <c r="H8" s="139" t="n">
        <f aca="false">G8/F8-1</f>
        <v>-0.211614222510179</v>
      </c>
      <c r="I8" s="140" t="n">
        <f aca="false">G8-F8</f>
        <v>-45111.939</v>
      </c>
      <c r="J8" s="138" t="n">
        <f aca="false">+אפריל!J8+מאי!J8+יוני!J8</f>
        <v>304126.984126984</v>
      </c>
      <c r="K8" s="139" t="n">
        <f aca="false">G8/J8-1</f>
        <v>-0.447375077609603</v>
      </c>
      <c r="L8" s="142" t="n">
        <f aca="false">G8-J8</f>
        <v>-136058.833126984</v>
      </c>
    </row>
    <row r="9" customFormat="false" ht="14.25" hidden="false" customHeight="true" outlineLevel="0" collapsed="false">
      <c r="A9" s="85" t="s">
        <v>137</v>
      </c>
      <c r="B9" s="24" t="s">
        <v>38</v>
      </c>
      <c r="C9" s="24" t="s">
        <v>38</v>
      </c>
      <c r="D9" s="26" t="s">
        <v>32</v>
      </c>
      <c r="E9" s="138" t="n">
        <f aca="false">+אפריל!E9+מאי!E9+יוני!E9</f>
        <v>246446.46</v>
      </c>
      <c r="F9" s="138" t="n">
        <f aca="false">+אפריל!F9+מאי!F9+יוני!F9</f>
        <v>233401.61</v>
      </c>
      <c r="G9" s="138" t="n">
        <f aca="false">+אפריל!G9+מאי!G9+יוני!G9</f>
        <v>258426.17</v>
      </c>
      <c r="H9" s="139" t="n">
        <f aca="false">G9/F9-1</f>
        <v>0.10721674113559</v>
      </c>
      <c r="I9" s="140" t="n">
        <f aca="false">G9-F9</f>
        <v>25024.56</v>
      </c>
      <c r="J9" s="138" t="n">
        <f aca="false">+אפריל!J9+מאי!J9+יוני!J9</f>
        <v>486734.126984127</v>
      </c>
      <c r="K9" s="139" t="n">
        <f aca="false">G9/J9-1</f>
        <v>-0.46906091914852</v>
      </c>
      <c r="L9" s="142" t="n">
        <f aca="false">G9-J9</f>
        <v>-228307.956984127</v>
      </c>
    </row>
    <row r="10" customFormat="false" ht="14.25" hidden="false" customHeight="true" outlineLevel="0" collapsed="false">
      <c r="A10" s="85" t="s">
        <v>138</v>
      </c>
      <c r="B10" s="36" t="s">
        <v>39</v>
      </c>
      <c r="C10" s="36" t="s">
        <v>39</v>
      </c>
      <c r="D10" s="26" t="s">
        <v>32</v>
      </c>
      <c r="E10" s="138" t="n">
        <f aca="false">+אפריל!E10+מאי!E10+יוני!E10</f>
        <v>43928.11</v>
      </c>
      <c r="F10" s="138" t="n">
        <f aca="false">+אפריל!F10+מאי!F10+יוני!F10</f>
        <v>40264.52</v>
      </c>
      <c r="G10" s="138" t="n">
        <f aca="false">+אפריל!G10+מאי!G10+יוני!G10</f>
        <v>25028.09</v>
      </c>
      <c r="H10" s="139" t="n">
        <f aca="false">G10/F10-1</f>
        <v>-0.378408335676173</v>
      </c>
      <c r="I10" s="140" t="n">
        <f aca="false">G10-F10</f>
        <v>-15236.43</v>
      </c>
      <c r="J10" s="138" t="n">
        <f aca="false">+אפריל!J10+מאי!J10+יוני!J10</f>
        <v>44484.126984127</v>
      </c>
      <c r="K10" s="139" t="n">
        <f aca="false">G10/J10-1</f>
        <v>-0.437370322925959</v>
      </c>
      <c r="L10" s="142" t="n">
        <f aca="false">G10-J10</f>
        <v>-19456.036984127</v>
      </c>
    </row>
    <row r="11" customFormat="false" ht="14.25" hidden="false" customHeight="true" outlineLevel="0" collapsed="false">
      <c r="A11" s="85" t="s">
        <v>141</v>
      </c>
      <c r="B11" s="24" t="s">
        <v>40</v>
      </c>
      <c r="C11" s="24" t="s">
        <v>40</v>
      </c>
      <c r="D11" s="26" t="s">
        <v>32</v>
      </c>
      <c r="E11" s="138" t="n">
        <f aca="false">+אפריל!E11+מאי!E11+יוני!E11</f>
        <v>24236.58</v>
      </c>
      <c r="F11" s="138" t="n">
        <f aca="false">+אפריל!F11+מאי!F11+יוני!F11</f>
        <v>14213.8</v>
      </c>
      <c r="G11" s="138" t="n">
        <f aca="false">+אפריל!G11+מאי!G11+יוני!G11</f>
        <v>21605.49</v>
      </c>
      <c r="H11" s="139" t="n">
        <f aca="false">G11/F11-1</f>
        <v>0.520036162039708</v>
      </c>
      <c r="I11" s="140" t="n">
        <f aca="false">G11-F11</f>
        <v>7391.69</v>
      </c>
      <c r="J11" s="138" t="n">
        <f aca="false">+אפריל!J11+מאי!J11+יוני!J11</f>
        <v>23412.6984126984</v>
      </c>
      <c r="K11" s="139" t="n">
        <f aca="false">G11/J11-1</f>
        <v>-0.0771892406779664</v>
      </c>
      <c r="L11" s="142" t="n">
        <f aca="false">G11-J11</f>
        <v>-1807.20841269842</v>
      </c>
    </row>
    <row r="12" customFormat="false" ht="14.25" hidden="false" customHeight="true" outlineLevel="0" collapsed="false">
      <c r="A12" s="85" t="s">
        <v>142</v>
      </c>
      <c r="B12" s="24" t="s">
        <v>41</v>
      </c>
      <c r="C12" s="24" t="s">
        <v>41</v>
      </c>
      <c r="D12" s="26" t="s">
        <v>32</v>
      </c>
      <c r="E12" s="138" t="n">
        <f aca="false">+אפריל!E12+מאי!E12+יוני!E12</f>
        <v>850.4</v>
      </c>
      <c r="F12" s="138" t="n">
        <f aca="false">+אפריל!F12+מאי!F12+יוני!F12</f>
        <v>1244.84</v>
      </c>
      <c r="G12" s="138" t="n">
        <f aca="false">+אפריל!G12+מאי!G12+יוני!G12</f>
        <v>1658.99</v>
      </c>
      <c r="H12" s="139" t="n">
        <f aca="false">G12/F12-1</f>
        <v>0.332693358182578</v>
      </c>
      <c r="I12" s="140" t="n">
        <f aca="false">G12-F12</f>
        <v>414.15</v>
      </c>
      <c r="J12" s="138" t="n">
        <f aca="false">+אפריל!J12+מאי!J12+יוני!J12</f>
        <v>0</v>
      </c>
      <c r="K12" s="139"/>
      <c r="L12" s="142" t="n">
        <f aca="false">G12-J12</f>
        <v>1658.99</v>
      </c>
    </row>
    <row r="13" customFormat="false" ht="14.25" hidden="false" customHeight="true" outlineLevel="0" collapsed="false">
      <c r="A13" s="85" t="s">
        <v>139</v>
      </c>
      <c r="B13" s="24" t="s">
        <v>47</v>
      </c>
      <c r="C13" s="24" t="s">
        <v>47</v>
      </c>
      <c r="D13" s="26" t="s">
        <v>32</v>
      </c>
      <c r="E13" s="138" t="n">
        <f aca="false">+אפריל!E13+מאי!E13+יוני!E13</f>
        <v>1597.46</v>
      </c>
      <c r="F13" s="138" t="n">
        <f aca="false">+אפריל!F13+מאי!F13+יוני!F13</f>
        <v>0</v>
      </c>
      <c r="G13" s="138" t="n">
        <f aca="false">+אפריל!G13+מאי!G13+יוני!G13</f>
        <v>1896.82</v>
      </c>
      <c r="H13" s="139" t="str">
        <f aca="false">IFERROR(G13/F13-1,"-")</f>
        <v>-</v>
      </c>
      <c r="I13" s="140" t="n">
        <f aca="false">G13-F13</f>
        <v>1896.82</v>
      </c>
      <c r="J13" s="138" t="n">
        <f aca="false">+אפריל!J13+מאי!J13+יוני!J13</f>
        <v>12500</v>
      </c>
      <c r="K13" s="139" t="n">
        <f aca="false">G13/J13-1</f>
        <v>-0.8482544</v>
      </c>
      <c r="L13" s="142" t="n">
        <f aca="false">G13-J13</f>
        <v>-10603.18</v>
      </c>
    </row>
    <row r="14" customFormat="false" ht="14.25" hidden="false" customHeight="true" outlineLevel="0" collapsed="false">
      <c r="A14" s="85" t="s">
        <v>145</v>
      </c>
      <c r="B14" s="24" t="s">
        <v>43</v>
      </c>
      <c r="C14" s="24" t="s">
        <v>43</v>
      </c>
      <c r="D14" s="26" t="s">
        <v>32</v>
      </c>
      <c r="E14" s="138" t="n">
        <f aca="false">+אפריל!E14+מאי!E14+יוני!E14</f>
        <v>4579.64</v>
      </c>
      <c r="F14" s="138" t="n">
        <f aca="false">+אפריל!F14+מאי!F14+יוני!F14</f>
        <v>0</v>
      </c>
      <c r="G14" s="138" t="n">
        <f aca="false">+אפריל!G14+מאי!G14+יוני!G14</f>
        <v>4277.74</v>
      </c>
      <c r="H14" s="139" t="str">
        <f aca="false">IFERROR(G14/F14-1,"-")</f>
        <v>-</v>
      </c>
      <c r="I14" s="140" t="n">
        <f aca="false">G14-F14</f>
        <v>4277.74</v>
      </c>
      <c r="J14" s="138" t="n">
        <f aca="false">+אפריל!J14+מאי!J14+יוני!J14</f>
        <v>150000</v>
      </c>
      <c r="K14" s="139" t="n">
        <f aca="false">G14/J14-1</f>
        <v>-0.971481733333333</v>
      </c>
      <c r="L14" s="142" t="n">
        <f aca="false">G14-J14</f>
        <v>-145722.26</v>
      </c>
    </row>
    <row r="15" customFormat="false" ht="14.25" hidden="false" customHeight="true" outlineLevel="0" collapsed="false">
      <c r="A15" s="85" t="s">
        <v>140</v>
      </c>
      <c r="B15" s="24" t="s">
        <v>44</v>
      </c>
      <c r="C15" s="24" t="s">
        <v>44</v>
      </c>
      <c r="D15" s="26" t="s">
        <v>32</v>
      </c>
      <c r="E15" s="138" t="n">
        <f aca="false">+אפריל!E15+מאי!E15+יוני!E15</f>
        <v>11737.4</v>
      </c>
      <c r="F15" s="138" t="n">
        <f aca="false">+אפריל!F15+מאי!F15+יוני!F15</f>
        <v>24303.61</v>
      </c>
      <c r="G15" s="138" t="n">
        <f aca="false">+אפריל!G15+מאי!G15+יוני!G15</f>
        <v>55700.59</v>
      </c>
      <c r="H15" s="139" t="n">
        <f aca="false">G15/F15-1</f>
        <v>1.29186487110351</v>
      </c>
      <c r="I15" s="140" t="n">
        <f aca="false">G15-F15</f>
        <v>31396.98</v>
      </c>
      <c r="J15" s="138" t="n">
        <f aca="false">+אפריל!J15+מאי!J15+יוני!J15</f>
        <v>46825.3968253969</v>
      </c>
      <c r="K15" s="139" t="n">
        <f aca="false">G15/J15-1</f>
        <v>0.189538023728812</v>
      </c>
      <c r="L15" s="142" t="n">
        <f aca="false">G15-J15</f>
        <v>8875.1931746031</v>
      </c>
    </row>
    <row r="16" customFormat="false" ht="15" hidden="false" customHeight="true" outlineLevel="0" collapsed="false">
      <c r="B16" s="143" t="s">
        <v>119</v>
      </c>
      <c r="C16" s="143"/>
      <c r="D16" s="143"/>
      <c r="E16" s="144" t="n">
        <f aca="false">SUM(E3:E15)</f>
        <v>4235599.79</v>
      </c>
      <c r="F16" s="144" t="n">
        <f aca="false">SUM(F3:F15)</f>
        <v>4423506.64000003</v>
      </c>
      <c r="G16" s="144" t="n">
        <f aca="false">SUM(G3:G15)</f>
        <v>3772670.607</v>
      </c>
      <c r="H16" s="145" t="n">
        <f aca="false">G16/F16-1</f>
        <v>-0.147131243596375</v>
      </c>
      <c r="I16" s="144" t="n">
        <f aca="false">SUM(I3:I15)</f>
        <v>-650836.033000024</v>
      </c>
      <c r="J16" s="144" t="n">
        <f aca="false">SUM(J3:J15)</f>
        <v>5075861.11111111</v>
      </c>
      <c r="K16" s="145" t="n">
        <f aca="false">G16/J16-1</f>
        <v>-0.256742742873404</v>
      </c>
      <c r="L16" s="144" t="n">
        <f aca="false">SUM(L3:L15)</f>
        <v>-1303190.50411111</v>
      </c>
    </row>
    <row r="17" customFormat="false" ht="14.25" hidden="false" customHeight="true" outlineLevel="0" collapsed="false">
      <c r="A17" s="85" t="s">
        <v>149</v>
      </c>
      <c r="B17" s="24" t="s">
        <v>45</v>
      </c>
      <c r="C17" s="24" t="s">
        <v>45</v>
      </c>
      <c r="D17" s="26" t="s">
        <v>32</v>
      </c>
      <c r="E17" s="138" t="n">
        <f aca="false">+אפריל!E17+מאי!E17+יוני!E17</f>
        <v>145350.67</v>
      </c>
      <c r="F17" s="138" t="n">
        <f aca="false">+אפריל!F17+מאי!F17+יוני!F17</f>
        <v>324643.02</v>
      </c>
      <c r="G17" s="138" t="n">
        <f aca="false">+אפריל!G17+מאי!G17+יוני!G17</f>
        <v>1372955.81000002</v>
      </c>
      <c r="H17" s="139" t="n">
        <f aca="false">G17/F17-1</f>
        <v>3.22912468593971</v>
      </c>
      <c r="I17" s="140" t="n">
        <f aca="false">G17-F17</f>
        <v>1048312.79000002</v>
      </c>
      <c r="J17" s="138" t="n">
        <f aca="false">+אפריל!J17+מאי!J17+יוני!J17</f>
        <v>1934057.62711864</v>
      </c>
      <c r="K17" s="139" t="n">
        <f aca="false">G17/J17-1</f>
        <v>-0.290116390148391</v>
      </c>
      <c r="L17" s="142" t="n">
        <f aca="false">G17-J17</f>
        <v>-561101.817118623</v>
      </c>
    </row>
    <row r="18" customFormat="false" ht="14.25" hidden="false" customHeight="true" outlineLevel="0" collapsed="false">
      <c r="A18" s="85" t="s">
        <v>150</v>
      </c>
      <c r="B18" s="38" t="s">
        <v>46</v>
      </c>
      <c r="C18" s="38" t="s">
        <v>46</v>
      </c>
      <c r="D18" s="26" t="s">
        <v>32</v>
      </c>
      <c r="E18" s="138" t="n">
        <f aca="false">+אפריל!E18+מאי!E18+יוני!E18</f>
        <v>9785.53</v>
      </c>
      <c r="F18" s="138" t="n">
        <f aca="false">+אפריל!F18+מאי!F18+יוני!F18</f>
        <v>8530.47</v>
      </c>
      <c r="G18" s="138" t="n">
        <f aca="false">+אפריל!G18+מאי!G18+יוני!G18</f>
        <v>4719.99</v>
      </c>
      <c r="H18" s="139" t="n">
        <f aca="false">G18/F18-1</f>
        <v>-0.446690510604926</v>
      </c>
      <c r="I18" s="140" t="n">
        <f aca="false">G18-F18</f>
        <v>-3810.48</v>
      </c>
      <c r="J18" s="138" t="n">
        <f aca="false">+אפריל!J18+מאי!J18+יוני!J18</f>
        <v>7610.78499999999</v>
      </c>
      <c r="K18" s="139" t="n">
        <f aca="false">G18/J18-1</f>
        <v>-0.379828756166413</v>
      </c>
      <c r="L18" s="142" t="n">
        <f aca="false">G18-J18</f>
        <v>-2890.79499999999</v>
      </c>
    </row>
    <row r="19" customFormat="false" ht="15" hidden="false" customHeight="true" outlineLevel="0" collapsed="false">
      <c r="B19" s="81" t="s">
        <v>48</v>
      </c>
      <c r="C19" s="81"/>
      <c r="D19" s="81"/>
      <c r="E19" s="146" t="n">
        <f aca="false">E16+E17+E18</f>
        <v>4390735.99</v>
      </c>
      <c r="F19" s="146" t="n">
        <f aca="false">F16+F17+F18</f>
        <v>4756680.13000003</v>
      </c>
      <c r="G19" s="146" t="n">
        <f aca="false">G16+G17+G18</f>
        <v>5150346.40700002</v>
      </c>
      <c r="H19" s="147" t="n">
        <f aca="false">G19/F19-1</f>
        <v>0.0827607209736834</v>
      </c>
      <c r="I19" s="146" t="n">
        <f aca="false">I16+I17+I18</f>
        <v>393666.276999996</v>
      </c>
      <c r="J19" s="146" t="n">
        <f aca="false">J16+J17+J18</f>
        <v>7017529.52322976</v>
      </c>
      <c r="K19" s="147" t="n">
        <f aca="false">G19/J19-1</f>
        <v>-0.266074137636172</v>
      </c>
      <c r="L19" s="146" t="n">
        <f aca="false">L16+L17+L18</f>
        <v>-1867183.11622973</v>
      </c>
    </row>
    <row r="20" customFormat="false" ht="14.25" hidden="false" customHeight="true" outlineLevel="0" collapsed="false">
      <c r="A20" s="85" t="s">
        <v>155</v>
      </c>
      <c r="B20" s="84" t="s">
        <v>49</v>
      </c>
      <c r="C20" s="65" t="s">
        <v>50</v>
      </c>
      <c r="D20" s="26" t="s">
        <v>51</v>
      </c>
      <c r="E20" s="138" t="n">
        <f aca="false">+אפריל!E20+מאי!E20+יוני!E20</f>
        <v>954148.47</v>
      </c>
      <c r="F20" s="138" t="n">
        <f aca="false">+אפריל!F20+מאי!F20+יוני!F20</f>
        <v>559300.56</v>
      </c>
      <c r="G20" s="138" t="n">
        <f aca="false">+אפריל!G20+מאי!G20+יוני!G20</f>
        <v>668181.86</v>
      </c>
      <c r="H20" s="139" t="n">
        <f aca="false">G20/F20-1</f>
        <v>0.19467404073402</v>
      </c>
      <c r="I20" s="140" t="n">
        <f aca="false">G20-F20</f>
        <v>108881.3</v>
      </c>
      <c r="J20" s="138" t="n">
        <f aca="false">+אפריל!J20+מאי!J20+יוני!J20</f>
        <v>1194086.4144</v>
      </c>
      <c r="K20" s="139" t="n">
        <f aca="false">G20/J20-1</f>
        <v>-0.440424200508348</v>
      </c>
      <c r="L20" s="142" t="n">
        <f aca="false">G20-J20</f>
        <v>-525904.5544</v>
      </c>
    </row>
    <row r="21" customFormat="false" ht="14.25" hidden="false" customHeight="true" outlineLevel="0" collapsed="false">
      <c r="A21" s="85" t="s">
        <v>151</v>
      </c>
      <c r="B21" s="84" t="s">
        <v>52</v>
      </c>
      <c r="C21" s="65" t="s">
        <v>53</v>
      </c>
      <c r="D21" s="26" t="s">
        <v>54</v>
      </c>
      <c r="E21" s="138" t="n">
        <f aca="false">+אפריל!E21+מאי!E21+יוני!E21</f>
        <v>184350.47</v>
      </c>
      <c r="F21" s="138" t="n">
        <f aca="false">+אפריל!F21+מאי!F21+יוני!F21</f>
        <v>217182.24</v>
      </c>
      <c r="G21" s="138" t="n">
        <f aca="false">+אפריל!G21+מאי!G21+יוני!G21</f>
        <v>204882.82</v>
      </c>
      <c r="H21" s="139" t="n">
        <f aca="false">G21/F21-1</f>
        <v>-0.056631794570311</v>
      </c>
      <c r="I21" s="140" t="n">
        <f aca="false">G21-F21</f>
        <v>-12299.42</v>
      </c>
      <c r="J21" s="138" t="n">
        <f aca="false">+אפריל!J21+מאי!J21+יוני!J21</f>
        <v>235200</v>
      </c>
      <c r="K21" s="139" t="n">
        <f aca="false">G21/J21-1</f>
        <v>-0.128899574829932</v>
      </c>
      <c r="L21" s="142" t="n">
        <f aca="false">G21-J21</f>
        <v>-30317.18</v>
      </c>
    </row>
    <row r="22" customFormat="false" ht="14.25" hidden="false" customHeight="true" outlineLevel="0" collapsed="false">
      <c r="A22" s="85" t="s">
        <v>157</v>
      </c>
      <c r="B22" s="84" t="s">
        <v>55</v>
      </c>
      <c r="C22" s="65" t="s">
        <v>56</v>
      </c>
      <c r="D22" s="26" t="s">
        <v>57</v>
      </c>
      <c r="E22" s="138" t="n">
        <f aca="false">+אפריל!E22+מאי!E22+יוני!E22</f>
        <v>184316.58</v>
      </c>
      <c r="F22" s="138" t="n">
        <f aca="false">+אפריל!F22+מאי!F22+יוני!F22</f>
        <v>1513.3</v>
      </c>
      <c r="G22" s="138" t="n">
        <f aca="false">+אפריל!G22+מאי!G22+יוני!G22</f>
        <v>184127.09</v>
      </c>
      <c r="H22" s="139" t="n">
        <f aca="false">G22/F22-1</f>
        <v>120.672563272319</v>
      </c>
      <c r="I22" s="140" t="n">
        <f aca="false">G22-F22</f>
        <v>182613.79</v>
      </c>
      <c r="J22" s="138" t="n">
        <f aca="false">+אפריל!J22+מאי!J22+יוני!J22</f>
        <v>150000</v>
      </c>
      <c r="K22" s="139" t="n">
        <f aca="false">G22/J22-1</f>
        <v>0.227513933333333</v>
      </c>
      <c r="L22" s="142" t="n">
        <f aca="false">G22-J22</f>
        <v>34127.09</v>
      </c>
    </row>
    <row r="23" customFormat="false" ht="14.25" hidden="false" customHeight="true" outlineLevel="0" collapsed="false">
      <c r="A23" s="85" t="s">
        <v>159</v>
      </c>
      <c r="B23" s="84" t="s">
        <v>58</v>
      </c>
      <c r="C23" s="65" t="s">
        <v>59</v>
      </c>
      <c r="D23" s="26" t="s">
        <v>60</v>
      </c>
      <c r="E23" s="138" t="n">
        <f aca="false">+אפריל!E23+מאי!E23+יוני!E23</f>
        <v>83128.56</v>
      </c>
      <c r="F23" s="138" t="n">
        <f aca="false">+אפריל!F23+מאי!F23+יוני!F23</f>
        <v>88706.82</v>
      </c>
      <c r="G23" s="138" t="n">
        <f aca="false">+אפריל!G23+מאי!G23+יוני!G23</f>
        <v>239894.16</v>
      </c>
      <c r="H23" s="139" t="n">
        <f aca="false">G23/F23-1</f>
        <v>1.70434854952528</v>
      </c>
      <c r="I23" s="140" t="n">
        <f aca="false">G23-F23</f>
        <v>151187.34</v>
      </c>
      <c r="J23" s="138" t="n">
        <f aca="false">+אפריל!J23+מאי!J23+יוני!J23</f>
        <v>85000</v>
      </c>
      <c r="K23" s="139" t="n">
        <f aca="false">G23/J23-1</f>
        <v>1.82228423529412</v>
      </c>
      <c r="L23" s="142" t="n">
        <f aca="false">G23-J23</f>
        <v>154894.16</v>
      </c>
    </row>
    <row r="24" customFormat="false" ht="14.25" hidden="false" customHeight="true" outlineLevel="0" collapsed="false">
      <c r="A24" s="85" t="s">
        <v>154</v>
      </c>
      <c r="B24" s="84" t="s">
        <v>61</v>
      </c>
      <c r="C24" s="65" t="s">
        <v>62</v>
      </c>
      <c r="D24" s="26" t="s">
        <v>63</v>
      </c>
      <c r="E24" s="138" t="n">
        <f aca="false">+אפריל!E24+מאי!E24+יוני!E24</f>
        <v>32116.36</v>
      </c>
      <c r="F24" s="138" t="n">
        <f aca="false">+אפריל!F24+מאי!F24+יוני!F24</f>
        <v>11888.32</v>
      </c>
      <c r="G24" s="138" t="n">
        <f aca="false">+אפריל!G24+מאי!G24+יוני!G24</f>
        <v>31882.48</v>
      </c>
      <c r="H24" s="139" t="n">
        <f aca="false">G24/F24-1</f>
        <v>1.6818322521601</v>
      </c>
      <c r="I24" s="140" t="n">
        <f aca="false">G24-F24</f>
        <v>19994.16</v>
      </c>
      <c r="J24" s="138" t="n">
        <f aca="false">+אפריל!J24+מאי!J24+יוני!J24</f>
        <v>37000</v>
      </c>
      <c r="K24" s="139" t="n">
        <f aca="false">G24/J24-1</f>
        <v>-0.138311351351351</v>
      </c>
      <c r="L24" s="142" t="n">
        <f aca="false">G24-J24</f>
        <v>-5117.52</v>
      </c>
    </row>
    <row r="25" customFormat="false" ht="14.25" hidden="false" customHeight="true" outlineLevel="0" collapsed="false">
      <c r="A25" s="85" t="s">
        <v>156</v>
      </c>
      <c r="B25" s="84" t="s">
        <v>64</v>
      </c>
      <c r="C25" s="65" t="s">
        <v>65</v>
      </c>
      <c r="D25" s="26" t="s">
        <v>66</v>
      </c>
      <c r="E25" s="138" t="n">
        <f aca="false">+אפריל!E25+מאי!E25+יוני!E25</f>
        <v>65362.29</v>
      </c>
      <c r="F25" s="138" t="n">
        <f aca="false">+אפריל!F25+מאי!F25+יוני!F25</f>
        <v>10766.89</v>
      </c>
      <c r="G25" s="138" t="n">
        <f aca="false">+אפריל!G25+מאי!G25+יוני!G25</f>
        <v>0</v>
      </c>
      <c r="H25" s="139" t="n">
        <f aca="false">G25/F25-1</f>
        <v>-1</v>
      </c>
      <c r="I25" s="140" t="n">
        <f aca="false">G25-F25</f>
        <v>-10766.89</v>
      </c>
      <c r="J25" s="138" t="n">
        <f aca="false">+אפריל!J25+מאי!J25+יוני!J25</f>
        <v>15000</v>
      </c>
      <c r="K25" s="139" t="n">
        <f aca="false">G25/J25-1</f>
        <v>-1</v>
      </c>
      <c r="L25" s="142" t="n">
        <f aca="false">G25-J25</f>
        <v>-15000</v>
      </c>
    </row>
    <row r="26" customFormat="false" ht="13.5" hidden="false" customHeight="true" outlineLevel="0" collapsed="false">
      <c r="A26" s="85" t="s">
        <v>162</v>
      </c>
      <c r="B26" s="84" t="s">
        <v>67</v>
      </c>
      <c r="C26" s="65" t="s">
        <v>68</v>
      </c>
      <c r="D26" s="26" t="s">
        <v>69</v>
      </c>
      <c r="E26" s="138" t="n">
        <f aca="false">+אפריל!E26+מאי!E26+יוני!E26</f>
        <v>0</v>
      </c>
      <c r="F26" s="138" t="n">
        <f aca="false">+אפריל!F26+מאי!F26+יוני!F26</f>
        <v>172805.93</v>
      </c>
      <c r="G26" s="138" t="n">
        <f aca="false">+אפריל!G26+מאי!G26+יוני!G26</f>
        <v>145416.53</v>
      </c>
      <c r="H26" s="139" t="n">
        <f aca="false">G26/F26-1</f>
        <v>-0.158498033024677</v>
      </c>
      <c r="I26" s="140" t="n">
        <f aca="false">G26-F26</f>
        <v>-27389.4</v>
      </c>
      <c r="J26" s="138" t="n">
        <f aca="false">+אפריל!J26+מאי!J26+יוני!J26</f>
        <v>150000</v>
      </c>
      <c r="K26" s="139" t="n">
        <f aca="false">G26/J26-1</f>
        <v>-0.0305564666666669</v>
      </c>
      <c r="L26" s="142" t="n">
        <f aca="false">G26-J26</f>
        <v>-4583.47000000003</v>
      </c>
    </row>
    <row r="27" customFormat="false" ht="14.25" hidden="false" customHeight="true" outlineLevel="0" collapsed="false">
      <c r="A27" s="85" t="s">
        <v>153</v>
      </c>
      <c r="B27" s="84" t="s">
        <v>70</v>
      </c>
      <c r="C27" s="65" t="s">
        <v>71</v>
      </c>
      <c r="D27" s="26" t="s">
        <v>72</v>
      </c>
      <c r="E27" s="138" t="n">
        <f aca="false">+אפריל!E27+מאי!E27+יוני!E27</f>
        <v>37671.31</v>
      </c>
      <c r="F27" s="138" t="n">
        <f aca="false">+אפריל!F27+מאי!F27+יוני!F27</f>
        <v>35240.62</v>
      </c>
      <c r="G27" s="138" t="n">
        <f aca="false">+אפריל!G27+מאי!G27+יוני!G27</f>
        <v>18541.7</v>
      </c>
      <c r="H27" s="139" t="n">
        <f aca="false">G27/F27-1</f>
        <v>-0.47385431924864</v>
      </c>
      <c r="I27" s="140" t="n">
        <f aca="false">G27-F27</f>
        <v>-16698.92</v>
      </c>
      <c r="J27" s="138" t="n">
        <f aca="false">+אפריל!J27+מאי!J27+יוני!J27</f>
        <v>80000</v>
      </c>
      <c r="K27" s="139" t="n">
        <f aca="false">G27/J27-1</f>
        <v>-0.76822875</v>
      </c>
      <c r="L27" s="142" t="n">
        <f aca="false">G27-J27</f>
        <v>-61458.3</v>
      </c>
    </row>
    <row r="28" customFormat="false" ht="13.5" hidden="false" customHeight="true" outlineLevel="0" collapsed="false">
      <c r="A28" s="85" t="s">
        <v>163</v>
      </c>
      <c r="B28" s="84" t="s">
        <v>73</v>
      </c>
      <c r="C28" s="65" t="s">
        <v>74</v>
      </c>
      <c r="D28" s="26" t="s">
        <v>75</v>
      </c>
      <c r="E28" s="138" t="n">
        <f aca="false">+אפריל!E28+מאי!E28+יוני!E28</f>
        <v>0</v>
      </c>
      <c r="F28" s="138" t="n">
        <f aca="false">+אפריל!F28+מאי!F28+יוני!F28</f>
        <v>0</v>
      </c>
      <c r="G28" s="138" t="n">
        <f aca="false">+אפריל!G28+מאי!G28+יוני!G28</f>
        <v>0</v>
      </c>
      <c r="H28" s="139" t="str">
        <f aca="false">IFERROR(G28/F28-1,"-")</f>
        <v>-</v>
      </c>
      <c r="I28" s="140" t="n">
        <f aca="false">G28-F28</f>
        <v>0</v>
      </c>
      <c r="J28" s="138" t="n">
        <f aca="false">+אפריל!J28+מאי!J28+יוני!J28</f>
        <v>0</v>
      </c>
      <c r="K28" s="139" t="str">
        <f aca="false">IFERROR(G28/J28-1,"-")</f>
        <v>-</v>
      </c>
      <c r="L28" s="142" t="n">
        <f aca="false">G28-J28</f>
        <v>0</v>
      </c>
    </row>
    <row r="29" customFormat="false" ht="13.5" hidden="false" customHeight="true" outlineLevel="0" collapsed="false">
      <c r="A29" s="85" t="s">
        <v>164</v>
      </c>
      <c r="B29" s="84" t="s">
        <v>76</v>
      </c>
      <c r="C29" s="65" t="s">
        <v>77</v>
      </c>
      <c r="D29" s="26" t="s">
        <v>78</v>
      </c>
      <c r="E29" s="138" t="n">
        <f aca="false">+אפריל!E29+מאי!E29+יוני!E29</f>
        <v>96419.36</v>
      </c>
      <c r="F29" s="138" t="n">
        <f aca="false">+אפריל!F29+מאי!F29+יוני!F29</f>
        <v>94956.9</v>
      </c>
      <c r="G29" s="138" t="n">
        <f aca="false">+אפריל!G29+מאי!G29+יוני!G29</f>
        <v>151082.34</v>
      </c>
      <c r="H29" s="139" t="n">
        <f aca="false">G29/F29-1</f>
        <v>0.591062260878356</v>
      </c>
      <c r="I29" s="140" t="n">
        <f aca="false">G29-F29</f>
        <v>56125.44</v>
      </c>
      <c r="J29" s="138" t="n">
        <f aca="false">+אפריל!J29+מאי!J29+יוני!J29</f>
        <v>119295.228</v>
      </c>
      <c r="K29" s="139" t="n">
        <f aca="false">G29/J29-1</f>
        <v>0.266457531729601</v>
      </c>
      <c r="L29" s="142" t="n">
        <f aca="false">G29-J29</f>
        <v>31787.112</v>
      </c>
    </row>
    <row r="30" customFormat="false" ht="14.25" hidden="false" customHeight="true" outlineLevel="0" collapsed="false">
      <c r="A30" s="85" t="s">
        <v>158</v>
      </c>
      <c r="B30" s="84" t="s">
        <v>79</v>
      </c>
      <c r="C30" s="65" t="s">
        <v>80</v>
      </c>
      <c r="D30" s="26" t="s">
        <v>81</v>
      </c>
      <c r="E30" s="138" t="n">
        <f aca="false">+אפריל!E30+מאי!E30+יוני!E30</f>
        <v>49617.59</v>
      </c>
      <c r="F30" s="138" t="n">
        <f aca="false">+אפריל!F30+מאי!F30+יוני!F30</f>
        <v>0</v>
      </c>
      <c r="G30" s="138" t="n">
        <f aca="false">+אפריל!G30+מאי!G30+יוני!G30</f>
        <v>43116.44</v>
      </c>
      <c r="H30" s="139" t="str">
        <f aca="false">IFERROR(G30/F30-1,"-")</f>
        <v>-</v>
      </c>
      <c r="I30" s="140" t="n">
        <f aca="false">G30-F30</f>
        <v>43116.44</v>
      </c>
      <c r="J30" s="138" t="n">
        <f aca="false">+אפריל!J30+מאי!J30+יוני!J30</f>
        <v>35000</v>
      </c>
      <c r="K30" s="139" t="n">
        <f aca="false">G30/J30-1</f>
        <v>0.231898285714286</v>
      </c>
      <c r="L30" s="142" t="n">
        <f aca="false">G30-J30</f>
        <v>8116.44</v>
      </c>
    </row>
    <row r="31" customFormat="false" ht="14.25" hidden="false" customHeight="true" outlineLevel="0" collapsed="false">
      <c r="A31" s="85" t="s">
        <v>152</v>
      </c>
      <c r="B31" s="84" t="s">
        <v>82</v>
      </c>
      <c r="C31" s="65" t="s">
        <v>83</v>
      </c>
      <c r="D31" s="26" t="s">
        <v>81</v>
      </c>
      <c r="E31" s="138" t="n">
        <f aca="false">+אפריל!E31+מאי!E31+יוני!E31</f>
        <v>20354.79</v>
      </c>
      <c r="F31" s="138" t="n">
        <f aca="false">+אפריל!F31+מאי!F31+יוני!F31</f>
        <v>18835.73</v>
      </c>
      <c r="G31" s="138" t="n">
        <f aca="false">+אפריל!G31+מאי!G31+יוני!G31</f>
        <v>17809.5</v>
      </c>
      <c r="H31" s="139" t="n">
        <f aca="false">G31/F31-1</f>
        <v>-0.0544831551524682</v>
      </c>
      <c r="I31" s="140" t="n">
        <f aca="false">G31-F31</f>
        <v>-1026.23</v>
      </c>
      <c r="J31" s="138" t="n">
        <f aca="false">+אפריל!J31+מאי!J31+יוני!J31</f>
        <v>0</v>
      </c>
      <c r="K31" s="139" t="str">
        <f aca="false">IFERROR(G31/J31-1,"-")</f>
        <v>-</v>
      </c>
      <c r="L31" s="142" t="n">
        <f aca="false">G31-J31</f>
        <v>17809.5</v>
      </c>
    </row>
    <row r="32" customFormat="false" ht="13.5" hidden="false" customHeight="true" outlineLevel="0" collapsed="false">
      <c r="A32" s="85" t="s">
        <v>84</v>
      </c>
      <c r="B32" s="85" t="s">
        <v>84</v>
      </c>
      <c r="C32" s="65" t="s">
        <v>85</v>
      </c>
      <c r="D32" s="26" t="s">
        <v>86</v>
      </c>
      <c r="E32" s="138" t="n">
        <f aca="false">+אפריל!E32+מאי!E32+יוני!E32</f>
        <v>0</v>
      </c>
      <c r="F32" s="138" t="n">
        <f aca="false">+אפריל!F32+מאי!F32+יוני!F32</f>
        <v>0</v>
      </c>
      <c r="G32" s="138" t="n">
        <f aca="false">+אפריל!G32+מאי!G32+יוני!G32</f>
        <v>0</v>
      </c>
      <c r="H32" s="139" t="str">
        <f aca="false">IFERROR(G32/F32-1,"-")</f>
        <v>-</v>
      </c>
      <c r="I32" s="140" t="n">
        <f aca="false">G32-F32</f>
        <v>0</v>
      </c>
      <c r="J32" s="138" t="n">
        <f aca="false">+אפריל!J32+מאי!J32+יוני!J32</f>
        <v>0</v>
      </c>
      <c r="K32" s="139" t="str">
        <f aca="false">IFERROR(G32/J32-1,"-")</f>
        <v>-</v>
      </c>
      <c r="L32" s="142" t="n">
        <f aca="false">G32-J32</f>
        <v>0</v>
      </c>
    </row>
    <row r="33" customFormat="false" ht="13.5" hidden="false" customHeight="true" outlineLevel="0" collapsed="false">
      <c r="B33" s="84"/>
      <c r="C33" s="65" t="s">
        <v>171</v>
      </c>
      <c r="D33" s="26" t="s">
        <v>172</v>
      </c>
      <c r="E33" s="138" t="n">
        <f aca="false">+אפריל!E33+מאי!E33+יוני!E33</f>
        <v>0</v>
      </c>
      <c r="F33" s="138" t="n">
        <f aca="false">+אפריל!F33+מאי!F33+יוני!F33</f>
        <v>0</v>
      </c>
      <c r="G33" s="138" t="n">
        <f aca="false">+אפריל!G33+מאי!G33+יוני!G33</f>
        <v>0</v>
      </c>
      <c r="H33" s="139" t="str">
        <f aca="false">IFERROR(G33/F33-1,"-")</f>
        <v>-</v>
      </c>
      <c r="I33" s="140" t="n">
        <f aca="false">G33-F33</f>
        <v>0</v>
      </c>
      <c r="J33" s="138" t="n">
        <f aca="false">+אפריל!J33+מאי!J33+יוני!J33</f>
        <v>0</v>
      </c>
      <c r="K33" s="139" t="str">
        <f aca="false">IFERROR(G33/J33-1,"-")</f>
        <v>-</v>
      </c>
      <c r="L33" s="142" t="n">
        <f aca="false">G33-J33</f>
        <v>0</v>
      </c>
    </row>
    <row r="34" customFormat="false" ht="13.5" hidden="false" customHeight="true" outlineLevel="0" collapsed="false">
      <c r="A34" s="85" t="s">
        <v>161</v>
      </c>
      <c r="B34" s="84" t="s">
        <v>87</v>
      </c>
      <c r="C34" s="65" t="s">
        <v>88</v>
      </c>
      <c r="D34" s="26" t="s">
        <v>89</v>
      </c>
      <c r="E34" s="138" t="n">
        <f aca="false">+אפריל!E34+מאי!E34+יוני!E34</f>
        <v>0</v>
      </c>
      <c r="F34" s="138" t="n">
        <f aca="false">+אפריל!F34+מאי!F34+יוני!F34</f>
        <v>19017.88</v>
      </c>
      <c r="G34" s="138" t="n">
        <f aca="false">+אפריל!G34+מאי!G34+יוני!G34</f>
        <v>0</v>
      </c>
      <c r="H34" s="139" t="n">
        <f aca="false">G34/F34-1</f>
        <v>-1</v>
      </c>
      <c r="I34" s="140" t="n">
        <f aca="false">G34-F34</f>
        <v>-19017.88</v>
      </c>
      <c r="J34" s="138" t="n">
        <f aca="false">+אפריל!J34+מאי!J34+יוני!J34</f>
        <v>21207.34</v>
      </c>
      <c r="K34" s="139" t="n">
        <f aca="false">G34/J34-1</f>
        <v>-1</v>
      </c>
      <c r="L34" s="142" t="n">
        <f aca="false">G34-J34</f>
        <v>-21207.34</v>
      </c>
    </row>
    <row r="35" customFormat="false" ht="13.5" hidden="false" customHeight="true" outlineLevel="0" collapsed="false">
      <c r="A35" s="85" t="s">
        <v>160</v>
      </c>
      <c r="B35" s="84" t="s">
        <v>90</v>
      </c>
      <c r="C35" s="65" t="s">
        <v>91</v>
      </c>
      <c r="D35" s="26" t="s">
        <v>92</v>
      </c>
      <c r="E35" s="138" t="n">
        <f aca="false">+אפריל!E35+מאי!E35+יוני!E35</f>
        <v>0</v>
      </c>
      <c r="F35" s="138" t="n">
        <f aca="false">+אפריל!F35+מאי!F35+יוני!F35</f>
        <v>30531.53</v>
      </c>
      <c r="G35" s="138" t="n">
        <f aca="false">+אפריל!G35+מאי!G35+יוני!G35</f>
        <v>0</v>
      </c>
      <c r="H35" s="139" t="n">
        <f aca="false">G35/F35-1</f>
        <v>-1</v>
      </c>
      <c r="I35" s="140" t="n">
        <f aca="false">G35-F35</f>
        <v>-30531.53</v>
      </c>
      <c r="J35" s="138" t="n">
        <f aca="false">+אפריל!J35+מאי!J35+יוני!J35</f>
        <v>40000</v>
      </c>
      <c r="K35" s="139" t="n">
        <f aca="false">G35/J35-1</f>
        <v>-1</v>
      </c>
      <c r="L35" s="142" t="n">
        <f aca="false">G35-J35</f>
        <v>-40000</v>
      </c>
    </row>
    <row r="36" customFormat="false" ht="14.25" hidden="false" customHeight="true" outlineLevel="0" collapsed="false">
      <c r="A36" s="85" t="s">
        <v>166</v>
      </c>
      <c r="B36" s="85" t="s">
        <v>166</v>
      </c>
      <c r="C36" s="65" t="s">
        <v>173</v>
      </c>
      <c r="D36" s="26" t="s">
        <v>78</v>
      </c>
      <c r="E36" s="138" t="n">
        <f aca="false">+אפריל!E36+מאי!E36+יוני!E36</f>
        <v>41531.96</v>
      </c>
      <c r="F36" s="138" t="n">
        <f aca="false">+אפריל!F36+מאי!F36+יוני!F36</f>
        <v>0</v>
      </c>
      <c r="G36" s="138" t="n">
        <f aca="false">+אפריל!G36+מאי!G36+יוני!G36</f>
        <v>0</v>
      </c>
      <c r="H36" s="139" t="str">
        <f aca="false">IFERROR(G36/F36-1,"-")</f>
        <v>-</v>
      </c>
      <c r="I36" s="140" t="n">
        <f aca="false">G36-F36</f>
        <v>0</v>
      </c>
      <c r="J36" s="138" t="n">
        <f aca="false">+אפריל!J36+מאי!J36+יוני!J36</f>
        <v>0</v>
      </c>
      <c r="K36" s="139" t="str">
        <f aca="false">IFERROR(G36/J36-1,"-")</f>
        <v>-</v>
      </c>
      <c r="L36" s="142" t="n">
        <f aca="false">G36-J36</f>
        <v>0</v>
      </c>
    </row>
    <row r="37" customFormat="false" ht="14.25" hidden="false" customHeight="true" outlineLevel="0" collapsed="false">
      <c r="A37" s="85" t="s">
        <v>165</v>
      </c>
      <c r="B37" s="85" t="s">
        <v>165</v>
      </c>
      <c r="C37" s="65" t="s">
        <v>93</v>
      </c>
      <c r="D37" s="26" t="s">
        <v>174</v>
      </c>
      <c r="E37" s="138" t="n">
        <f aca="false">+אפריל!E37+מאי!E37+יוני!E37</f>
        <v>22310.96</v>
      </c>
      <c r="F37" s="138" t="n">
        <f aca="false">+אפריל!F37+מאי!F37+יוני!F37</f>
        <v>0</v>
      </c>
      <c r="G37" s="138" t="n">
        <f aca="false">+אפריל!G37+מאי!G37+יוני!G37</f>
        <v>0</v>
      </c>
      <c r="H37" s="139" t="str">
        <f aca="false">IFERROR(G37/F37-1,"-")</f>
        <v>-</v>
      </c>
      <c r="I37" s="140" t="n">
        <f aca="false">G37-F37</f>
        <v>0</v>
      </c>
      <c r="J37" s="138" t="n">
        <f aca="false">+אפריל!J37+מאי!J37+יוני!J37</f>
        <v>0</v>
      </c>
      <c r="K37" s="139" t="str">
        <f aca="false">IFERROR(G37/J37-1,"-")</f>
        <v>-</v>
      </c>
      <c r="L37" s="142" t="n">
        <f aca="false">G37-J37</f>
        <v>0</v>
      </c>
    </row>
    <row r="38" customFormat="false" ht="13.5" hidden="false" customHeight="true" outlineLevel="0" collapsed="false">
      <c r="A38" s="85" t="s">
        <v>94</v>
      </c>
      <c r="B38" s="85" t="s">
        <v>94</v>
      </c>
      <c r="C38" s="65" t="s">
        <v>95</v>
      </c>
      <c r="D38" s="26" t="s">
        <v>51</v>
      </c>
      <c r="E38" s="138" t="n">
        <f aca="false">+אפריל!E38+מאי!E38+יוני!E38</f>
        <v>0</v>
      </c>
      <c r="F38" s="138" t="n">
        <f aca="false">+אפריל!F38+מאי!F38+יוני!F38</f>
        <v>248.59</v>
      </c>
      <c r="G38" s="138" t="n">
        <f aca="false">+אפריל!G38+מאי!G38+יוני!G38</f>
        <v>0</v>
      </c>
      <c r="H38" s="139" t="n">
        <f aca="false">G38/F38-1</f>
        <v>-1</v>
      </c>
      <c r="I38" s="140" t="n">
        <f aca="false">G38-F38</f>
        <v>-248.59</v>
      </c>
      <c r="J38" s="138" t="n">
        <f aca="false">+אפריל!J38+מאי!J38+יוני!J38</f>
        <v>200000</v>
      </c>
      <c r="K38" s="139" t="n">
        <f aca="false">G38/J38-1</f>
        <v>-1</v>
      </c>
      <c r="L38" s="142" t="n">
        <f aca="false">G38-J38</f>
        <v>-200000</v>
      </c>
    </row>
    <row r="39" customFormat="false" ht="13.5" hidden="false" customHeight="true" outlineLevel="0" collapsed="false">
      <c r="B39" s="85" t="s">
        <v>97</v>
      </c>
      <c r="C39" s="65" t="s">
        <v>97</v>
      </c>
      <c r="D39" s="26"/>
      <c r="E39" s="138" t="n">
        <f aca="false">+אפריל!E39+מאי!E39+יוני!E39</f>
        <v>0</v>
      </c>
      <c r="F39" s="138" t="n">
        <f aca="false">+אפריל!F39+מאי!F39+יוני!F39</f>
        <v>0</v>
      </c>
      <c r="G39" s="138" t="n">
        <f aca="false">+אפריל!G39+מאי!G39+יוני!G39</f>
        <v>0</v>
      </c>
      <c r="H39" s="139" t="str">
        <f aca="false">IFERROR(G39/F39-1,"-")</f>
        <v>-</v>
      </c>
      <c r="I39" s="140" t="n">
        <f aca="false">G39-F39</f>
        <v>0</v>
      </c>
      <c r="J39" s="138" t="n">
        <f aca="false">+אפריל!J39+מאי!J39+יוני!J39</f>
        <v>200000</v>
      </c>
      <c r="K39" s="139" t="n">
        <f aca="false">G39/J39-1</f>
        <v>-1</v>
      </c>
      <c r="L39" s="142" t="n">
        <f aca="false">G39-J39</f>
        <v>-200000</v>
      </c>
    </row>
    <row r="40" customFormat="false" ht="15" hidden="false" customHeight="true" outlineLevel="0" collapsed="false">
      <c r="B40" s="148" t="s">
        <v>98</v>
      </c>
      <c r="C40" s="148"/>
      <c r="D40" s="148"/>
      <c r="E40" s="149" t="n">
        <f aca="false">SUM(E20:E39)</f>
        <v>1771328.7</v>
      </c>
      <c r="F40" s="149" t="n">
        <f aca="false">SUM(F20:F39)</f>
        <v>1260995.31</v>
      </c>
      <c r="G40" s="149" t="n">
        <f aca="false">SUM(G20:G39)</f>
        <v>1704934.92</v>
      </c>
      <c r="H40" s="150" t="n">
        <f aca="false">G40/F40-1</f>
        <v>0.352054925565108</v>
      </c>
      <c r="I40" s="149" t="n">
        <f aca="false">SUM(I20:I39)</f>
        <v>443939.61</v>
      </c>
      <c r="J40" s="149" t="n">
        <f aca="false">SUM(J20:J39)</f>
        <v>2561788.9824</v>
      </c>
      <c r="K40" s="150" t="n">
        <f aca="false">G40/J40-1</f>
        <v>-0.334474879971285</v>
      </c>
      <c r="L40" s="149" t="n">
        <f aca="false">SUM(L20:L39)</f>
        <v>-856854.0624</v>
      </c>
    </row>
    <row r="41" customFormat="false" ht="16.5" hidden="false" customHeight="true" outlineLevel="0" collapsed="false">
      <c r="B41" s="151" t="s">
        <v>175</v>
      </c>
      <c r="C41" s="151"/>
      <c r="D41" s="151"/>
      <c r="E41" s="152" t="n">
        <f aca="false">E40+E19</f>
        <v>6162064.69</v>
      </c>
      <c r="F41" s="152" t="n">
        <f aca="false">F40+F19</f>
        <v>6017675.44000003</v>
      </c>
      <c r="G41" s="152" t="n">
        <f aca="false">G40+G19</f>
        <v>6855281.32700002</v>
      </c>
      <c r="H41" s="153" t="n">
        <f aca="false">G41/F41-1</f>
        <v>0.139190937655487</v>
      </c>
      <c r="I41" s="152" t="n">
        <f aca="false">I40+I19</f>
        <v>837605.886999996</v>
      </c>
      <c r="J41" s="152" t="n">
        <f aca="false">J40+J19</f>
        <v>9579318.50562976</v>
      </c>
      <c r="K41" s="153" t="n">
        <f aca="false">G41/J41-1</f>
        <v>-0.284366489852991</v>
      </c>
      <c r="L41" s="152" t="n">
        <f aca="false">L40+L19</f>
        <v>-2724037.17862974</v>
      </c>
    </row>
    <row r="42" customFormat="false" ht="15.75" hidden="false" customHeight="true" outlineLevel="0" collapsed="false">
      <c r="B42" s="154" t="s">
        <v>121</v>
      </c>
      <c r="C42" s="154"/>
      <c r="D42" s="154"/>
      <c r="E42" s="155" t="n">
        <f aca="false">E40/E41</f>
        <v>0.287457011425825</v>
      </c>
      <c r="F42" s="155" t="n">
        <f aca="false">F40/F41</f>
        <v>0.209548574457514</v>
      </c>
      <c r="G42" s="155" t="n">
        <f aca="false">G40/G41</f>
        <v>0.248703858918961</v>
      </c>
      <c r="H42" s="156"/>
      <c r="I42" s="5"/>
      <c r="J42" s="76" t="n">
        <f aca="false">J40-אפריל!J40-מאי!J40-יוני!J40</f>
        <v>0</v>
      </c>
    </row>
    <row r="43" customFormat="false" ht="14.25" hidden="false" customHeight="true" outlineLevel="0" collapsed="false">
      <c r="E43" s="76" t="n">
        <f aca="false">E41-אפריל!E41-מאי!E41-יוני!E41</f>
        <v>0</v>
      </c>
      <c r="I43" s="5"/>
    </row>
  </sheetData>
  <mergeCells count="6">
    <mergeCell ref="B1:L1"/>
    <mergeCell ref="B16:D16"/>
    <mergeCell ref="B19:D19"/>
    <mergeCell ref="B40:D40"/>
    <mergeCell ref="B41:D41"/>
    <mergeCell ref="B42:D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2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5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H18" activeCellId="0" sqref="H18"/>
    </sheetView>
  </sheetViews>
  <sheetFormatPr defaultColWidth="8.6171875" defaultRowHeight="14.25" zeroHeight="false" outlineLevelRow="1" outlineLevelCol="0"/>
  <cols>
    <col collapsed="false" customWidth="true" hidden="false" outlineLevel="0" max="1" min="1" style="1" width="2.88"/>
    <col collapsed="false" customWidth="true" hidden="true" outlineLevel="0" max="2" min="2" style="1" width="31"/>
    <col collapsed="false" customWidth="true" hidden="true" outlineLevel="0" max="3" min="3" style="1" width="33"/>
    <col collapsed="false" customWidth="true" hidden="false" outlineLevel="0" max="4" min="4" style="179" width="26"/>
    <col collapsed="false" customWidth="true" hidden="true" outlineLevel="0" max="5" min="5" style="179" width="12.5"/>
    <col collapsed="false" customWidth="true" hidden="true" outlineLevel="0" max="7" min="6" style="1" width="9.87"/>
    <col collapsed="false" customWidth="true" hidden="false" outlineLevel="0" max="8" min="8" style="1" width="9.87"/>
    <col collapsed="false" customWidth="true" hidden="false" outlineLevel="0" max="9" min="9" style="1" width="5"/>
    <col collapsed="false" customWidth="true" hidden="false" outlineLevel="0" max="10" min="10" style="111" width="10"/>
    <col collapsed="false" customWidth="true" hidden="false" outlineLevel="0" max="11" min="11" style="1" width="14.12"/>
    <col collapsed="false" customWidth="true" hidden="false" outlineLevel="0" max="12" min="12" style="1" width="2.5"/>
    <col collapsed="false" customWidth="true" hidden="false" outlineLevel="0" max="13" min="13" style="1" width="9.87"/>
    <col collapsed="false" customWidth="true" hidden="true" outlineLevel="0" max="14" min="14" style="1" width="11"/>
    <col collapsed="false" customWidth="true" hidden="false" outlineLevel="0" max="15" min="15" style="1" width="7.62"/>
    <col collapsed="false" customWidth="true" hidden="false" outlineLevel="0" max="16" min="16" style="1" width="13.62"/>
    <col collapsed="false" customWidth="true" hidden="false" outlineLevel="0" max="17" min="17" style="1" width="2.5"/>
    <col collapsed="false" customWidth="true" hidden="false" outlineLevel="0" max="18" min="18" style="1" width="9.87"/>
    <col collapsed="false" customWidth="true" hidden="true" outlineLevel="0" max="19" min="19" style="1" width="10.88"/>
    <col collapsed="false" customWidth="true" hidden="false" outlineLevel="0" max="20" min="20" style="1" width="7.62"/>
    <col collapsed="false" customWidth="true" hidden="false" outlineLevel="0" max="21" min="21" style="1" width="13"/>
    <col collapsed="false" customWidth="true" hidden="true" outlineLevel="0" max="22" min="22" style="1" width="20.38"/>
    <col collapsed="false" customWidth="true" hidden="false" outlineLevel="0" max="24" min="24" style="1" width="9.87"/>
    <col collapsed="false" customWidth="true" hidden="false" outlineLevel="0" max="25" min="25" style="1" width="10"/>
    <col collapsed="false" customWidth="true" hidden="false" outlineLevel="0" max="26" min="26" style="180" width="9"/>
  </cols>
  <sheetData>
    <row r="1" customFormat="false" ht="15.75" hidden="false" customHeight="true" outlineLevel="0" collapsed="false">
      <c r="B1" s="7"/>
      <c r="C1" s="7" t="s">
        <v>210</v>
      </c>
      <c r="D1" s="181" t="s">
        <v>210</v>
      </c>
      <c r="E1" s="182"/>
      <c r="F1" s="7"/>
      <c r="G1" s="7"/>
      <c r="H1" s="7"/>
      <c r="I1" s="7"/>
      <c r="J1" s="7"/>
      <c r="K1" s="7"/>
      <c r="M1" s="7"/>
      <c r="N1" s="7"/>
      <c r="O1" s="7"/>
      <c r="P1" s="7"/>
      <c r="R1" s="7"/>
      <c r="S1" s="7"/>
      <c r="T1" s="7"/>
      <c r="U1" s="7"/>
      <c r="X1" s="7"/>
    </row>
    <row r="2" s="187" customFormat="true" ht="15" hidden="false" customHeight="true" outlineLevel="0" collapsed="false">
      <c r="A2" s="161" t="s">
        <v>2</v>
      </c>
      <c r="B2" s="183"/>
      <c r="C2" s="183"/>
      <c r="D2" s="38"/>
      <c r="E2" s="184" t="s">
        <v>3</v>
      </c>
      <c r="F2" s="163" t="n">
        <v>7.2024</v>
      </c>
      <c r="G2" s="163" t="n">
        <v>7.2025</v>
      </c>
      <c r="H2" s="163" t="n">
        <v>7.2026</v>
      </c>
      <c r="I2" s="185" t="s">
        <v>211</v>
      </c>
      <c r="J2" s="185" t="s">
        <v>111</v>
      </c>
      <c r="K2" s="186" t="s">
        <v>169</v>
      </c>
      <c r="M2" s="162" t="s">
        <v>170</v>
      </c>
      <c r="N2" s="185" t="s">
        <v>114</v>
      </c>
      <c r="O2" s="185" t="s">
        <v>212</v>
      </c>
      <c r="P2" s="162" t="s">
        <v>213</v>
      </c>
      <c r="R2" s="186" t="s">
        <v>1</v>
      </c>
      <c r="S2" s="185" t="s">
        <v>214</v>
      </c>
      <c r="T2" s="185" t="s">
        <v>212</v>
      </c>
      <c r="U2" s="162" t="s">
        <v>215</v>
      </c>
      <c r="X2" s="163" t="n">
        <v>7.2026</v>
      </c>
      <c r="Z2" s="180"/>
    </row>
    <row r="3" customFormat="false" ht="14.25" hidden="false" customHeight="true" outlineLevel="1" collapsed="false">
      <c r="A3" s="165" t="n">
        <v>5</v>
      </c>
      <c r="B3" s="188" t="s">
        <v>143</v>
      </c>
      <c r="C3" s="188" t="s">
        <v>31</v>
      </c>
      <c r="D3" s="189" t="s">
        <v>31</v>
      </c>
      <c r="E3" s="39" t="s">
        <v>32</v>
      </c>
      <c r="F3" s="158" t="n">
        <f aca="false">VLOOKUP(B3,'2024'!$A:$O,8,0)</f>
        <v>214594.9</v>
      </c>
      <c r="G3" s="158" t="n">
        <f aca="false">VLOOKUP($B3,'2025'!$A:$O,8,0)</f>
        <v>83088</v>
      </c>
      <c r="H3" s="158" t="n">
        <v>73969</v>
      </c>
      <c r="I3" s="190" t="n">
        <f aca="false">H3/$H$19</f>
        <v>0.0440460206667319</v>
      </c>
      <c r="J3" s="190" t="n">
        <f aca="false">IFERROR(H3/G3-1,"-")</f>
        <v>-0.109751107259773</v>
      </c>
      <c r="K3" s="158" t="n">
        <f aca="false">H3-G3</f>
        <v>-9119</v>
      </c>
      <c r="M3" s="166" t="n">
        <f aca="false">VLOOKUP(C3,'תקציב  '!$B:$S,10,0)*1</f>
        <v>235079.365079365</v>
      </c>
      <c r="N3" s="190" t="n">
        <f aca="false">IFERROR(H3/M3-1,"-")</f>
        <v>-0.685344564483457</v>
      </c>
      <c r="O3" s="190" t="n">
        <f aca="false">IFERROR(H3/M3,"-")</f>
        <v>0.314655435516543</v>
      </c>
      <c r="P3" s="166" t="n">
        <f aca="false">H3-M3</f>
        <v>-161110.365079365</v>
      </c>
      <c r="R3" s="166" t="n">
        <v>200000</v>
      </c>
      <c r="S3" s="190" t="n">
        <f aca="false">IFERROR(H3/R3-1,"-")</f>
        <v>-0.630155</v>
      </c>
      <c r="T3" s="190" t="n">
        <f aca="false">IFERROR(H3/R3,"-")</f>
        <v>0.369845</v>
      </c>
      <c r="U3" s="166" t="n">
        <f aca="false">H3-R3</f>
        <v>-126031</v>
      </c>
      <c r="X3" s="158" t="n">
        <v>73969</v>
      </c>
      <c r="Y3" s="5" t="n">
        <f aca="false">H3-X3</f>
        <v>0</v>
      </c>
      <c r="Z3" s="191" t="n">
        <f aca="false">IFERROR((H3/X3)-1,"-")</f>
        <v>0</v>
      </c>
    </row>
    <row r="4" customFormat="false" ht="14.25" hidden="false" customHeight="true" outlineLevel="1" collapsed="false">
      <c r="A4" s="168" t="n">
        <v>1</v>
      </c>
      <c r="B4" s="38" t="s">
        <v>33</v>
      </c>
      <c r="C4" s="38" t="s">
        <v>33</v>
      </c>
      <c r="D4" s="189" t="s">
        <v>33</v>
      </c>
      <c r="E4" s="39" t="s">
        <v>32</v>
      </c>
      <c r="F4" s="158" t="n">
        <f aca="false">VLOOKUP(C4,'2024'!$A:$O,8,0)</f>
        <v>502006.141</v>
      </c>
      <c r="G4" s="158" t="n">
        <f aca="false">VLOOKUP($B4,'2025'!$A:$O,8,0)</f>
        <v>486312.520000005</v>
      </c>
      <c r="H4" s="158" t="n">
        <v>453851.216</v>
      </c>
      <c r="I4" s="190" t="n">
        <f aca="false">H4/$H$19</f>
        <v>0.270252944335565</v>
      </c>
      <c r="J4" s="190" t="n">
        <f aca="false">IFERROR(H4/G4-1,"-")</f>
        <v>-0.0667498833877538</v>
      </c>
      <c r="K4" s="158" t="n">
        <f aca="false">H4-G4</f>
        <v>-32461.304000005</v>
      </c>
      <c r="M4" s="166" t="n">
        <f aca="false">VLOOKUP(C4,'תקציב  '!$B:$S,10,0)*1</f>
        <v>605698.412698413</v>
      </c>
      <c r="N4" s="190" t="n">
        <f aca="false">IFERROR(H4/M4-1,"-")</f>
        <v>-0.250697696270867</v>
      </c>
      <c r="O4" s="190" t="n">
        <f aca="false">IFERROR(H4/M4,"-")</f>
        <v>0.749302303729133</v>
      </c>
      <c r="P4" s="166" t="n">
        <f aca="false">H4-M4</f>
        <v>-151847.196698413</v>
      </c>
      <c r="R4" s="166" t="n">
        <v>550000</v>
      </c>
      <c r="S4" s="190" t="n">
        <f aca="false">IFERROR(H4/R4-1,"-")</f>
        <v>-0.174815970909091</v>
      </c>
      <c r="T4" s="190" t="n">
        <f aca="false">IFERROR(H4/R4,"-")</f>
        <v>0.825184029090909</v>
      </c>
      <c r="U4" s="166" t="n">
        <f aca="false">H4-R4</f>
        <v>-96148.784</v>
      </c>
      <c r="X4" s="158" t="n">
        <v>443876.464</v>
      </c>
      <c r="Y4" s="5" t="n">
        <f aca="false">H4-X4</f>
        <v>9974.75200000004</v>
      </c>
      <c r="Z4" s="191" t="n">
        <f aca="false">IFERROR((H4/X4)-1,"-")</f>
        <v>0.0224719101123596</v>
      </c>
    </row>
    <row r="5" customFormat="false" ht="14.25" hidden="false" customHeight="true" outlineLevel="1" collapsed="false">
      <c r="A5" s="168" t="n">
        <v>7</v>
      </c>
      <c r="B5" s="38" t="s">
        <v>34</v>
      </c>
      <c r="C5" s="38" t="s">
        <v>34</v>
      </c>
      <c r="D5" s="189" t="s">
        <v>34</v>
      </c>
      <c r="E5" s="39" t="s">
        <v>32</v>
      </c>
      <c r="F5" s="158" t="n">
        <f aca="false">VLOOKUP(C5,'2024'!$A:$O,8,0)</f>
        <v>95719.442</v>
      </c>
      <c r="G5" s="158" t="n">
        <f aca="false">VLOOKUP($B5,'2025'!$A:$O,8,0)</f>
        <v>59921.68</v>
      </c>
      <c r="H5" s="158" t="n">
        <v>72470.216</v>
      </c>
      <c r="I5" s="190" t="n">
        <f aca="false">H5/$H$19</f>
        <v>0.043153545832153</v>
      </c>
      <c r="J5" s="190" t="n">
        <f aca="false">IFERROR(H5/G5-1,"-")</f>
        <v>0.209415623861013</v>
      </c>
      <c r="K5" s="158" t="n">
        <f aca="false">H5-G5</f>
        <v>12548.536</v>
      </c>
      <c r="M5" s="166" t="n">
        <f aca="false">VLOOKUP(C5,'תקציב  '!$B:$S,10,0)*1</f>
        <v>78571.4285714286</v>
      </c>
      <c r="N5" s="190" t="n">
        <f aca="false">IFERROR(H5/M5-1,"-")</f>
        <v>-0.0776517963636366</v>
      </c>
      <c r="O5" s="190" t="n">
        <f aca="false">IFERROR(H5/M5,"-")</f>
        <v>0.922348203636363</v>
      </c>
      <c r="P5" s="166" t="n">
        <f aca="false">H5-M5</f>
        <v>-6101.21257142859</v>
      </c>
      <c r="R5" s="166" t="n">
        <v>100000</v>
      </c>
      <c r="S5" s="190" t="n">
        <f aca="false">IFERROR(H5/R5-1,"-")</f>
        <v>-0.27529784</v>
      </c>
      <c r="T5" s="190" t="n">
        <f aca="false">IFERROR(H5/R5,"-")</f>
        <v>0.72470216</v>
      </c>
      <c r="U5" s="166" t="n">
        <f aca="false">H5-R5</f>
        <v>-27529.784</v>
      </c>
      <c r="X5" s="158" t="n">
        <v>70877.464</v>
      </c>
      <c r="Y5" s="5" t="n">
        <f aca="false">H5-X5</f>
        <v>1592.75199999999</v>
      </c>
      <c r="Z5" s="191" t="n">
        <f aca="false">IFERROR((H5/X5)-1,"-")</f>
        <v>0.0224719101123594</v>
      </c>
    </row>
    <row r="6" customFormat="false" ht="14.25" hidden="false" customHeight="true" outlineLevel="1" collapsed="false">
      <c r="A6" s="168" t="n">
        <v>4</v>
      </c>
      <c r="B6" s="38" t="s">
        <v>35</v>
      </c>
      <c r="C6" s="38" t="s">
        <v>35</v>
      </c>
      <c r="D6" s="189" t="s">
        <v>35</v>
      </c>
      <c r="E6" s="39" t="s">
        <v>32</v>
      </c>
      <c r="F6" s="158" t="n">
        <f aca="false">VLOOKUP(C6,'2024'!$A:$O,8,0)</f>
        <v>157377.696</v>
      </c>
      <c r="G6" s="158" t="n">
        <f aca="false">VLOOKUP($B6,'2025'!$A:$O,8,0)</f>
        <v>221525.16</v>
      </c>
      <c r="H6" s="158" t="n">
        <v>152144.318</v>
      </c>
      <c r="I6" s="190" t="n">
        <f aca="false">H6/$H$19</f>
        <v>0.0905967604665986</v>
      </c>
      <c r="J6" s="190" t="n">
        <f aca="false">IFERROR(H6/G6-1,"-")</f>
        <v>-0.313196216628396</v>
      </c>
      <c r="K6" s="158" t="n">
        <f aca="false">H6-G6</f>
        <v>-69380.842</v>
      </c>
      <c r="M6" s="166" t="n">
        <f aca="false">VLOOKUP(B6,'תקציב  '!$B:$S,10,0)*1</f>
        <v>170873.015873016</v>
      </c>
      <c r="N6" s="190" t="n">
        <f aca="false">IFERROR(H6/M6-1,"-")</f>
        <v>-0.109605942034371</v>
      </c>
      <c r="O6" s="190" t="n">
        <f aca="false">IFERROR(H6/M6,"-")</f>
        <v>0.890394057965629</v>
      </c>
      <c r="P6" s="166" t="n">
        <f aca="false">H6-M6</f>
        <v>-18728.697873016</v>
      </c>
      <c r="R6" s="166" t="n">
        <v>200000</v>
      </c>
      <c r="S6" s="190" t="n">
        <f aca="false">IFERROR(H6/R6-1,"-")</f>
        <v>-0.23927841</v>
      </c>
      <c r="T6" s="190" t="n">
        <f aca="false">IFERROR(H6/R6,"-")</f>
        <v>0.76072159</v>
      </c>
      <c r="U6" s="166" t="n">
        <f aca="false">H6-R6</f>
        <v>-47855.682</v>
      </c>
      <c r="X6" s="158" t="n">
        <v>149138.682</v>
      </c>
      <c r="Y6" s="5" t="n">
        <f aca="false">H6-X6</f>
        <v>3005.636</v>
      </c>
      <c r="Z6" s="191" t="n">
        <f aca="false">IFERROR((H6/X6)-1,"-")</f>
        <v>0.0201532959772301</v>
      </c>
    </row>
    <row r="7" customFormat="false" ht="14.25" hidden="false" customHeight="true" outlineLevel="1" collapsed="false">
      <c r="A7" s="168" t="n">
        <v>3</v>
      </c>
      <c r="B7" s="38" t="s">
        <v>148</v>
      </c>
      <c r="C7" s="38" t="s">
        <v>36</v>
      </c>
      <c r="D7" s="189" t="s">
        <v>36</v>
      </c>
      <c r="E7" s="39" t="s">
        <v>32</v>
      </c>
      <c r="F7" s="158" t="n">
        <f aca="false">VLOOKUP(B7,'2024'!$A:$O,8,0)</f>
        <v>326042</v>
      </c>
      <c r="G7" s="158" t="n">
        <f aca="false">VLOOKUP($B7,'2025'!$A:$O,8,0)</f>
        <v>329541.7</v>
      </c>
      <c r="H7" s="158" t="n">
        <v>392888.3</v>
      </c>
      <c r="I7" s="190" t="n">
        <f aca="false">H7/$H$19</f>
        <v>0.233951603800473</v>
      </c>
      <c r="J7" s="190" t="n">
        <f aca="false">IFERROR(H7/G7-1,"-")</f>
        <v>0.192226355571996</v>
      </c>
      <c r="K7" s="158" t="n">
        <f aca="false">H7-G7</f>
        <v>63346.6</v>
      </c>
      <c r="M7" s="166" t="n">
        <f aca="false">VLOOKUP(C7,'תקציב  '!$B:$S,10,0)*1</f>
        <v>365000</v>
      </c>
      <c r="N7" s="190" t="n">
        <f aca="false">IFERROR(H7/M7-1,"-")</f>
        <v>0.076406301369863</v>
      </c>
      <c r="O7" s="190" t="n">
        <f aca="false">IFERROR(H7/M7,"-")</f>
        <v>1.07640630136986</v>
      </c>
      <c r="P7" s="166" t="n">
        <f aca="false">H7-M7</f>
        <v>27888.3</v>
      </c>
      <c r="R7" s="166" t="n">
        <v>330000</v>
      </c>
      <c r="S7" s="190" t="n">
        <f aca="false">IFERROR(H7/R7-1,"-")</f>
        <v>0.190570606060606</v>
      </c>
      <c r="T7" s="190" t="n">
        <f aca="false">IFERROR(H7/R7,"-")</f>
        <v>1.19057060606061</v>
      </c>
      <c r="U7" s="166" t="n">
        <f aca="false">H7-R7</f>
        <v>62888.3</v>
      </c>
      <c r="X7" s="158" t="n">
        <v>392888.3</v>
      </c>
      <c r="Y7" s="5" t="n">
        <f aca="false">H7-X7</f>
        <v>0</v>
      </c>
      <c r="Z7" s="191" t="n">
        <f aca="false">IFERROR((H7/X7)-1,"-")</f>
        <v>0</v>
      </c>
    </row>
    <row r="8" customFormat="false" ht="14.25" hidden="false" customHeight="true" outlineLevel="1" collapsed="false">
      <c r="A8" s="168" t="n">
        <v>8</v>
      </c>
      <c r="B8" s="38" t="s">
        <v>147</v>
      </c>
      <c r="C8" s="38" t="s">
        <v>37</v>
      </c>
      <c r="D8" s="189" t="s">
        <v>37</v>
      </c>
      <c r="E8" s="39" t="s">
        <v>32</v>
      </c>
      <c r="F8" s="158" t="n">
        <f aca="false">VLOOKUP(B8,'2024'!$A:$O,8,0)</f>
        <v>79041.44</v>
      </c>
      <c r="G8" s="158" t="n">
        <f aca="false">VLOOKUP($B8,'2025'!$A:$O,8,0)</f>
        <v>95914.88</v>
      </c>
      <c r="H8" s="158" t="n">
        <v>49165.266</v>
      </c>
      <c r="I8" s="190" t="n">
        <f aca="false">H8/$H$19</f>
        <v>0.0292762417001902</v>
      </c>
      <c r="J8" s="190" t="n">
        <f aca="false">IFERROR(H8/G8-1,"-")</f>
        <v>-0.487407313651438</v>
      </c>
      <c r="K8" s="158" t="n">
        <f aca="false">H8-G8</f>
        <v>-46749.614</v>
      </c>
      <c r="M8" s="166" t="n">
        <f aca="false">VLOOKUP(C8,'תקציב  '!$B:$S,10,0)*1</f>
        <v>107301.587301587</v>
      </c>
      <c r="N8" s="190" t="n">
        <f aca="false">IFERROR(H8/M8-1,"-")</f>
        <v>-0.541802994378697</v>
      </c>
      <c r="O8" s="190" t="n">
        <f aca="false">IFERROR(H8/M8,"-")</f>
        <v>0.458197005621303</v>
      </c>
      <c r="P8" s="166" t="n">
        <f aca="false">H8-M8</f>
        <v>-58136.321301587</v>
      </c>
      <c r="R8" s="166" t="n">
        <v>100000</v>
      </c>
      <c r="S8" s="190" t="n">
        <f aca="false">IFERROR(H8/R8-1,"-")</f>
        <v>-0.50834734</v>
      </c>
      <c r="T8" s="190" t="n">
        <f aca="false">IFERROR(H8/R8,"-")</f>
        <v>0.49165266</v>
      </c>
      <c r="U8" s="166" t="n">
        <f aca="false">H8-R8</f>
        <v>-50834.734</v>
      </c>
      <c r="X8" s="158" t="n">
        <v>47990.774</v>
      </c>
      <c r="Y8" s="5" t="n">
        <f aca="false">H8-X8</f>
        <v>1174.49200000001</v>
      </c>
      <c r="Z8" s="191" t="n">
        <f aca="false">IFERROR((H8/X8)-1,"-")</f>
        <v>0.0244732873030971</v>
      </c>
    </row>
    <row r="9" customFormat="false" ht="14.25" hidden="false" customHeight="true" outlineLevel="1" collapsed="false">
      <c r="A9" s="168" t="n">
        <v>6</v>
      </c>
      <c r="B9" s="38" t="s">
        <v>137</v>
      </c>
      <c r="C9" s="38" t="s">
        <v>38</v>
      </c>
      <c r="D9" s="189" t="s">
        <v>38</v>
      </c>
      <c r="E9" s="39" t="s">
        <v>32</v>
      </c>
      <c r="F9" s="158" t="n">
        <f aca="false">VLOOKUP(B9,'2024'!$A:$O,8,0)</f>
        <v>76209.32</v>
      </c>
      <c r="G9" s="158" t="n">
        <f aca="false">VLOOKUP($B9,'2025'!$A:$O,8,0)</f>
        <v>81305.01</v>
      </c>
      <c r="H9" s="158" t="n">
        <v>65635.87</v>
      </c>
      <c r="I9" s="190" t="n">
        <f aca="false">H9/$H$19</f>
        <v>0.0390839255160801</v>
      </c>
      <c r="J9" s="190" t="n">
        <f aca="false">IFERROR(H9/G9-1,"-")</f>
        <v>-0.192720473191013</v>
      </c>
      <c r="K9" s="158" t="n">
        <f aca="false">H9-G9</f>
        <v>-15669.14</v>
      </c>
      <c r="M9" s="166" t="n">
        <f aca="false">VLOOKUP(C9,'תקציב  '!$B:$S,10,0)*1</f>
        <v>177087.301587302</v>
      </c>
      <c r="N9" s="190" t="n">
        <f aca="false">IFERROR(H9/M9-1,"-")</f>
        <v>-0.629358686864161</v>
      </c>
      <c r="O9" s="190" t="n">
        <f aca="false">IFERROR(H9/M9,"-")</f>
        <v>0.370641313135839</v>
      </c>
      <c r="P9" s="166" t="n">
        <f aca="false">H9-M9</f>
        <v>-111451.431587302</v>
      </c>
      <c r="R9" s="166" t="n">
        <v>100000</v>
      </c>
      <c r="S9" s="190" t="n">
        <f aca="false">IFERROR(H9/R9-1,"-")</f>
        <v>-0.3436413</v>
      </c>
      <c r="T9" s="190" t="n">
        <f aca="false">IFERROR(H9/R9,"-")</f>
        <v>0.6563587</v>
      </c>
      <c r="U9" s="166" t="n">
        <f aca="false">H9-R9</f>
        <v>-34364.13</v>
      </c>
      <c r="X9" s="158" t="n">
        <v>65635.87</v>
      </c>
      <c r="Y9" s="5" t="n">
        <f aca="false">H9-X9</f>
        <v>0</v>
      </c>
      <c r="Z9" s="191" t="n">
        <f aca="false">IFERROR((H9/X9)-1,"-")</f>
        <v>0</v>
      </c>
    </row>
    <row r="10" customFormat="false" ht="14.25" hidden="false" customHeight="true" outlineLevel="1" collapsed="false">
      <c r="A10" s="169" t="n">
        <v>10</v>
      </c>
      <c r="B10" s="192" t="s">
        <v>138</v>
      </c>
      <c r="C10" s="192" t="s">
        <v>39</v>
      </c>
      <c r="D10" s="193" t="s">
        <v>39</v>
      </c>
      <c r="E10" s="39" t="s">
        <v>32</v>
      </c>
      <c r="F10" s="158" t="n">
        <f aca="false">VLOOKUP(B10,'2024'!$A:$O,8,0)</f>
        <v>27532.1</v>
      </c>
      <c r="G10" s="158" t="n">
        <f aca="false">VLOOKUP($B10,'2025'!$A:$O,8,0)</f>
        <v>10971.32</v>
      </c>
      <c r="H10" s="158" t="n">
        <v>5105.8</v>
      </c>
      <c r="I10" s="190" t="n">
        <f aca="false">H10/$H$19</f>
        <v>0.0030403300344766</v>
      </c>
      <c r="J10" s="190" t="n">
        <f aca="false">IFERROR(H10/G10-1,"-")</f>
        <v>-0.534622998873426</v>
      </c>
      <c r="K10" s="158" t="n">
        <f aca="false">H10-G10</f>
        <v>-5865.52</v>
      </c>
      <c r="M10" s="166" t="n">
        <f aca="false">VLOOKUP(C10,'תקציב  '!$B:$S,10,0)*1</f>
        <v>16587.3015873016</v>
      </c>
      <c r="N10" s="190" t="n">
        <f aca="false">IFERROR(H10/M10-1,"-")</f>
        <v>-0.692186220095694</v>
      </c>
      <c r="O10" s="190" t="n">
        <f aca="false">IFERROR(H10/M10,"-")</f>
        <v>0.307813779904306</v>
      </c>
      <c r="P10" s="166" t="n">
        <f aca="false">H10-M10</f>
        <v>-11481.5015873016</v>
      </c>
      <c r="R10" s="166" t="n">
        <v>15000</v>
      </c>
      <c r="S10" s="190" t="n">
        <f aca="false">IFERROR(H10/R10-1,"-")</f>
        <v>-0.659613333333333</v>
      </c>
      <c r="T10" s="190" t="n">
        <f aca="false">IFERROR(H10/R10,"-")</f>
        <v>0.340386666666667</v>
      </c>
      <c r="U10" s="166" t="n">
        <f aca="false">H10-R10</f>
        <v>-9894.2</v>
      </c>
      <c r="X10" s="158" t="n">
        <v>5105.8</v>
      </c>
      <c r="Y10" s="5" t="n">
        <f aca="false">H10-X10</f>
        <v>0</v>
      </c>
      <c r="Z10" s="191" t="n">
        <f aca="false">IFERROR((H10/X10)-1,"-")</f>
        <v>0</v>
      </c>
    </row>
    <row r="11" customFormat="false" ht="14.25" hidden="false" customHeight="true" outlineLevel="1" collapsed="false">
      <c r="A11" s="168" t="n">
        <v>11</v>
      </c>
      <c r="B11" s="38" t="s">
        <v>141</v>
      </c>
      <c r="C11" s="38" t="s">
        <v>40</v>
      </c>
      <c r="D11" s="189" t="s">
        <v>40</v>
      </c>
      <c r="E11" s="39" t="s">
        <v>32</v>
      </c>
      <c r="F11" s="158" t="n">
        <f aca="false">VLOOKUP(B11,'2024'!$A:$O,8,0)</f>
        <v>8417.71</v>
      </c>
      <c r="G11" s="158" t="n">
        <f aca="false">VLOOKUP($B11,'2025'!$A:$O,8,0)</f>
        <v>4990.47</v>
      </c>
      <c r="H11" s="158" t="n">
        <v>3863.17</v>
      </c>
      <c r="I11" s="190" t="n">
        <f aca="false">H11/$H$19</f>
        <v>0.00230038618420012</v>
      </c>
      <c r="J11" s="190" t="n">
        <f aca="false">IFERROR(H11/G11-1,"-")</f>
        <v>-0.225890547383313</v>
      </c>
      <c r="K11" s="158" t="n">
        <f aca="false">H11-G11</f>
        <v>-1127.3</v>
      </c>
      <c r="M11" s="166" t="n">
        <f aca="false">VLOOKUP(C11,'תקציב  '!$B:$S,10,0)*1</f>
        <v>8730.15873015873</v>
      </c>
      <c r="N11" s="190" t="n">
        <f aca="false">IFERROR(H11/M11-1,"-")</f>
        <v>-0.557491436363636</v>
      </c>
      <c r="O11" s="190" t="n">
        <f aca="false">IFERROR(H11/M11,"-")</f>
        <v>0.442508563636364</v>
      </c>
      <c r="P11" s="166" t="n">
        <f aca="false">H11-M11</f>
        <v>-4866.98873015873</v>
      </c>
      <c r="R11" s="166" t="n">
        <v>10000</v>
      </c>
      <c r="S11" s="190" t="n">
        <f aca="false">IFERROR(H11/R11-1,"-")</f>
        <v>-0.613683</v>
      </c>
      <c r="T11" s="190" t="n">
        <f aca="false">IFERROR(H11/R11,"-")</f>
        <v>0.386317</v>
      </c>
      <c r="U11" s="166" t="n">
        <f aca="false">H11-R11</f>
        <v>-6136.83</v>
      </c>
      <c r="X11" s="158" t="n">
        <v>3863.17</v>
      </c>
      <c r="Y11" s="5" t="n">
        <f aca="false">H11-X11</f>
        <v>0</v>
      </c>
      <c r="Z11" s="191" t="n">
        <f aca="false">IFERROR((H11/X11)-1,"-")</f>
        <v>0</v>
      </c>
    </row>
    <row r="12" customFormat="false" ht="14.25" hidden="false" customHeight="true" outlineLevel="1" collapsed="false">
      <c r="A12" s="168" t="n">
        <v>14</v>
      </c>
      <c r="B12" s="38" t="s">
        <v>142</v>
      </c>
      <c r="C12" s="38" t="s">
        <v>41</v>
      </c>
      <c r="D12" s="189" t="s">
        <v>41</v>
      </c>
      <c r="E12" s="39" t="s">
        <v>32</v>
      </c>
      <c r="F12" s="158" t="n">
        <f aca="false">VLOOKUP(B12,'2024'!$A:$O,8,0)</f>
        <v>679.3</v>
      </c>
      <c r="G12" s="158" t="n">
        <f aca="false">VLOOKUP($B12,'2025'!$A:$O,8,0)</f>
        <v>0</v>
      </c>
      <c r="H12" s="158" t="n">
        <v>0</v>
      </c>
      <c r="I12" s="190" t="n">
        <f aca="false">H12/$H$19</f>
        <v>0</v>
      </c>
      <c r="J12" s="190" t="str">
        <f aca="false">IFERROR(H12/G12-1,"-")</f>
        <v>-</v>
      </c>
      <c r="K12" s="158" t="n">
        <f aca="false">H12-G12</f>
        <v>0</v>
      </c>
      <c r="M12" s="166" t="n">
        <f aca="false">VLOOKUP(C12,'תקציב  '!$B:$S,10,0)*1</f>
        <v>0</v>
      </c>
      <c r="N12" s="190" t="str">
        <f aca="false">IFERROR(H12/M12-1,"-")</f>
        <v>-</v>
      </c>
      <c r="O12" s="190" t="str">
        <f aca="false">IFERROR(H12/M12,"-")</f>
        <v>-</v>
      </c>
      <c r="P12" s="166" t="n">
        <f aca="false">H12-M12</f>
        <v>0</v>
      </c>
      <c r="R12" s="166" t="n">
        <v>5000</v>
      </c>
      <c r="S12" s="190" t="n">
        <f aca="false">IFERROR(H12/R12-1,"-")</f>
        <v>-1</v>
      </c>
      <c r="T12" s="190" t="n">
        <f aca="false">IFERROR(H12/R12,"-")</f>
        <v>0</v>
      </c>
      <c r="U12" s="166" t="n">
        <f aca="false">H12-R12</f>
        <v>-5000</v>
      </c>
      <c r="X12" s="158" t="n">
        <v>0</v>
      </c>
      <c r="Y12" s="5" t="n">
        <f aca="false">H12-X12</f>
        <v>0</v>
      </c>
      <c r="Z12" s="191" t="str">
        <f aca="false">IFERROR((H12/X12)-1,"-")</f>
        <v>-</v>
      </c>
    </row>
    <row r="13" customFormat="false" ht="14.25" hidden="false" customHeight="true" outlineLevel="1" collapsed="false">
      <c r="A13" s="168" t="n">
        <v>15</v>
      </c>
      <c r="B13" s="38" t="s">
        <v>139</v>
      </c>
      <c r="C13" s="38" t="s">
        <v>47</v>
      </c>
      <c r="D13" s="189" t="s">
        <v>47</v>
      </c>
      <c r="E13" s="39" t="s">
        <v>32</v>
      </c>
      <c r="F13" s="158" t="n">
        <f aca="false">VLOOKUP(B13,'2024'!$A:$O,8,0)</f>
        <v>0</v>
      </c>
      <c r="G13" s="158" t="n">
        <f aca="false">VLOOKUP($B13,'2025'!$A:$O,8,0)</f>
        <v>0</v>
      </c>
      <c r="H13" s="158" t="n">
        <v>0</v>
      </c>
      <c r="I13" s="190" t="n">
        <f aca="false">H13/$H$19</f>
        <v>0</v>
      </c>
      <c r="J13" s="190" t="str">
        <f aca="false">IFERROR(H13/G13-1,"-")</f>
        <v>-</v>
      </c>
      <c r="K13" s="158" t="n">
        <f aca="false">H13-G13</f>
        <v>0</v>
      </c>
      <c r="M13" s="166" t="n">
        <f aca="false">VLOOKUP(C13,'תקציב  '!$B:$S,10,0)*1</f>
        <v>0</v>
      </c>
      <c r="N13" s="190" t="str">
        <f aca="false">IFERROR(H13/M13-1,"-")</f>
        <v>-</v>
      </c>
      <c r="O13" s="190" t="str">
        <f aca="false">IFERROR(H13/M13,"-")</f>
        <v>-</v>
      </c>
      <c r="P13" s="166" t="n">
        <f aca="false">H13-M13</f>
        <v>0</v>
      </c>
      <c r="R13" s="166" t="n">
        <v>5000</v>
      </c>
      <c r="S13" s="190" t="n">
        <f aca="false">IFERROR(H13/R13-1,"-")</f>
        <v>-1</v>
      </c>
      <c r="T13" s="190" t="n">
        <f aca="false">IFERROR(H13/R13,"-")</f>
        <v>0</v>
      </c>
      <c r="U13" s="166" t="n">
        <f aca="false">H13-R13</f>
        <v>-5000</v>
      </c>
      <c r="X13" s="158" t="n">
        <v>0</v>
      </c>
      <c r="Y13" s="5" t="n">
        <f aca="false">H13-X13</f>
        <v>0</v>
      </c>
      <c r="Z13" s="191" t="str">
        <f aca="false">IFERROR((H13/X13)-1,"-")</f>
        <v>-</v>
      </c>
    </row>
    <row r="14" customFormat="false" ht="14.25" hidden="false" customHeight="true" outlineLevel="1" collapsed="false">
      <c r="A14" s="168" t="n">
        <v>13</v>
      </c>
      <c r="B14" s="38" t="s">
        <v>145</v>
      </c>
      <c r="C14" s="38" t="s">
        <v>43</v>
      </c>
      <c r="D14" s="189" t="s">
        <v>43</v>
      </c>
      <c r="E14" s="39" t="s">
        <v>32</v>
      </c>
      <c r="F14" s="158" t="n">
        <f aca="false">VLOOKUP(B14,'2024'!$A:$O,8,0)</f>
        <v>0</v>
      </c>
      <c r="G14" s="158" t="n">
        <f aca="false">VLOOKUP($B14,'2025'!$A:$O,8,0)</f>
        <v>651.15</v>
      </c>
      <c r="H14" s="158" t="n">
        <v>478.2</v>
      </c>
      <c r="I14" s="190" t="n">
        <f aca="false">H14/$H$19</f>
        <v>0.000284751816069316</v>
      </c>
      <c r="J14" s="190" t="n">
        <f aca="false">IFERROR(H14/G14-1,"-")</f>
        <v>-0.265607002994702</v>
      </c>
      <c r="K14" s="158" t="n">
        <f aca="false">H14-G14</f>
        <v>-172.95</v>
      </c>
      <c r="M14" s="166" t="n">
        <f aca="false">VLOOKUP(C14,'תקציב  '!$B:$S,10,0)*1</f>
        <v>50000</v>
      </c>
      <c r="N14" s="190" t="n">
        <f aca="false">IFERROR(H14/M14-1,"-")</f>
        <v>-0.990436</v>
      </c>
      <c r="O14" s="190" t="n">
        <f aca="false">IFERROR(H14/M14,"-")</f>
        <v>0.009564</v>
      </c>
      <c r="P14" s="166" t="n">
        <f aca="false">H14-M14</f>
        <v>-49521.8</v>
      </c>
      <c r="R14" s="166" t="n">
        <v>5000</v>
      </c>
      <c r="S14" s="190" t="n">
        <f aca="false">IFERROR(H14/R14-1,"-")</f>
        <v>-0.90436</v>
      </c>
      <c r="T14" s="190" t="n">
        <f aca="false">IFERROR(H14/R14,"-")</f>
        <v>0.09564</v>
      </c>
      <c r="U14" s="166" t="n">
        <f aca="false">H14-R14</f>
        <v>-4521.8</v>
      </c>
      <c r="X14" s="158" t="n">
        <v>478.2</v>
      </c>
      <c r="Y14" s="5" t="n">
        <f aca="false">H14-X14</f>
        <v>0</v>
      </c>
      <c r="Z14" s="191" t="n">
        <f aca="false">IFERROR((H14/X14)-1,"-")</f>
        <v>0</v>
      </c>
    </row>
    <row r="15" customFormat="false" ht="14.25" hidden="false" customHeight="true" outlineLevel="1" collapsed="false">
      <c r="A15" s="168" t="n">
        <v>9</v>
      </c>
      <c r="B15" s="38" t="s">
        <v>140</v>
      </c>
      <c r="C15" s="38" t="s">
        <v>44</v>
      </c>
      <c r="D15" s="189" t="s">
        <v>44</v>
      </c>
      <c r="E15" s="39" t="s">
        <v>32</v>
      </c>
      <c r="F15" s="158" t="n">
        <f aca="false">VLOOKUP(B15,'2024'!$A:$O,8,0)</f>
        <v>16671.18</v>
      </c>
      <c r="G15" s="158" t="n">
        <f aca="false">VLOOKUP($B15,'2025'!$A:$O,8,0)</f>
        <v>7828.72</v>
      </c>
      <c r="H15" s="158" t="n">
        <v>10025.73</v>
      </c>
      <c r="I15" s="190" t="n">
        <f aca="false">H15/$H$19</f>
        <v>0.00596998081330117</v>
      </c>
      <c r="J15" s="190" t="n">
        <f aca="false">IFERROR(H15/G15-1,"-")</f>
        <v>0.280634637590819</v>
      </c>
      <c r="K15" s="158" t="n">
        <f aca="false">H15-G15</f>
        <v>2197.01</v>
      </c>
      <c r="M15" s="166" t="n">
        <f aca="false">VLOOKUP(C15,'תקציב  '!$B:$S,10,0)*1</f>
        <v>17460.3174603175</v>
      </c>
      <c r="N15" s="190" t="n">
        <f aca="false">IFERROR(H15/M15-1,"-")</f>
        <v>-0.425799100000001</v>
      </c>
      <c r="O15" s="190" t="n">
        <f aca="false">IFERROR(H15/M15,"-")</f>
        <v>0.574200899999999</v>
      </c>
      <c r="P15" s="166" t="n">
        <f aca="false">H15-M15</f>
        <v>-7434.5874603175</v>
      </c>
      <c r="R15" s="166" t="n">
        <v>25000</v>
      </c>
      <c r="S15" s="190" t="n">
        <f aca="false">IFERROR(H15/R15-1,"-")</f>
        <v>-0.5989708</v>
      </c>
      <c r="T15" s="190" t="n">
        <f aca="false">IFERROR(H15/R15,"-")</f>
        <v>0.4010292</v>
      </c>
      <c r="U15" s="166" t="n">
        <f aca="false">H15-R15</f>
        <v>-14974.27</v>
      </c>
      <c r="X15" s="158" t="n">
        <v>10025.73</v>
      </c>
      <c r="Y15" s="5" t="n">
        <f aca="false">H15-X15</f>
        <v>0</v>
      </c>
      <c r="Z15" s="191" t="n">
        <f aca="false">IFERROR((H15/X15)-1,"-")</f>
        <v>0</v>
      </c>
    </row>
    <row r="16" s="198" customFormat="true" ht="15" hidden="false" customHeight="true" outlineLevel="0" collapsed="false">
      <c r="A16" s="170"/>
      <c r="B16" s="194"/>
      <c r="C16" s="194"/>
      <c r="D16" s="195" t="s">
        <v>119</v>
      </c>
      <c r="E16" s="196"/>
      <c r="F16" s="171" t="n">
        <f aca="false">SUM(F3:F15)+F50</f>
        <v>1504291.229</v>
      </c>
      <c r="G16" s="171" t="n">
        <f aca="false">SUM(G3:G15)+G50</f>
        <v>1382050.61000001</v>
      </c>
      <c r="H16" s="171" t="n">
        <f aca="false">SUM(H3:H15)+H50</f>
        <v>1279597.086</v>
      </c>
      <c r="I16" s="197" t="n">
        <f aca="false">H16/$H$19</f>
        <v>0.761956491165839</v>
      </c>
      <c r="J16" s="197" t="n">
        <f aca="false">IFERROR(H16/G16-1,"-")</f>
        <v>-0.0741315283671158</v>
      </c>
      <c r="K16" s="171" t="n">
        <f aca="false">SUM(K3:K15)+K50</f>
        <v>-102453.524000005</v>
      </c>
      <c r="M16" s="171" t="n">
        <f aca="false">SUM(M3:M15)+M50</f>
        <v>1832388.88888889</v>
      </c>
      <c r="N16" s="197" t="n">
        <f aca="false">IFERROR(H16/M16-1,"-")</f>
        <v>-0.301678211563533</v>
      </c>
      <c r="O16" s="197" t="n">
        <f aca="false">IFERROR(H16/M16,"-")</f>
        <v>0.698321788436467</v>
      </c>
      <c r="P16" s="171" t="n">
        <f aca="false">SUM(P3:P15)+P50</f>
        <v>-552791.802888889</v>
      </c>
      <c r="R16" s="171" t="n">
        <f aca="false">SUM(R3:R15)+R50</f>
        <v>1645000</v>
      </c>
      <c r="S16" s="197" t="n">
        <f aca="false">IFERROR(H16/R16-1,"-")</f>
        <v>-0.22212943100304</v>
      </c>
      <c r="T16" s="197" t="n">
        <f aca="false">IFERROR(H16/R16,"-")</f>
        <v>0.77787056899696</v>
      </c>
      <c r="U16" s="171" t="n">
        <f aca="false">H16-R16</f>
        <v>-365402.914</v>
      </c>
      <c r="X16" s="171" t="n">
        <f aca="false">SUM(X3:X15)+X50</f>
        <v>1263849.454</v>
      </c>
      <c r="Y16" s="199" t="n">
        <f aca="false">H16-X16</f>
        <v>15747.632</v>
      </c>
      <c r="Z16" s="200" t="n">
        <f aca="false">IFERROR((H16/X16)-1,"-")</f>
        <v>0.0124600536481301</v>
      </c>
    </row>
    <row r="17" customFormat="false" ht="14.25" hidden="false" customHeight="true" outlineLevel="1" collapsed="false">
      <c r="A17" s="168" t="n">
        <v>2</v>
      </c>
      <c r="B17" s="39" t="s">
        <v>149</v>
      </c>
      <c r="C17" s="39" t="s">
        <v>45</v>
      </c>
      <c r="D17" s="189" t="s">
        <v>45</v>
      </c>
      <c r="E17" s="39" t="s">
        <v>32</v>
      </c>
      <c r="F17" s="158" t="n">
        <f aca="false">VLOOKUP(B17,'2024'!$A:$O,8,0)</f>
        <v>56033.8100000001</v>
      </c>
      <c r="G17" s="158" t="n">
        <f aca="false">VLOOKUP($B17,'2025'!$A:$O,8,0)</f>
        <v>163496.619999998</v>
      </c>
      <c r="H17" s="158" t="n">
        <v>398018.329999997</v>
      </c>
      <c r="I17" s="190" t="n">
        <f aca="false">H17/$H$19</f>
        <v>0.237006361974854</v>
      </c>
      <c r="J17" s="190" t="n">
        <f aca="false">IFERROR(H17/G17-1,"-")</f>
        <v>1.43441320071327</v>
      </c>
      <c r="K17" s="158" t="n">
        <f aca="false">H17-G17</f>
        <v>234521.709999999</v>
      </c>
      <c r="M17" s="166" t="n">
        <f aca="false">VLOOKUP(C17,'תקציב  '!$B:$S,10,0)*1</f>
        <v>977100.847457627</v>
      </c>
      <c r="N17" s="190" t="n">
        <f aca="false">IFERROR(H17/M17-1,"-")</f>
        <v>-0.59265378692934</v>
      </c>
      <c r="O17" s="190" t="n">
        <f aca="false">IFERROR(H17/M17,"-")</f>
        <v>0.40734621307066</v>
      </c>
      <c r="P17" s="166" t="n">
        <f aca="false">H17-M17</f>
        <v>-579082.51745763</v>
      </c>
      <c r="R17" s="166" t="n">
        <v>450000</v>
      </c>
      <c r="S17" s="190" t="n">
        <f aca="false">IFERROR(H17/R17-1,"-")</f>
        <v>-0.115514822222229</v>
      </c>
      <c r="T17" s="190" t="n">
        <f aca="false">IFERROR(H17/R17,"-")</f>
        <v>0.884485177777771</v>
      </c>
      <c r="U17" s="166" t="n">
        <f aca="false">H17-R17</f>
        <v>-51981.670000003</v>
      </c>
      <c r="X17" s="158" t="n">
        <v>398018.329999997</v>
      </c>
      <c r="Y17" s="5" t="n">
        <f aca="false">H17-X17</f>
        <v>0</v>
      </c>
      <c r="Z17" s="191" t="n">
        <f aca="false">IFERROR((H17/X17)-1,"-")</f>
        <v>0</v>
      </c>
    </row>
    <row r="18" customFormat="false" ht="14.25" hidden="false" customHeight="true" outlineLevel="1" collapsed="false">
      <c r="A18" s="168" t="n">
        <v>12</v>
      </c>
      <c r="B18" s="39" t="s">
        <v>150</v>
      </c>
      <c r="C18" s="39" t="s">
        <v>46</v>
      </c>
      <c r="D18" s="189" t="s">
        <v>46</v>
      </c>
      <c r="E18" s="39" t="s">
        <v>32</v>
      </c>
      <c r="F18" s="158" t="n">
        <f aca="false">VLOOKUP(B18,'2024'!$A:$O,8,0)</f>
        <v>1788.03</v>
      </c>
      <c r="G18" s="158" t="n">
        <f aca="false">VLOOKUP($B18,'2025'!$A:$O,8,0)</f>
        <v>1318.12</v>
      </c>
      <c r="H18" s="158" t="n">
        <v>1741.74</v>
      </c>
      <c r="I18" s="190" t="n">
        <f aca="false">H18/$H$19</f>
        <v>0.00103714685930692</v>
      </c>
      <c r="J18" s="190" t="n">
        <f aca="false">IFERROR(H18/G18-1,"-")</f>
        <v>0.321381968257822</v>
      </c>
      <c r="K18" s="158" t="n">
        <f aca="false">H18-G18</f>
        <v>423.62</v>
      </c>
      <c r="M18" s="166" t="n">
        <f aca="false">VLOOKUP(C18,'תקציב  '!$B:$S,10,0)*1</f>
        <v>2536.92833333333</v>
      </c>
      <c r="N18" s="190" t="n">
        <f aca="false">IFERROR(H18/M18-1,"-")</f>
        <v>-0.313445327912954</v>
      </c>
      <c r="O18" s="190" t="n">
        <f aca="false">IFERROR(H18/M18,"-")</f>
        <v>0.686554672087046</v>
      </c>
      <c r="P18" s="166" t="n">
        <f aca="false">H18-M18</f>
        <v>-795.18833333333</v>
      </c>
      <c r="R18" s="166" t="n">
        <v>5000</v>
      </c>
      <c r="S18" s="190" t="n">
        <f aca="false">IFERROR(H18/R18-1,"-")</f>
        <v>-0.651652</v>
      </c>
      <c r="T18" s="190" t="n">
        <f aca="false">IFERROR(H18/R18,"-")</f>
        <v>0.348348</v>
      </c>
      <c r="U18" s="166" t="n">
        <f aca="false">H18-R18</f>
        <v>-3258.26</v>
      </c>
      <c r="X18" s="158" t="n">
        <v>1741.74</v>
      </c>
      <c r="Y18" s="5" t="n">
        <f aca="false">H18-X18</f>
        <v>0</v>
      </c>
      <c r="Z18" s="191" t="n">
        <f aca="false">IFERROR((H18/X18)-1,"-")</f>
        <v>0</v>
      </c>
    </row>
    <row r="19" s="198" customFormat="true" ht="15" hidden="false" customHeight="true" outlineLevel="0" collapsed="false">
      <c r="A19" s="169"/>
      <c r="B19" s="201"/>
      <c r="C19" s="201"/>
      <c r="D19" s="202" t="s">
        <v>48</v>
      </c>
      <c r="E19" s="203"/>
      <c r="F19" s="171" t="n">
        <f aca="false">F16+F17+F18</f>
        <v>1562113.069</v>
      </c>
      <c r="G19" s="171" t="n">
        <f aca="false">G16+G17+G18</f>
        <v>1546865.35</v>
      </c>
      <c r="H19" s="171" t="n">
        <f aca="false">H16+H17+H18</f>
        <v>1679357.156</v>
      </c>
      <c r="I19" s="197" t="n">
        <f aca="false">H19/$H$41</f>
        <v>0.76817283129015</v>
      </c>
      <c r="J19" s="197" t="n">
        <f aca="false">IFERROR(H19/G19-1,"-")</f>
        <v>0.0856518028540709</v>
      </c>
      <c r="K19" s="171" t="n">
        <f aca="false">K16+K17+K18</f>
        <v>132491.805999994</v>
      </c>
      <c r="M19" s="171" t="n">
        <f aca="false">M16+M17+M18</f>
        <v>2812026.66467985</v>
      </c>
      <c r="N19" s="197" t="n">
        <f aca="false">IFERROR(H19/M19-1,"-")</f>
        <v>-0.402794725564527</v>
      </c>
      <c r="O19" s="197" t="n">
        <f aca="false">IFERROR(H19/M19,"-")</f>
        <v>0.597205274435473</v>
      </c>
      <c r="P19" s="171" t="n">
        <f aca="false">P16+P17+P18</f>
        <v>-1132669.50867985</v>
      </c>
      <c r="R19" s="171" t="n">
        <f aca="false">R16+R17+R18</f>
        <v>2100000</v>
      </c>
      <c r="S19" s="197" t="n">
        <f aca="false">IFERROR(H19/R19-1,"-")</f>
        <v>-0.200306116190478</v>
      </c>
      <c r="T19" s="197" t="n">
        <f aca="false">IFERROR(H19/R19,"-")</f>
        <v>0.799693883809522</v>
      </c>
      <c r="U19" s="171" t="n">
        <f aca="false">H19-R19</f>
        <v>-420642.844000003</v>
      </c>
      <c r="X19" s="171" t="n">
        <f aca="false">X16+X17+X18</f>
        <v>1663609.524</v>
      </c>
      <c r="Y19" s="199" t="n">
        <f aca="false">H19-X19</f>
        <v>15747.632</v>
      </c>
      <c r="Z19" s="200" t="n">
        <f aca="false">IFERROR((H19/X19)-1,"-")</f>
        <v>0.00946594244191168</v>
      </c>
    </row>
    <row r="20" customFormat="false" ht="14.25" hidden="false" customHeight="true" outlineLevel="1" collapsed="false">
      <c r="A20" s="169" t="n">
        <v>50</v>
      </c>
      <c r="B20" s="204" t="s">
        <v>155</v>
      </c>
      <c r="C20" s="204" t="s">
        <v>49</v>
      </c>
      <c r="D20" s="193" t="s">
        <v>50</v>
      </c>
      <c r="E20" s="39" t="s">
        <v>51</v>
      </c>
      <c r="F20" s="158" t="n">
        <f aca="false">VLOOKUP(B20,'2024'!$A:$O,8,0)</f>
        <v>316462.25</v>
      </c>
      <c r="G20" s="158" t="n">
        <f aca="false">VLOOKUP($B20,'2025'!$A:$O,8,0)</f>
        <v>353503.85</v>
      </c>
      <c r="H20" s="158" t="n">
        <v>223994.55</v>
      </c>
      <c r="I20" s="190" t="n">
        <f aca="false">H20/$H$40</f>
        <v>0.44196613577021</v>
      </c>
      <c r="J20" s="190" t="n">
        <f aca="false">IFERROR(H20/G20-1,"-")</f>
        <v>-0.366358951960495</v>
      </c>
      <c r="K20" s="158" t="n">
        <f aca="false">H20-G20</f>
        <v>-129509.3</v>
      </c>
      <c r="M20" s="166" t="n">
        <f aca="false">VLOOKUP(C20,'תקציב  '!$B:$S,10,0)*1</f>
        <v>461212.916175</v>
      </c>
      <c r="N20" s="190" t="n">
        <f aca="false">IFERROR(H20/M20-1,"-")</f>
        <v>-0.5143359126677</v>
      </c>
      <c r="O20" s="190" t="n">
        <f aca="false">IFERROR(H20/M20,"-")</f>
        <v>0.4856640873323</v>
      </c>
      <c r="P20" s="166" t="n">
        <f aca="false">H20-M20</f>
        <v>-237218.366175</v>
      </c>
      <c r="R20" s="166" t="n">
        <v>265966.8</v>
      </c>
      <c r="S20" s="190" t="n">
        <f aca="false">IFERROR(H20/R20-1,"-")</f>
        <v>-0.157810110134047</v>
      </c>
      <c r="T20" s="190" t="n">
        <f aca="false">IFERROR(H20/R20,"-")</f>
        <v>0.842189889865953</v>
      </c>
      <c r="U20" s="166" t="n">
        <f aca="false">H20-R20</f>
        <v>-41972.25</v>
      </c>
      <c r="X20" s="158" t="n">
        <v>223994.55</v>
      </c>
      <c r="Y20" s="5" t="n">
        <f aca="false">H20-X20</f>
        <v>0</v>
      </c>
      <c r="Z20" s="191" t="n">
        <f aca="false">IFERROR((H20/X20)-1,"-")</f>
        <v>0</v>
      </c>
    </row>
    <row r="21" customFormat="false" ht="14.25" hidden="false" customHeight="true" outlineLevel="1" collapsed="false">
      <c r="A21" s="169" t="n">
        <v>20</v>
      </c>
      <c r="B21" s="204" t="s">
        <v>151</v>
      </c>
      <c r="C21" s="204" t="s">
        <v>52</v>
      </c>
      <c r="D21" s="193" t="s">
        <v>53</v>
      </c>
      <c r="E21" s="39" t="s">
        <v>54</v>
      </c>
      <c r="F21" s="158" t="n">
        <f aca="false">VLOOKUP(B21,'2024'!$A:$O,8,0)</f>
        <v>143527.77</v>
      </c>
      <c r="G21" s="158" t="n">
        <f aca="false">VLOOKUP($B21,'2025'!$A:$O,8,0)</f>
        <v>187405.66</v>
      </c>
      <c r="H21" s="158" t="n">
        <v>0</v>
      </c>
      <c r="I21" s="190" t="n">
        <f aca="false">H21/$H$40</f>
        <v>0</v>
      </c>
      <c r="J21" s="190" t="n">
        <f aca="false">IFERROR(H21/G21-1,"-")</f>
        <v>-1</v>
      </c>
      <c r="K21" s="158" t="n">
        <f aca="false">H21-G21</f>
        <v>-187405.66</v>
      </c>
      <c r="M21" s="166" t="n">
        <f aca="false">VLOOKUP(C21,'תקציב  '!$B:$S,10,0)*1</f>
        <v>205800</v>
      </c>
      <c r="N21" s="190" t="n">
        <f aca="false">IFERROR(H21/M21-1,"-")</f>
        <v>-1</v>
      </c>
      <c r="O21" s="190" t="n">
        <f aca="false">IFERROR(H21/M21,"-")</f>
        <v>0</v>
      </c>
      <c r="P21" s="166" t="n">
        <f aca="false">H21-M21</f>
        <v>-205800</v>
      </c>
      <c r="R21" s="166" t="n">
        <v>0</v>
      </c>
      <c r="S21" s="190" t="str">
        <f aca="false">IFERROR(H21/R21-1,"-")</f>
        <v>-</v>
      </c>
      <c r="T21" s="190" t="str">
        <f aca="false">IFERROR(H21/R21,"-")</f>
        <v>-</v>
      </c>
      <c r="U21" s="166" t="n">
        <f aca="false">H21-R21</f>
        <v>0</v>
      </c>
      <c r="X21" s="158" t="n">
        <v>0</v>
      </c>
      <c r="Y21" s="5" t="n">
        <f aca="false">H21-X21</f>
        <v>0</v>
      </c>
      <c r="Z21" s="191" t="str">
        <f aca="false">IFERROR((H21/X21)-1,"-")</f>
        <v>-</v>
      </c>
    </row>
    <row r="22" customFormat="false" ht="14.25" hidden="false" customHeight="true" outlineLevel="1" collapsed="false">
      <c r="A22" s="169" t="n">
        <v>21</v>
      </c>
      <c r="B22" s="204" t="s">
        <v>157</v>
      </c>
      <c r="C22" s="204" t="s">
        <v>55</v>
      </c>
      <c r="D22" s="193" t="s">
        <v>56</v>
      </c>
      <c r="E22" s="39" t="s">
        <v>57</v>
      </c>
      <c r="F22" s="158" t="n">
        <f aca="false">VLOOKUP(B22,'2024'!$A:$O,8,0)</f>
        <v>61466.82</v>
      </c>
      <c r="G22" s="158" t="n">
        <f aca="false">VLOOKUP($B22,'2025'!$A:$O,8,0)</f>
        <v>194396.85</v>
      </c>
      <c r="H22" s="158" t="n">
        <v>0</v>
      </c>
      <c r="I22" s="190" t="n">
        <f aca="false">H22/$H$40</f>
        <v>0</v>
      </c>
      <c r="J22" s="190" t="n">
        <f aca="false">IFERROR(H22/G22-1,"-")</f>
        <v>-1</v>
      </c>
      <c r="K22" s="158" t="n">
        <f aca="false">H22-G22</f>
        <v>-194396.85</v>
      </c>
      <c r="M22" s="166" t="n">
        <f aca="false">VLOOKUP(C22,'תקציב  '!$B:$S,10,0)*1</f>
        <v>13390</v>
      </c>
      <c r="N22" s="190" t="n">
        <f aca="false">IFERROR(H22/M22-1,"-")</f>
        <v>-1</v>
      </c>
      <c r="O22" s="190" t="n">
        <f aca="false">IFERROR(H22/M22,"-")</f>
        <v>0</v>
      </c>
      <c r="P22" s="166" t="n">
        <f aca="false">H22-M22</f>
        <v>-13390</v>
      </c>
      <c r="R22" s="166" t="n">
        <v>0</v>
      </c>
      <c r="S22" s="190" t="str">
        <f aca="false">IFERROR(H22/R22-1,"-")</f>
        <v>-</v>
      </c>
      <c r="T22" s="190" t="str">
        <f aca="false">IFERROR(H22/R22,"-")</f>
        <v>-</v>
      </c>
      <c r="U22" s="166" t="n">
        <f aca="false">H22-R22</f>
        <v>0</v>
      </c>
      <c r="X22" s="158" t="n">
        <v>0</v>
      </c>
      <c r="Y22" s="5" t="n">
        <f aca="false">H22-X22</f>
        <v>0</v>
      </c>
      <c r="Z22" s="191" t="str">
        <f aca="false">IFERROR((H22/X22)-1,"-")</f>
        <v>-</v>
      </c>
    </row>
    <row r="23" customFormat="false" ht="14.25" hidden="false" customHeight="true" outlineLevel="1" collapsed="false">
      <c r="A23" s="169" t="n">
        <v>22</v>
      </c>
      <c r="B23" s="204" t="s">
        <v>159</v>
      </c>
      <c r="C23" s="204" t="s">
        <v>58</v>
      </c>
      <c r="D23" s="193" t="s">
        <v>59</v>
      </c>
      <c r="E23" s="39" t="s">
        <v>60</v>
      </c>
      <c r="F23" s="158" t="n">
        <f aca="false">VLOOKUP(B23,'2024'!$A:$O,8,0)</f>
        <v>90587.54</v>
      </c>
      <c r="G23" s="158" t="n">
        <f aca="false">VLOOKUP($B23,'2025'!$A:$O,8,0)</f>
        <v>87907.48</v>
      </c>
      <c r="H23" s="158" t="n">
        <v>0</v>
      </c>
      <c r="I23" s="190" t="n">
        <f aca="false">H23/$H$40</f>
        <v>0</v>
      </c>
      <c r="J23" s="190" t="n">
        <f aca="false">IFERROR(H23/G23-1,"-")</f>
        <v>-1</v>
      </c>
      <c r="K23" s="158" t="n">
        <f aca="false">H23-G23</f>
        <v>-87907.48</v>
      </c>
      <c r="M23" s="166" t="n">
        <f aca="false">VLOOKUP(C23,'תקציב  '!$B:$S,10,0)*1</f>
        <v>85000</v>
      </c>
      <c r="N23" s="190" t="n">
        <f aca="false">IFERROR(H23/M23-1,"-")</f>
        <v>-1</v>
      </c>
      <c r="O23" s="190" t="n">
        <f aca="false">IFERROR(H23/M23,"-")</f>
        <v>0</v>
      </c>
      <c r="P23" s="166" t="n">
        <f aca="false">H23-M23</f>
        <v>-85000</v>
      </c>
      <c r="R23" s="166" t="n">
        <v>0</v>
      </c>
      <c r="S23" s="190" t="str">
        <f aca="false">IFERROR(H23/R23-1,"-")</f>
        <v>-</v>
      </c>
      <c r="T23" s="190" t="str">
        <f aca="false">IFERROR(H23/R23,"-")</f>
        <v>-</v>
      </c>
      <c r="U23" s="166" t="n">
        <f aca="false">H23-R23</f>
        <v>0</v>
      </c>
      <c r="X23" s="158" t="n">
        <v>0</v>
      </c>
      <c r="Y23" s="5" t="n">
        <f aca="false">H23-X23</f>
        <v>0</v>
      </c>
      <c r="Z23" s="191" t="str">
        <f aca="false">IFERROR((H23/X23)-1,"-")</f>
        <v>-</v>
      </c>
    </row>
    <row r="24" customFormat="false" ht="14.25" hidden="false" customHeight="true" outlineLevel="1" collapsed="false">
      <c r="A24" s="169" t="n">
        <v>23</v>
      </c>
      <c r="B24" s="204" t="s">
        <v>154</v>
      </c>
      <c r="C24" s="204" t="s">
        <v>61</v>
      </c>
      <c r="D24" s="193" t="s">
        <v>62</v>
      </c>
      <c r="E24" s="39" t="s">
        <v>63</v>
      </c>
      <c r="F24" s="158" t="n">
        <f aca="false">VLOOKUP(B24,'2024'!$A:$O,8,0)</f>
        <v>16222.13</v>
      </c>
      <c r="G24" s="158" t="n">
        <f aca="false">VLOOKUP($B24,'2025'!$A:$O,8,0)</f>
        <v>30796.16</v>
      </c>
      <c r="H24" s="158" t="n">
        <v>19451.36</v>
      </c>
      <c r="I24" s="190" t="n">
        <f aca="false">H24/$H$40</f>
        <v>0.0383796945714761</v>
      </c>
      <c r="J24" s="190" t="n">
        <f aca="false">IFERROR(H24/G24-1,"-")</f>
        <v>-0.368383590681436</v>
      </c>
      <c r="K24" s="158" t="n">
        <f aca="false">H24-G24</f>
        <v>-11344.8</v>
      </c>
      <c r="M24" s="166" t="n">
        <f aca="false">VLOOKUP(C24,'תקציב  '!$B:$S,10,0)*1</f>
        <v>17000</v>
      </c>
      <c r="N24" s="190" t="n">
        <f aca="false">IFERROR(H24/M24-1,"-")</f>
        <v>0.144197647058824</v>
      </c>
      <c r="O24" s="190" t="n">
        <f aca="false">IFERROR(H24/M24,"-")</f>
        <v>1.14419764705882</v>
      </c>
      <c r="P24" s="166" t="n">
        <f aca="false">H24-M24</f>
        <v>2451.36</v>
      </c>
      <c r="R24" s="166" t="n">
        <v>20000</v>
      </c>
      <c r="S24" s="190" t="n">
        <f aca="false">IFERROR(H24/R24-1,"-")</f>
        <v>-0.027432</v>
      </c>
      <c r="T24" s="190" t="n">
        <f aca="false">IFERROR(H24/R24,"-")</f>
        <v>0.972568</v>
      </c>
      <c r="U24" s="166" t="n">
        <f aca="false">H24-R24</f>
        <v>-548.639999999999</v>
      </c>
      <c r="X24" s="158" t="n">
        <v>19451.36</v>
      </c>
      <c r="Y24" s="5" t="n">
        <f aca="false">H24-X24</f>
        <v>0</v>
      </c>
      <c r="Z24" s="191" t="n">
        <f aca="false">IFERROR((H24/X24)-1,"-")</f>
        <v>0</v>
      </c>
    </row>
    <row r="25" customFormat="false" ht="14.25" hidden="false" customHeight="true" outlineLevel="1" collapsed="false">
      <c r="A25" s="169" t="n">
        <v>24</v>
      </c>
      <c r="B25" s="204" t="s">
        <v>156</v>
      </c>
      <c r="C25" s="204" t="s">
        <v>64</v>
      </c>
      <c r="D25" s="193" t="s">
        <v>65</v>
      </c>
      <c r="E25" s="39" t="s">
        <v>66</v>
      </c>
      <c r="F25" s="158" t="n">
        <f aca="false">VLOOKUP(B25,'2024'!$A:$O,8,0)</f>
        <v>0</v>
      </c>
      <c r="G25" s="158" t="n">
        <f aca="false">VLOOKUP($B25,'2025'!$A:$O,8,0)</f>
        <v>0</v>
      </c>
      <c r="H25" s="158" t="n">
        <v>0</v>
      </c>
      <c r="I25" s="190" t="n">
        <f aca="false">H25/$H$40</f>
        <v>0</v>
      </c>
      <c r="J25" s="190" t="str">
        <f aca="false">IFERROR(H25/G25-1,"-")</f>
        <v>-</v>
      </c>
      <c r="K25" s="158" t="n">
        <f aca="false">H25-G25</f>
        <v>0</v>
      </c>
      <c r="M25" s="166" t="n">
        <f aca="false">VLOOKUP(C25,'תקציב  '!$B:$S,10,0)*1</f>
        <v>5000</v>
      </c>
      <c r="N25" s="190" t="n">
        <f aca="false">IFERROR(H25/M25-1,"-")</f>
        <v>-1</v>
      </c>
      <c r="O25" s="190" t="n">
        <f aca="false">IFERROR(H25/M25,"-")</f>
        <v>0</v>
      </c>
      <c r="P25" s="166" t="n">
        <f aca="false">H25-M25</f>
        <v>-5000</v>
      </c>
      <c r="R25" s="166" t="n">
        <v>0</v>
      </c>
      <c r="S25" s="190" t="str">
        <f aca="false">IFERROR(H25/R25-1,"-")</f>
        <v>-</v>
      </c>
      <c r="T25" s="190" t="str">
        <f aca="false">IFERROR(H25/R25,"-")</f>
        <v>-</v>
      </c>
      <c r="U25" s="166" t="n">
        <f aca="false">H25-R25</f>
        <v>0</v>
      </c>
      <c r="X25" s="158" t="n">
        <v>0</v>
      </c>
      <c r="Y25" s="5" t="n">
        <f aca="false">H25-X25</f>
        <v>0</v>
      </c>
      <c r="Z25" s="191" t="str">
        <f aca="false">IFERROR((H25/X25)-1,"-")</f>
        <v>-</v>
      </c>
    </row>
    <row r="26" customFormat="false" ht="13.5" hidden="false" customHeight="true" outlineLevel="1" collapsed="false">
      <c r="A26" s="169" t="n">
        <v>25</v>
      </c>
      <c r="B26" s="204" t="s">
        <v>162</v>
      </c>
      <c r="C26" s="204" t="s">
        <v>67</v>
      </c>
      <c r="D26" s="193" t="s">
        <v>68</v>
      </c>
      <c r="E26" s="39" t="s">
        <v>69</v>
      </c>
      <c r="F26" s="158" t="n">
        <f aca="false">VLOOKUP(B26,'2024'!$A:$O,8,0)</f>
        <v>0</v>
      </c>
      <c r="G26" s="158" t="n">
        <f aca="false">VLOOKUP($B26,'2025'!$A:$O,8,0)</f>
        <v>0</v>
      </c>
      <c r="H26" s="158" t="n">
        <v>221407.78</v>
      </c>
      <c r="I26" s="190" t="n">
        <f aca="false">H26/$H$40</f>
        <v>0.436862151137431</v>
      </c>
      <c r="J26" s="190" t="str">
        <f aca="false">IFERROR(H26/G26-1,"-")</f>
        <v>-</v>
      </c>
      <c r="K26" s="158" t="n">
        <f aca="false">H26-G26</f>
        <v>221407.78</v>
      </c>
      <c r="M26" s="166" t="n">
        <f aca="false">VLOOKUP(C26,'תקציב  '!$B:$S,10,0)*1</f>
        <v>150000</v>
      </c>
      <c r="N26" s="190" t="n">
        <f aca="false">IFERROR(H26/M26-1,"-")</f>
        <v>0.476051866666667</v>
      </c>
      <c r="O26" s="190" t="n">
        <f aca="false">IFERROR(H26/M26,"-")</f>
        <v>1.47605186666667</v>
      </c>
      <c r="P26" s="166" t="n">
        <f aca="false">H26-M26</f>
        <v>71407.78</v>
      </c>
      <c r="R26" s="166" t="n">
        <v>240000</v>
      </c>
      <c r="S26" s="190" t="n">
        <f aca="false">IFERROR(H26/R26-1,"-")</f>
        <v>-0.0774675833333334</v>
      </c>
      <c r="T26" s="190" t="n">
        <f aca="false">IFERROR(H26/R26,"-")</f>
        <v>0.922532416666667</v>
      </c>
      <c r="U26" s="166" t="n">
        <f aca="false">H26-R26</f>
        <v>-18592.22</v>
      </c>
      <c r="X26" s="158" t="n">
        <v>221407.78</v>
      </c>
      <c r="Y26" s="5" t="n">
        <f aca="false">H26-X26</f>
        <v>0</v>
      </c>
      <c r="Z26" s="191" t="n">
        <f aca="false">IFERROR((H26/X26)-1,"-")</f>
        <v>0</v>
      </c>
    </row>
    <row r="27" customFormat="false" ht="14.25" hidden="false" customHeight="true" outlineLevel="1" collapsed="false">
      <c r="A27" s="169" t="n">
        <v>26</v>
      </c>
      <c r="B27" s="204" t="s">
        <v>153</v>
      </c>
      <c r="C27" s="204" t="s">
        <v>70</v>
      </c>
      <c r="D27" s="193" t="s">
        <v>71</v>
      </c>
      <c r="E27" s="39" t="s">
        <v>72</v>
      </c>
      <c r="F27" s="158" t="n">
        <f aca="false">VLOOKUP(B27,'2024'!$A:$O,8,0)</f>
        <v>609.99</v>
      </c>
      <c r="G27" s="158" t="n">
        <f aca="false">VLOOKUP($B27,'2025'!$A:$O,8,0)</f>
        <v>31010.8</v>
      </c>
      <c r="H27" s="158" t="n">
        <v>0</v>
      </c>
      <c r="I27" s="190" t="n">
        <f aca="false">H27/$H$40</f>
        <v>0</v>
      </c>
      <c r="J27" s="190" t="n">
        <f aca="false">IFERROR(H27/G27-1,"-")</f>
        <v>-1</v>
      </c>
      <c r="K27" s="158" t="n">
        <f aca="false">H27-G27</f>
        <v>-31010.8</v>
      </c>
      <c r="M27" s="166" t="n">
        <f aca="false">VLOOKUP(C27,'תקציב  '!$B:$S,10,0)*1</f>
        <v>0</v>
      </c>
      <c r="N27" s="190" t="str">
        <f aca="false">IFERROR(H27/M27-1,"-")</f>
        <v>-</v>
      </c>
      <c r="O27" s="190" t="str">
        <f aca="false">IFERROR(H27/M27,"-")</f>
        <v>-</v>
      </c>
      <c r="P27" s="166" t="n">
        <f aca="false">H27-M27</f>
        <v>0</v>
      </c>
      <c r="R27" s="166" t="n">
        <v>0</v>
      </c>
      <c r="S27" s="190" t="str">
        <f aca="false">IFERROR(H27/R27-1,"-")</f>
        <v>-</v>
      </c>
      <c r="T27" s="190" t="str">
        <f aca="false">IFERROR(H27/R27,"-")</f>
        <v>-</v>
      </c>
      <c r="U27" s="166" t="n">
        <f aca="false">H27-R27</f>
        <v>0</v>
      </c>
      <c r="X27" s="158" t="n">
        <v>0</v>
      </c>
      <c r="Y27" s="5" t="n">
        <f aca="false">H27-X27</f>
        <v>0</v>
      </c>
      <c r="Z27" s="191" t="str">
        <f aca="false">IFERROR((H27/X27)-1,"-")</f>
        <v>-</v>
      </c>
    </row>
    <row r="28" customFormat="false" ht="13.5" hidden="false" customHeight="true" outlineLevel="1" collapsed="false">
      <c r="A28" s="169" t="n">
        <v>27</v>
      </c>
      <c r="B28" s="204" t="s">
        <v>163</v>
      </c>
      <c r="C28" s="204" t="s">
        <v>73</v>
      </c>
      <c r="D28" s="193" t="s">
        <v>74</v>
      </c>
      <c r="E28" s="39" t="s">
        <v>75</v>
      </c>
      <c r="F28" s="158" t="n">
        <f aca="false">VLOOKUP(B28,'2024'!$A:$O,8,0)</f>
        <v>0</v>
      </c>
      <c r="G28" s="158" t="n">
        <f aca="false">VLOOKUP($B28,'2025'!$A:$O,8,0)</f>
        <v>0</v>
      </c>
      <c r="H28" s="158" t="n">
        <v>0</v>
      </c>
      <c r="I28" s="190" t="n">
        <f aca="false">H28/$H$40</f>
        <v>0</v>
      </c>
      <c r="J28" s="190" t="str">
        <f aca="false">IFERROR(H28/G28-1,"-")</f>
        <v>-</v>
      </c>
      <c r="K28" s="158" t="n">
        <f aca="false">H28-G28</f>
        <v>0</v>
      </c>
      <c r="M28" s="166" t="n">
        <f aca="false">VLOOKUP(C28,'תקציב  '!$B:$S,10,0)*1</f>
        <v>0</v>
      </c>
      <c r="N28" s="190" t="str">
        <f aca="false">IFERROR(H28/M28-1,"-")</f>
        <v>-</v>
      </c>
      <c r="O28" s="190" t="str">
        <f aca="false">IFERROR(H28/M28,"-")</f>
        <v>-</v>
      </c>
      <c r="P28" s="166" t="n">
        <f aca="false">H28-M28</f>
        <v>0</v>
      </c>
      <c r="R28" s="166" t="n">
        <v>0</v>
      </c>
      <c r="S28" s="190" t="str">
        <f aca="false">IFERROR(H28/R28-1,"-")</f>
        <v>-</v>
      </c>
      <c r="T28" s="190" t="str">
        <f aca="false">IFERROR(H28/R28,"-")</f>
        <v>-</v>
      </c>
      <c r="U28" s="166" t="n">
        <f aca="false">H28-R28</f>
        <v>0</v>
      </c>
      <c r="X28" s="158" t="n">
        <v>0</v>
      </c>
      <c r="Y28" s="5" t="n">
        <f aca="false">H28-X28</f>
        <v>0</v>
      </c>
      <c r="Z28" s="191" t="str">
        <f aca="false">IFERROR((H28/X28)-1,"-")</f>
        <v>-</v>
      </c>
    </row>
    <row r="29" customFormat="false" ht="13.5" hidden="false" customHeight="true" outlineLevel="1" collapsed="false">
      <c r="A29" s="169" t="n">
        <v>28</v>
      </c>
      <c r="B29" s="204" t="s">
        <v>164</v>
      </c>
      <c r="C29" s="204" t="s">
        <v>76</v>
      </c>
      <c r="D29" s="193" t="s">
        <v>77</v>
      </c>
      <c r="E29" s="39" t="s">
        <v>78</v>
      </c>
      <c r="F29" s="158" t="n">
        <f aca="false">VLOOKUP(B29,'2024'!$A:$O,8,0)</f>
        <v>27604.14</v>
      </c>
      <c r="G29" s="158" t="n">
        <f aca="false">VLOOKUP($B29,'2025'!$A:$O,8,0)</f>
        <v>56344.52</v>
      </c>
      <c r="H29" s="158" t="n">
        <v>41960.14</v>
      </c>
      <c r="I29" s="190" t="n">
        <f aca="false">H29/$H$40</f>
        <v>0.0827920185208837</v>
      </c>
      <c r="J29" s="190" t="n">
        <f aca="false">IFERROR(H29/G29-1,"-")</f>
        <v>-0.255293327549866</v>
      </c>
      <c r="K29" s="158" t="n">
        <f aca="false">H29-G29</f>
        <v>-14384.38</v>
      </c>
      <c r="M29" s="166" t="n">
        <f aca="false">VLOOKUP(C29,'תקציב  '!$B:$S,10,0)*1</f>
        <v>39765.076</v>
      </c>
      <c r="N29" s="190" t="n">
        <f aca="false">IFERROR(H29/M29-1,"-")</f>
        <v>0.0552007998174076</v>
      </c>
      <c r="O29" s="190" t="n">
        <f aca="false">IFERROR(H29/M29,"-")</f>
        <v>1.05520079981741</v>
      </c>
      <c r="P29" s="166" t="n">
        <f aca="false">H29-M29</f>
        <v>2195.064</v>
      </c>
      <c r="R29" s="166" t="n">
        <v>40000</v>
      </c>
      <c r="S29" s="190" t="n">
        <f aca="false">IFERROR(H29/R29-1,"-")</f>
        <v>0.0490035</v>
      </c>
      <c r="T29" s="190" t="n">
        <f aca="false">IFERROR(H29/R29,"-")</f>
        <v>1.0490035</v>
      </c>
      <c r="U29" s="166" t="n">
        <f aca="false">H29-R29</f>
        <v>1960.14</v>
      </c>
      <c r="X29" s="158" t="n">
        <v>41960.14</v>
      </c>
      <c r="Y29" s="5" t="n">
        <f aca="false">H29-X29</f>
        <v>0</v>
      </c>
      <c r="Z29" s="191" t="n">
        <f aca="false">IFERROR((H29/X29)-1,"-")</f>
        <v>0</v>
      </c>
    </row>
    <row r="30" customFormat="false" ht="14.25" hidden="false" customHeight="true" outlineLevel="1" collapsed="false">
      <c r="A30" s="169" t="n">
        <v>29</v>
      </c>
      <c r="B30" s="204" t="s">
        <v>158</v>
      </c>
      <c r="C30" s="204" t="s">
        <v>79</v>
      </c>
      <c r="D30" s="193" t="s">
        <v>80</v>
      </c>
      <c r="E30" s="39" t="s">
        <v>81</v>
      </c>
      <c r="F30" s="158" t="n">
        <f aca="false">VLOOKUP(B30,'2024'!$A:$O,8,0)</f>
        <v>0</v>
      </c>
      <c r="G30" s="158" t="n">
        <f aca="false">VLOOKUP($B30,'2025'!$A:$O,8,0)</f>
        <v>0</v>
      </c>
      <c r="H30" s="158" t="n">
        <v>0</v>
      </c>
      <c r="I30" s="190" t="n">
        <f aca="false">H30/$H$40</f>
        <v>0</v>
      </c>
      <c r="J30" s="190" t="str">
        <f aca="false">IFERROR(H30/G30-1,"-")</f>
        <v>-</v>
      </c>
      <c r="K30" s="158" t="n">
        <f aca="false">H30-G30</f>
        <v>0</v>
      </c>
      <c r="M30" s="166" t="n">
        <f aca="false">VLOOKUP(C30,'תקציב  '!$B:$S,10,0)*1</f>
        <v>0</v>
      </c>
      <c r="N30" s="190" t="str">
        <f aca="false">IFERROR(H30/M30-1,"-")</f>
        <v>-</v>
      </c>
      <c r="O30" s="190" t="str">
        <f aca="false">IFERROR(H30/M30,"-")</f>
        <v>-</v>
      </c>
      <c r="P30" s="166" t="n">
        <f aca="false">H30-M30</f>
        <v>0</v>
      </c>
      <c r="R30" s="166" t="n">
        <v>0</v>
      </c>
      <c r="S30" s="190" t="str">
        <f aca="false">IFERROR(H30/R30-1,"-")</f>
        <v>-</v>
      </c>
      <c r="T30" s="190" t="str">
        <f aca="false">IFERROR(H30/R30,"-")</f>
        <v>-</v>
      </c>
      <c r="U30" s="166" t="n">
        <f aca="false">H30-R30</f>
        <v>0</v>
      </c>
      <c r="X30" s="158" t="n">
        <v>0</v>
      </c>
      <c r="Y30" s="5" t="n">
        <f aca="false">H30-X30</f>
        <v>0</v>
      </c>
      <c r="Z30" s="191" t="str">
        <f aca="false">IFERROR((H30/X30)-1,"-")</f>
        <v>-</v>
      </c>
    </row>
    <row r="31" customFormat="false" ht="14.25" hidden="false" customHeight="true" outlineLevel="1" collapsed="false">
      <c r="A31" s="169" t="n">
        <v>30</v>
      </c>
      <c r="B31" s="204" t="s">
        <v>152</v>
      </c>
      <c r="C31" s="204" t="s">
        <v>82</v>
      </c>
      <c r="D31" s="193" t="s">
        <v>83</v>
      </c>
      <c r="E31" s="39" t="s">
        <v>81</v>
      </c>
      <c r="F31" s="158" t="n">
        <f aca="false">VLOOKUP(B31,'2024'!$A:$O,8,0)</f>
        <v>0</v>
      </c>
      <c r="G31" s="158" t="n">
        <f aca="false">VLOOKUP($B31,'2025'!$A:$O,8,0)</f>
        <v>0</v>
      </c>
      <c r="H31" s="158" t="n">
        <v>0</v>
      </c>
      <c r="I31" s="190" t="n">
        <f aca="false">H31/$H$40</f>
        <v>0</v>
      </c>
      <c r="J31" s="190" t="str">
        <f aca="false">IFERROR(H31/G31-1,"-")</f>
        <v>-</v>
      </c>
      <c r="K31" s="158" t="n">
        <f aca="false">H31-G31</f>
        <v>0</v>
      </c>
      <c r="M31" s="166" t="n">
        <f aca="false">VLOOKUP(C31,'תקציב  '!$B:$S,10,0)*1</f>
        <v>20000</v>
      </c>
      <c r="N31" s="190" t="n">
        <f aca="false">IFERROR(H31/M31-1,"-")</f>
        <v>-1</v>
      </c>
      <c r="O31" s="190" t="n">
        <f aca="false">IFERROR(H31/M31,"-")</f>
        <v>0</v>
      </c>
      <c r="P31" s="166" t="n">
        <f aca="false">H31-M31</f>
        <v>-20000</v>
      </c>
      <c r="R31" s="166" t="n">
        <v>0</v>
      </c>
      <c r="S31" s="190" t="str">
        <f aca="false">IFERROR(H31/R31-1,"-")</f>
        <v>-</v>
      </c>
      <c r="T31" s="190" t="str">
        <f aca="false">IFERROR(H31/R31,"-")</f>
        <v>-</v>
      </c>
      <c r="U31" s="166" t="n">
        <f aca="false">H31-R31</f>
        <v>0</v>
      </c>
      <c r="X31" s="158" t="n">
        <v>0</v>
      </c>
      <c r="Y31" s="5" t="n">
        <f aca="false">H31-X31</f>
        <v>0</v>
      </c>
      <c r="Z31" s="191" t="str">
        <f aca="false">IFERROR((H31/X31)-1,"-")</f>
        <v>-</v>
      </c>
    </row>
    <row r="32" customFormat="false" ht="13.5" hidden="false" customHeight="true" outlineLevel="1" collapsed="false">
      <c r="A32" s="169" t="n">
        <v>31</v>
      </c>
      <c r="B32" s="204" t="s">
        <v>84</v>
      </c>
      <c r="C32" s="204" t="s">
        <v>84</v>
      </c>
      <c r="D32" s="193" t="s">
        <v>85</v>
      </c>
      <c r="E32" s="39" t="s">
        <v>86</v>
      </c>
      <c r="F32" s="158" t="n">
        <f aca="false">VLOOKUP(B32,'2024'!$A:$O,8,0)</f>
        <v>0</v>
      </c>
      <c r="G32" s="158" t="n">
        <f aca="false">VLOOKUP($B32,'2025'!$A:$O,8,0)</f>
        <v>15559.58</v>
      </c>
      <c r="H32" s="158" t="n">
        <v>0</v>
      </c>
      <c r="I32" s="190" t="n">
        <f aca="false">H32/$H$40</f>
        <v>0</v>
      </c>
      <c r="J32" s="190" t="n">
        <f aca="false">IFERROR(H32/G32-1,"-")</f>
        <v>-1</v>
      </c>
      <c r="K32" s="158" t="n">
        <f aca="false">H32-G32</f>
        <v>-15559.58</v>
      </c>
      <c r="M32" s="166" t="n">
        <f aca="false">VLOOKUP(C32,'תקציב  '!$B:$S,10,0)*1</f>
        <v>18000</v>
      </c>
      <c r="N32" s="190" t="n">
        <f aca="false">IFERROR(H32/M32-1,"-")</f>
        <v>-1</v>
      </c>
      <c r="O32" s="190" t="n">
        <f aca="false">IFERROR(H32/M32,"-")</f>
        <v>0</v>
      </c>
      <c r="P32" s="166" t="n">
        <f aca="false">H32-M32</f>
        <v>-18000</v>
      </c>
      <c r="R32" s="166" t="n">
        <v>0</v>
      </c>
      <c r="S32" s="190" t="str">
        <f aca="false">IFERROR(H32/R32-1,"-")</f>
        <v>-</v>
      </c>
      <c r="T32" s="190" t="str">
        <f aca="false">IFERROR(H32/R32,"-")</f>
        <v>-</v>
      </c>
      <c r="U32" s="166" t="n">
        <f aca="false">H32-R32</f>
        <v>0</v>
      </c>
      <c r="X32" s="158" t="n">
        <v>0</v>
      </c>
      <c r="Y32" s="5" t="n">
        <f aca="false">H32-X32</f>
        <v>0</v>
      </c>
      <c r="Z32" s="191" t="str">
        <f aca="false">IFERROR((H32/X32)-1,"-")</f>
        <v>-</v>
      </c>
    </row>
    <row r="33" customFormat="false" ht="13.5" hidden="false" customHeight="true" outlineLevel="1" collapsed="false">
      <c r="A33" s="169"/>
      <c r="B33" s="204"/>
      <c r="C33" s="204"/>
      <c r="D33" s="193" t="s">
        <v>171</v>
      </c>
      <c r="E33" s="39" t="s">
        <v>172</v>
      </c>
      <c r="F33" s="158"/>
      <c r="G33" s="158"/>
      <c r="H33" s="158" t="n">
        <v>0</v>
      </c>
      <c r="I33" s="190" t="n">
        <f aca="false">H33/$H$40</f>
        <v>0</v>
      </c>
      <c r="J33" s="190" t="str">
        <f aca="false">IFERROR(H33/G33-1,"-")</f>
        <v>-</v>
      </c>
      <c r="K33" s="158" t="n">
        <f aca="false">H33-G33</f>
        <v>0</v>
      </c>
      <c r="M33" s="166"/>
      <c r="N33" s="190" t="str">
        <f aca="false">IFERROR(H33/M33-1,"-")</f>
        <v>-</v>
      </c>
      <c r="O33" s="190" t="str">
        <f aca="false">IFERROR(H33/M33,"-")</f>
        <v>-</v>
      </c>
      <c r="P33" s="166" t="n">
        <f aca="false">H33-M33</f>
        <v>0</v>
      </c>
      <c r="R33" s="166" t="n">
        <v>0</v>
      </c>
      <c r="S33" s="190" t="str">
        <f aca="false">IFERROR(H33/R33-1,"-")</f>
        <v>-</v>
      </c>
      <c r="T33" s="190" t="str">
        <f aca="false">IFERROR(H33/R33,"-")</f>
        <v>-</v>
      </c>
      <c r="U33" s="166" t="n">
        <f aca="false">H33-R33</f>
        <v>0</v>
      </c>
      <c r="X33" s="158" t="n">
        <v>0</v>
      </c>
      <c r="Y33" s="5" t="n">
        <f aca="false">H33-X33</f>
        <v>0</v>
      </c>
      <c r="Z33" s="191" t="str">
        <f aca="false">IFERROR((H33/X33)-1,"-")</f>
        <v>-</v>
      </c>
    </row>
    <row r="34" customFormat="false" ht="13.5" hidden="false" customHeight="true" outlineLevel="1" collapsed="false">
      <c r="A34" s="169" t="n">
        <v>32</v>
      </c>
      <c r="B34" s="204" t="s">
        <v>161</v>
      </c>
      <c r="C34" s="204" t="s">
        <v>87</v>
      </c>
      <c r="D34" s="193" t="s">
        <v>88</v>
      </c>
      <c r="E34" s="39" t="s">
        <v>89</v>
      </c>
      <c r="F34" s="158" t="n">
        <f aca="false">VLOOKUP(B34,'2024'!$A:$O,8,0)</f>
        <v>13897.42</v>
      </c>
      <c r="G34" s="158" t="n">
        <f aca="false">VLOOKUP($B34,'2025'!$A:$O,8,0)</f>
        <v>0</v>
      </c>
      <c r="H34" s="158" t="n">
        <v>0</v>
      </c>
      <c r="I34" s="190" t="n">
        <f aca="false">H34/$H$40</f>
        <v>0</v>
      </c>
      <c r="J34" s="190" t="str">
        <f aca="false">IFERROR(H34/G34-1,"-")</f>
        <v>-</v>
      </c>
      <c r="K34" s="158" t="n">
        <f aca="false">H34-G34</f>
        <v>0</v>
      </c>
      <c r="M34" s="166" t="n">
        <f aca="false">VLOOKUP(C34,'תקציב  '!$B:$S,10,0)*1</f>
        <v>0</v>
      </c>
      <c r="N34" s="190" t="str">
        <f aca="false">IFERROR(H34/M34-1,"-")</f>
        <v>-</v>
      </c>
      <c r="O34" s="190" t="str">
        <f aca="false">IFERROR(H34/M34,"-")</f>
        <v>-</v>
      </c>
      <c r="P34" s="166" t="n">
        <f aca="false">H34-M34</f>
        <v>0</v>
      </c>
      <c r="R34" s="166" t="n">
        <v>0</v>
      </c>
      <c r="S34" s="190" t="str">
        <f aca="false">IFERROR(H34/R34-1,"-")</f>
        <v>-</v>
      </c>
      <c r="T34" s="190" t="str">
        <f aca="false">IFERROR(H34/R34,"-")</f>
        <v>-</v>
      </c>
      <c r="U34" s="166" t="n">
        <f aca="false">H34-R34</f>
        <v>0</v>
      </c>
      <c r="X34" s="158" t="n">
        <v>0</v>
      </c>
      <c r="Y34" s="5" t="n">
        <f aca="false">H34-X34</f>
        <v>0</v>
      </c>
      <c r="Z34" s="191" t="str">
        <f aca="false">IFERROR((H34/X34)-1,"-")</f>
        <v>-</v>
      </c>
    </row>
    <row r="35" customFormat="false" ht="13.5" hidden="false" customHeight="true" outlineLevel="1" collapsed="false">
      <c r="A35" s="169" t="n">
        <v>33</v>
      </c>
      <c r="B35" s="204" t="s">
        <v>160</v>
      </c>
      <c r="C35" s="204" t="s">
        <v>90</v>
      </c>
      <c r="D35" s="193" t="s">
        <v>91</v>
      </c>
      <c r="E35" s="39" t="s">
        <v>92</v>
      </c>
      <c r="F35" s="158" t="n">
        <f aca="false">VLOOKUP(B35,'2024'!$A:$O,8,0)</f>
        <v>0</v>
      </c>
      <c r="G35" s="158" t="n">
        <f aca="false">VLOOKUP($B35,'2025'!$A:$O,8,0)</f>
        <v>0</v>
      </c>
      <c r="H35" s="158" t="n">
        <v>0</v>
      </c>
      <c r="I35" s="190" t="n">
        <f aca="false">H35/$H$40</f>
        <v>0</v>
      </c>
      <c r="J35" s="190" t="str">
        <f aca="false">IFERROR(H35/G35-1,"-")</f>
        <v>-</v>
      </c>
      <c r="K35" s="158" t="n">
        <f aca="false">H35-G35</f>
        <v>0</v>
      </c>
      <c r="M35" s="166" t="n">
        <f aca="false">VLOOKUP(C35,'תקציב  '!$B:$S,10,0)*1</f>
        <v>0</v>
      </c>
      <c r="N35" s="190" t="str">
        <f aca="false">IFERROR(H35/M35-1,"-")</f>
        <v>-</v>
      </c>
      <c r="O35" s="190" t="str">
        <f aca="false">IFERROR(H35/M35,"-")</f>
        <v>-</v>
      </c>
      <c r="P35" s="166" t="n">
        <f aca="false">H35-M35</f>
        <v>0</v>
      </c>
      <c r="R35" s="166" t="n">
        <v>0</v>
      </c>
      <c r="S35" s="190" t="str">
        <f aca="false">IFERROR(H35/R35-1,"-")</f>
        <v>-</v>
      </c>
      <c r="T35" s="190" t="str">
        <f aca="false">IFERROR(H35/R35,"-")</f>
        <v>-</v>
      </c>
      <c r="U35" s="166" t="n">
        <f aca="false">H35-R35</f>
        <v>0</v>
      </c>
      <c r="X35" s="158" t="n">
        <v>0</v>
      </c>
      <c r="Y35" s="5" t="n">
        <f aca="false">H35-X35</f>
        <v>0</v>
      </c>
      <c r="Z35" s="191" t="str">
        <f aca="false">IFERROR((H35/X35)-1,"-")</f>
        <v>-</v>
      </c>
    </row>
    <row r="36" customFormat="false" ht="14.25" hidden="false" customHeight="true" outlineLevel="1" collapsed="false">
      <c r="A36" s="169"/>
      <c r="B36" s="204" t="s">
        <v>166</v>
      </c>
      <c r="C36" s="204" t="s">
        <v>166</v>
      </c>
      <c r="D36" s="193" t="s">
        <v>173</v>
      </c>
      <c r="E36" s="39" t="s">
        <v>78</v>
      </c>
      <c r="F36" s="158" t="n">
        <f aca="false">VLOOKUP(B36,'2024'!$A:$O,8,0)</f>
        <v>0</v>
      </c>
      <c r="G36" s="158" t="n">
        <f aca="false">VLOOKUP($B36,'2025'!$A:$O,8,0)</f>
        <v>0</v>
      </c>
      <c r="H36" s="158" t="n">
        <v>0</v>
      </c>
      <c r="I36" s="190" t="n">
        <f aca="false">H36/$H$40</f>
        <v>0</v>
      </c>
      <c r="J36" s="190" t="str">
        <f aca="false">IFERROR(H36/G36-1,"-")</f>
        <v>-</v>
      </c>
      <c r="K36" s="158" t="n">
        <f aca="false">H36-G36</f>
        <v>0</v>
      </c>
      <c r="M36" s="166"/>
      <c r="N36" s="190" t="str">
        <f aca="false">IFERROR(H36/M36-1,"-")</f>
        <v>-</v>
      </c>
      <c r="O36" s="190" t="str">
        <f aca="false">IFERROR(H36/M36,"-")</f>
        <v>-</v>
      </c>
      <c r="P36" s="166" t="n">
        <f aca="false">H36-M36</f>
        <v>0</v>
      </c>
      <c r="R36" s="166" t="n">
        <v>0</v>
      </c>
      <c r="S36" s="190" t="str">
        <f aca="false">IFERROR(H36/R36-1,"-")</f>
        <v>-</v>
      </c>
      <c r="T36" s="190" t="str">
        <f aca="false">IFERROR(H36/R36,"-")</f>
        <v>-</v>
      </c>
      <c r="U36" s="166" t="n">
        <f aca="false">H36-R36</f>
        <v>0</v>
      </c>
      <c r="X36" s="158" t="n">
        <v>0</v>
      </c>
      <c r="Y36" s="5" t="n">
        <f aca="false">H36-X36</f>
        <v>0</v>
      </c>
      <c r="Z36" s="191" t="str">
        <f aca="false">IFERROR((H36/X36)-1,"-")</f>
        <v>-</v>
      </c>
    </row>
    <row r="37" customFormat="false" ht="14.25" hidden="false" customHeight="true" outlineLevel="1" collapsed="false">
      <c r="A37" s="169" t="n">
        <v>34</v>
      </c>
      <c r="B37" s="204" t="s">
        <v>165</v>
      </c>
      <c r="C37" s="204" t="s">
        <v>165</v>
      </c>
      <c r="D37" s="193" t="s">
        <v>93</v>
      </c>
      <c r="E37" s="39" t="s">
        <v>174</v>
      </c>
      <c r="F37" s="158" t="n">
        <f aca="false">VLOOKUP(B37,'2024'!$A:$O,8,0)</f>
        <v>0</v>
      </c>
      <c r="G37" s="158" t="n">
        <f aca="false">VLOOKUP($B37,'2025'!$A:$O,8,0)</f>
        <v>0</v>
      </c>
      <c r="H37" s="158" t="n">
        <v>0</v>
      </c>
      <c r="I37" s="190" t="n">
        <f aca="false">H37/$H$40</f>
        <v>0</v>
      </c>
      <c r="J37" s="190" t="str">
        <f aca="false">IFERROR(H37/G37-1,"-")</f>
        <v>-</v>
      </c>
      <c r="K37" s="158" t="n">
        <f aca="false">H37-G37</f>
        <v>0</v>
      </c>
      <c r="M37" s="166"/>
      <c r="N37" s="190" t="str">
        <f aca="false">IFERROR(H37/M37-1,"-")</f>
        <v>-</v>
      </c>
      <c r="O37" s="190" t="str">
        <f aca="false">IFERROR(H37/M37,"-")</f>
        <v>-</v>
      </c>
      <c r="P37" s="166" t="n">
        <f aca="false">H37-M37</f>
        <v>0</v>
      </c>
      <c r="R37" s="166" t="n">
        <v>0</v>
      </c>
      <c r="S37" s="190" t="str">
        <f aca="false">IFERROR(H37/R37-1,"-")</f>
        <v>-</v>
      </c>
      <c r="T37" s="190" t="str">
        <f aca="false">IFERROR(H37/R37,"-")</f>
        <v>-</v>
      </c>
      <c r="U37" s="166" t="n">
        <f aca="false">H37-R37</f>
        <v>0</v>
      </c>
      <c r="X37" s="158" t="n">
        <v>0</v>
      </c>
      <c r="Y37" s="5" t="n">
        <f aca="false">H37-X37</f>
        <v>0</v>
      </c>
      <c r="Z37" s="191" t="str">
        <f aca="false">IFERROR((H37/X37)-1,"-")</f>
        <v>-</v>
      </c>
    </row>
    <row r="38" customFormat="false" ht="13.5" hidden="false" customHeight="true" outlineLevel="1" collapsed="false">
      <c r="A38" s="169" t="n">
        <v>35</v>
      </c>
      <c r="B38" s="204" t="s">
        <v>94</v>
      </c>
      <c r="C38" s="204" t="s">
        <v>94</v>
      </c>
      <c r="D38" s="193" t="s">
        <v>95</v>
      </c>
      <c r="E38" s="39" t="s">
        <v>51</v>
      </c>
      <c r="F38" s="158" t="n">
        <f aca="false">VLOOKUP(B38,'2024'!$A:$O,8,0)</f>
        <v>0</v>
      </c>
      <c r="G38" s="158" t="n">
        <f aca="false">VLOOKUP($B38,'2025'!$A:$O,8,0)</f>
        <v>0</v>
      </c>
      <c r="H38" s="158" t="n">
        <v>0</v>
      </c>
      <c r="I38" s="190" t="n">
        <f aca="false">H38/$H$40</f>
        <v>0</v>
      </c>
      <c r="J38" s="190" t="str">
        <f aca="false">IFERROR(H38/G38-1,"-")</f>
        <v>-</v>
      </c>
      <c r="K38" s="158" t="n">
        <f aca="false">H38-G38</f>
        <v>0</v>
      </c>
      <c r="M38" s="166" t="n">
        <f aca="false">VLOOKUP(C38,'תקציב  '!$B:$S,10,0)*1</f>
        <v>0</v>
      </c>
      <c r="N38" s="190" t="str">
        <f aca="false">IFERROR(H38/M38-1,"-")</f>
        <v>-</v>
      </c>
      <c r="O38" s="190" t="str">
        <f aca="false">IFERROR(H38/M38,"-")</f>
        <v>-</v>
      </c>
      <c r="P38" s="166" t="n">
        <f aca="false">H38-M38</f>
        <v>0</v>
      </c>
      <c r="R38" s="166" t="n">
        <v>0</v>
      </c>
      <c r="S38" s="190" t="str">
        <f aca="false">IFERROR(H38/R38-1,"-")</f>
        <v>-</v>
      </c>
      <c r="T38" s="190" t="str">
        <f aca="false">IFERROR(H38/R38,"-")</f>
        <v>-</v>
      </c>
      <c r="U38" s="166" t="n">
        <f aca="false">H38-R38</f>
        <v>0</v>
      </c>
      <c r="X38" s="158" t="n">
        <v>0</v>
      </c>
      <c r="Y38" s="5" t="n">
        <f aca="false">H38-X38</f>
        <v>0</v>
      </c>
      <c r="Z38" s="191" t="str">
        <f aca="false">IFERROR((H38/X38)-1,"-")</f>
        <v>-</v>
      </c>
    </row>
    <row r="39" customFormat="false" ht="13.5" hidden="false" customHeight="true" outlineLevel="1" collapsed="false">
      <c r="A39" s="169" t="n">
        <v>36</v>
      </c>
      <c r="B39" s="204" t="s">
        <v>97</v>
      </c>
      <c r="C39" s="204" t="s">
        <v>97</v>
      </c>
      <c r="D39" s="193" t="s">
        <v>97</v>
      </c>
      <c r="E39" s="39"/>
      <c r="F39" s="158"/>
      <c r="G39" s="158"/>
      <c r="H39" s="158" t="n">
        <v>0</v>
      </c>
      <c r="I39" s="190" t="n">
        <f aca="false">H39/$H$40</f>
        <v>0</v>
      </c>
      <c r="J39" s="190" t="str">
        <f aca="false">IFERROR(H39/G39-1,"-")</f>
        <v>-</v>
      </c>
      <c r="K39" s="158" t="n">
        <f aca="false">H39-G39</f>
        <v>0</v>
      </c>
      <c r="M39" s="166" t="n">
        <f aca="false">VLOOKUP(C39,'תקציב  '!$B:$S,10,0)*1</f>
        <v>0</v>
      </c>
      <c r="N39" s="190" t="str">
        <f aca="false">IFERROR(H39/M39-1,"-")</f>
        <v>-</v>
      </c>
      <c r="O39" s="190" t="str">
        <f aca="false">IFERROR(H39/M39,"-")</f>
        <v>-</v>
      </c>
      <c r="P39" s="166" t="n">
        <f aca="false">H39-M39</f>
        <v>0</v>
      </c>
      <c r="R39" s="166" t="n">
        <v>0</v>
      </c>
      <c r="S39" s="190" t="str">
        <f aca="false">IFERROR(H39/R39-1,"-")</f>
        <v>-</v>
      </c>
      <c r="T39" s="190" t="str">
        <f aca="false">IFERROR(H39/R39,"-")</f>
        <v>-</v>
      </c>
      <c r="U39" s="166" t="n">
        <f aca="false">H39-R39</f>
        <v>0</v>
      </c>
      <c r="X39" s="158" t="n">
        <v>0</v>
      </c>
      <c r="Y39" s="5" t="n">
        <f aca="false">H39-X39</f>
        <v>0</v>
      </c>
      <c r="Z39" s="191" t="str">
        <f aca="false">IFERROR((H39/X39)-1,"-")</f>
        <v>-</v>
      </c>
    </row>
    <row r="40" s="198" customFormat="true" ht="15" hidden="false" customHeight="true" outlineLevel="0" collapsed="false">
      <c r="A40" s="169"/>
      <c r="B40" s="205"/>
      <c r="C40" s="205"/>
      <c r="D40" s="206" t="s">
        <v>98</v>
      </c>
      <c r="E40" s="206"/>
      <c r="F40" s="173" t="n">
        <f aca="false">SUM(F20:F39)+F51+F52</f>
        <v>670378.06</v>
      </c>
      <c r="G40" s="173" t="n">
        <f aca="false">SUM(G20:G39)+G51+G52</f>
        <v>956924.9</v>
      </c>
      <c r="H40" s="173" t="n">
        <f aca="false">SUM(H20:H39)+H51+H52</f>
        <v>506813.83</v>
      </c>
      <c r="I40" s="174" t="n">
        <f aca="false">H40/$H$41</f>
        <v>0.23182716870985</v>
      </c>
      <c r="J40" s="174" t="n">
        <f aca="false">IFERROR(H40/G40-1,"-")</f>
        <v>-0.470372408534881</v>
      </c>
      <c r="K40" s="173" t="n">
        <f aca="false">SUM(K20:K39)+K51+K52</f>
        <v>-450111.07</v>
      </c>
      <c r="M40" s="173" t="n">
        <f aca="false">SUM(M20:M39)+M51+M52</f>
        <v>1015167.992175</v>
      </c>
      <c r="N40" s="174" t="n">
        <f aca="false">IFERROR(H40/M40-1,"-")</f>
        <v>-0.500758658757404</v>
      </c>
      <c r="O40" s="174" t="n">
        <f aca="false">IFERROR(H40/M40,"-")</f>
        <v>0.499241341242596</v>
      </c>
      <c r="P40" s="173" t="n">
        <f aca="false">SUM(P20:P39)+P51+P52</f>
        <v>-508354.162175</v>
      </c>
      <c r="R40" s="173" t="n">
        <f aca="false">SUM(R20:R39)+R51+R52</f>
        <v>565966.8</v>
      </c>
      <c r="S40" s="174" t="n">
        <f aca="false">IFERROR(H40/R40-1,"-")</f>
        <v>-0.104516678363466</v>
      </c>
      <c r="T40" s="174" t="n">
        <f aca="false">IFERROR(H40/R40,"-")</f>
        <v>0.895483321636534</v>
      </c>
      <c r="U40" s="173" t="n">
        <f aca="false">H40-R40</f>
        <v>-59152.9700000001</v>
      </c>
      <c r="X40" s="173" t="n">
        <f aca="false">SUM(X20:X39)+X51+X52</f>
        <v>506813.83</v>
      </c>
      <c r="Y40" s="199" t="n">
        <f aca="false">H40-X40</f>
        <v>0</v>
      </c>
      <c r="Z40" s="200" t="n">
        <f aca="false">IFERROR((H40/X40)-1,"-")</f>
        <v>0</v>
      </c>
    </row>
    <row r="41" s="198" customFormat="true" ht="15" hidden="false" customHeight="true" outlineLevel="0" collapsed="false">
      <c r="A41" s="169"/>
      <c r="B41" s="205"/>
      <c r="C41" s="205"/>
      <c r="D41" s="207" t="s">
        <v>175</v>
      </c>
      <c r="E41" s="207"/>
      <c r="F41" s="175" t="n">
        <f aca="false">F40+F19</f>
        <v>2232491.129</v>
      </c>
      <c r="G41" s="175" t="n">
        <f aca="false">G40+G19</f>
        <v>2503790.25</v>
      </c>
      <c r="H41" s="175" t="n">
        <f aca="false">H40+H19</f>
        <v>2186170.986</v>
      </c>
      <c r="I41" s="175"/>
      <c r="J41" s="147" t="n">
        <f aca="false">IFERROR(H41/G41-1,"-")</f>
        <v>-0.126855380158144</v>
      </c>
      <c r="K41" s="175" t="n">
        <f aca="false">K40+K19</f>
        <v>-317619.264000006</v>
      </c>
      <c r="M41" s="175" t="n">
        <f aca="false">M40+M19</f>
        <v>3827194.65685485</v>
      </c>
      <c r="N41" s="147" t="n">
        <f aca="false">IFERROR(H41/M41-1,"-")</f>
        <v>-0.428779776830957</v>
      </c>
      <c r="O41" s="147" t="n">
        <f aca="false">IFERROR(H41/M41,"-")</f>
        <v>0.571220223169043</v>
      </c>
      <c r="P41" s="175" t="n">
        <f aca="false">P40+P19</f>
        <v>-1641023.67085485</v>
      </c>
      <c r="R41" s="175" t="n">
        <f aca="false">R40+R19</f>
        <v>2665966.8</v>
      </c>
      <c r="S41" s="147" t="n">
        <f aca="false">IFERROR(H41/R41-1,"-")</f>
        <v>-0.17997066355065</v>
      </c>
      <c r="T41" s="147" t="n">
        <f aca="false">IFERROR(H41/R41,"-")</f>
        <v>0.82002933644935</v>
      </c>
      <c r="U41" s="175" t="n">
        <f aca="false">H41-R41</f>
        <v>-479795.814000003</v>
      </c>
      <c r="X41" s="175" t="n">
        <f aca="false">X40+X19</f>
        <v>2170423.354</v>
      </c>
      <c r="Y41" s="199" t="n">
        <f aca="false">H41-X41</f>
        <v>15747.6319999998</v>
      </c>
      <c r="Z41" s="200" t="n">
        <f aca="false">IFERROR((H41/X41)-1,"-")</f>
        <v>0.00725555775603759</v>
      </c>
    </row>
    <row r="42" customFormat="false" ht="15" hidden="true" customHeight="true" outlineLevel="0" collapsed="false">
      <c r="C42" s="208" t="s">
        <v>121</v>
      </c>
      <c r="D42" s="208"/>
      <c r="E42" s="208"/>
      <c r="F42" s="209" t="n">
        <f aca="false">F40/F41</f>
        <v>0.30028251906214</v>
      </c>
      <c r="G42" s="209" t="n">
        <f aca="false">G40/G41</f>
        <v>0.382190520951185</v>
      </c>
      <c r="H42" s="209" t="n">
        <f aca="false">H40/H41</f>
        <v>0.23182716870985</v>
      </c>
      <c r="I42" s="210"/>
      <c r="J42" s="211"/>
      <c r="K42" s="60"/>
      <c r="M42" s="212" t="n">
        <f aca="false">M41-'תקציב  '!K41*1</f>
        <v>0</v>
      </c>
      <c r="N42" s="212"/>
      <c r="O42" s="212"/>
      <c r="P42" s="210"/>
      <c r="R42" s="210"/>
      <c r="S42" s="210"/>
      <c r="T42" s="210"/>
      <c r="U42" s="210"/>
      <c r="X42" s="209" t="n">
        <f aca="false">X40/X41</f>
        <v>0.233509204121843</v>
      </c>
    </row>
    <row r="43" customFormat="false" ht="14.25" hidden="false" customHeight="true" outlineLevel="0" collapsed="false">
      <c r="F43" s="157" t="n">
        <f aca="false">F41-'2024'!H38</f>
        <v>0</v>
      </c>
      <c r="K43" s="5"/>
    </row>
    <row r="50" customFormat="false" ht="14.25" hidden="false" customHeight="true" outlineLevel="0" collapsed="false">
      <c r="A50" s="165"/>
      <c r="B50" s="188"/>
      <c r="C50" s="188" t="s">
        <v>176</v>
      </c>
      <c r="D50" s="189" t="s">
        <v>176</v>
      </c>
      <c r="E50" s="39" t="s">
        <v>32</v>
      </c>
      <c r="F50" s="158"/>
      <c r="G50" s="158"/>
      <c r="H50" s="158" t="n">
        <v>0</v>
      </c>
      <c r="I50" s="190" t="n">
        <f aca="false">H50/$H$19</f>
        <v>0</v>
      </c>
      <c r="J50" s="190" t="str">
        <f aca="false">IFERROR(H50/G50-1,"-")</f>
        <v>-</v>
      </c>
      <c r="K50" s="158" t="n">
        <f aca="false">H50-G50</f>
        <v>0</v>
      </c>
      <c r="M50" s="166"/>
      <c r="N50" s="190" t="str">
        <f aca="false">IFERROR(H50/M50-1,"-")</f>
        <v>-</v>
      </c>
      <c r="O50" s="190" t="str">
        <f aca="false">IFERROR(H50/M50,"-")</f>
        <v>-</v>
      </c>
      <c r="P50" s="166" t="n">
        <f aca="false">H50-M50</f>
        <v>0</v>
      </c>
    </row>
    <row r="51" customFormat="false" ht="14.25" hidden="false" customHeight="true" outlineLevel="0" collapsed="false">
      <c r="A51" s="169"/>
      <c r="B51" s="204"/>
      <c r="C51" s="204" t="s">
        <v>177</v>
      </c>
      <c r="D51" s="193" t="s">
        <v>177</v>
      </c>
      <c r="E51" s="39" t="s">
        <v>178</v>
      </c>
      <c r="F51" s="158"/>
      <c r="G51" s="158"/>
      <c r="H51" s="158" t="n">
        <v>0</v>
      </c>
      <c r="I51" s="190" t="n">
        <f aca="false">H51/$H$40</f>
        <v>0</v>
      </c>
      <c r="J51" s="190" t="str">
        <f aca="false">IFERROR(H51/G51-1,"-")</f>
        <v>-</v>
      </c>
      <c r="K51" s="158" t="n">
        <f aca="false">H51-G51</f>
        <v>0</v>
      </c>
      <c r="M51" s="166"/>
      <c r="N51" s="190" t="str">
        <f aca="false">IFERROR(H51/M51-1,"-")</f>
        <v>-</v>
      </c>
      <c r="O51" s="190" t="str">
        <f aca="false">IFERROR(H51/M51,"-")</f>
        <v>-</v>
      </c>
      <c r="P51" s="166" t="n">
        <f aca="false">H51-M51</f>
        <v>0</v>
      </c>
    </row>
    <row r="52" customFormat="false" ht="14.25" hidden="false" customHeight="true" outlineLevel="0" collapsed="false">
      <c r="A52" s="169"/>
      <c r="B52" s="204"/>
      <c r="C52" s="204" t="s">
        <v>179</v>
      </c>
      <c r="D52" s="193" t="s">
        <v>179</v>
      </c>
      <c r="E52" s="39" t="s">
        <v>179</v>
      </c>
      <c r="F52" s="158"/>
      <c r="G52" s="158"/>
      <c r="H52" s="158" t="n">
        <v>0</v>
      </c>
      <c r="I52" s="190" t="n">
        <f aca="false">H52/$H$40</f>
        <v>0</v>
      </c>
      <c r="J52" s="190" t="str">
        <f aca="false">IFERROR(H52/G52-1,"-")</f>
        <v>-</v>
      </c>
      <c r="K52" s="158" t="n">
        <f aca="false">H52-G52</f>
        <v>0</v>
      </c>
      <c r="M52" s="166"/>
      <c r="N52" s="190" t="str">
        <f aca="false">IFERROR(H52/M52-1,"-")</f>
        <v>-</v>
      </c>
      <c r="O52" s="190" t="str">
        <f aca="false">IFERROR(H52/M52,"-")</f>
        <v>-</v>
      </c>
      <c r="P52" s="166" t="n">
        <f aca="false">H52-M52</f>
        <v>0</v>
      </c>
    </row>
  </sheetData>
  <mergeCells count="1">
    <mergeCell ref="C42:E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29" activeCellId="0" sqref="F29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2" min="2" style="1" width="31"/>
    <col collapsed="false" customWidth="true" hidden="true" outlineLevel="0" max="3" min="3" style="187" width="33"/>
    <col collapsed="false" customWidth="true" hidden="false" outlineLevel="0" max="4" min="4" style="1" width="28"/>
    <col collapsed="false" customWidth="true" hidden="false" outlineLevel="0" max="5" min="5" style="2" width="12.5"/>
    <col collapsed="false" customWidth="true" hidden="false" outlineLevel="0" max="8" min="6" style="1" width="10.88"/>
    <col collapsed="false" customWidth="true" hidden="false" outlineLevel="0" max="9" min="9" style="111" width="10.75"/>
    <col collapsed="false" customWidth="true" hidden="false" outlineLevel="0" max="10" min="10" style="1" width="11.88"/>
    <col collapsed="false" customWidth="true" hidden="false" outlineLevel="0" max="11" min="11" style="1" width="3.88"/>
    <col collapsed="false" customWidth="true" hidden="false" outlineLevel="0" max="12" min="12" style="1" width="10.88"/>
    <col collapsed="false" customWidth="true" hidden="false" outlineLevel="0" max="13" min="13" style="111" width="7.12"/>
    <col collapsed="false" customWidth="true" hidden="false" outlineLevel="0" max="14" min="14" style="1" width="11"/>
    <col collapsed="false" customWidth="true" hidden="false" outlineLevel="0" max="15" min="15" style="1" width="4.25"/>
    <col collapsed="false" customWidth="true" hidden="false" outlineLevel="0" max="16" min="16" style="1" width="10.88"/>
    <col collapsed="false" customWidth="true" hidden="false" outlineLevel="0" max="17" min="17" style="111" width="6.75"/>
    <col collapsed="false" customWidth="true" hidden="false" outlineLevel="0" max="18" min="18" style="1" width="14"/>
  </cols>
  <sheetData>
    <row r="1" s="213" customFormat="true" ht="16.5" hidden="false" customHeight="true" outlineLevel="0" collapsed="false">
      <c r="D1" s="7" t="s">
        <v>216</v>
      </c>
      <c r="E1" s="159"/>
      <c r="F1" s="159"/>
      <c r="G1" s="159"/>
      <c r="H1" s="159"/>
      <c r="I1" s="160"/>
      <c r="J1" s="159"/>
      <c r="L1" s="7"/>
      <c r="M1" s="214"/>
      <c r="N1" s="7"/>
      <c r="P1" s="7"/>
      <c r="Q1" s="160"/>
      <c r="R1" s="7"/>
    </row>
    <row r="2" customFormat="false" ht="15" hidden="false" customHeight="true" outlineLevel="0" collapsed="false">
      <c r="A2" s="161" t="s">
        <v>2</v>
      </c>
      <c r="C2" s="77"/>
      <c r="D2" s="162"/>
      <c r="E2" s="163" t="s">
        <v>3</v>
      </c>
      <c r="F2" s="163" t="s">
        <v>217</v>
      </c>
      <c r="G2" s="163" t="s">
        <v>218</v>
      </c>
      <c r="H2" s="163" t="s">
        <v>219</v>
      </c>
      <c r="I2" s="164" t="s">
        <v>168</v>
      </c>
      <c r="J2" s="163" t="s">
        <v>169</v>
      </c>
      <c r="L2" s="162" t="s">
        <v>170</v>
      </c>
      <c r="M2" s="185" t="s">
        <v>220</v>
      </c>
      <c r="N2" s="162" t="s">
        <v>115</v>
      </c>
      <c r="P2" s="186" t="s">
        <v>1</v>
      </c>
      <c r="Q2" s="164" t="s">
        <v>212</v>
      </c>
      <c r="R2" s="186" t="s">
        <v>215</v>
      </c>
    </row>
    <row r="3" customFormat="false" ht="14.25" hidden="false" customHeight="true" outlineLevel="0" collapsed="false">
      <c r="A3" s="165" t="n">
        <v>5</v>
      </c>
      <c r="B3" s="85" t="s">
        <v>143</v>
      </c>
      <c r="C3" s="24" t="s">
        <v>31</v>
      </c>
      <c r="D3" s="166" t="s">
        <v>31</v>
      </c>
      <c r="E3" s="26" t="s">
        <v>32</v>
      </c>
      <c r="F3" s="158" t="n">
        <f aca="false">ינואר!E3+פברואר!E3+מרץ!E3+אפריל!E3+מאי!E3+יוני!E3+יולי!F3</f>
        <v>1124872.86</v>
      </c>
      <c r="G3" s="158" t="n">
        <f aca="false">ינואר!F3+פברואר!F3+מרץ!F3+אפריל!F3+מאי!F3+יוני!F3+יולי!G3</f>
        <v>909905.4</v>
      </c>
      <c r="H3" s="158" t="n">
        <f aca="false">ינואר!G3+פברואר!G3+מרץ!G3+אפריל!G3+מאי!G3+יוני!G3+יולי!H3</f>
        <v>814412.3</v>
      </c>
      <c r="I3" s="167" t="n">
        <f aca="false">IFERROR(H3/G3-1,"-")</f>
        <v>-0.104948382546142</v>
      </c>
      <c r="J3" s="158" t="n">
        <f aca="false">H3-G3</f>
        <v>-95493.1000000001</v>
      </c>
      <c r="L3" s="166" t="n">
        <f aca="false">ינואר!J3+פברואר!J3+מרץ!J3+אפריל!J3+מאי!J3+יוני!J3+יולי!M3</f>
        <v>1369841.26984127</v>
      </c>
      <c r="M3" s="190" t="n">
        <f aca="false">IFERROR(H3/L3,"-")</f>
        <v>0.59453041599073</v>
      </c>
      <c r="N3" s="166" t="n">
        <f aca="false">H3-L3</f>
        <v>-555428.96984127</v>
      </c>
      <c r="P3" s="166" t="n">
        <v>940443.3</v>
      </c>
      <c r="Q3" s="167" t="n">
        <f aca="false">IFERROR(H3/P3,"-")</f>
        <v>0.865987667730739</v>
      </c>
      <c r="R3" s="166" t="n">
        <f aca="false">H3-P3</f>
        <v>-126031</v>
      </c>
    </row>
    <row r="4" customFormat="false" ht="14.25" hidden="false" customHeight="true" outlineLevel="0" collapsed="false">
      <c r="A4" s="168" t="n">
        <v>1</v>
      </c>
      <c r="B4" s="24" t="s">
        <v>33</v>
      </c>
      <c r="C4" s="24" t="s">
        <v>33</v>
      </c>
      <c r="D4" s="166" t="s">
        <v>33</v>
      </c>
      <c r="E4" s="26" t="s">
        <v>32</v>
      </c>
      <c r="F4" s="158" t="n">
        <f aca="false">ינואר!E4+פברואר!E4+מרץ!E4+אפריל!E4+מאי!E4+יוני!E4+יולי!F4</f>
        <v>3281964.231</v>
      </c>
      <c r="G4" s="158" t="n">
        <f aca="false">ינואר!F4+פברואר!F4+מרץ!F4+אפריל!F4+מאי!F4+יוני!F4+יולי!G4</f>
        <v>3732961.14260004</v>
      </c>
      <c r="H4" s="158" t="n">
        <f aca="false">ינואר!G4+פברואר!G4+מרץ!G4+אפריל!G4+מאי!G4+יוני!G4+יולי!H4</f>
        <v>3228789.109</v>
      </c>
      <c r="I4" s="167" t="n">
        <f aca="false">IFERROR(H4/G4-1,"-")</f>
        <v>-0.135059545047629</v>
      </c>
      <c r="J4" s="158" t="n">
        <f aca="false">H4-G4</f>
        <v>-504172.033600038</v>
      </c>
      <c r="L4" s="166" t="n">
        <f aca="false">ינואר!J4+פברואר!J4+מרץ!J4+אפריל!J4+מאי!J4+יוני!J4+יולי!M4</f>
        <v>3925603.17460318</v>
      </c>
      <c r="M4" s="190" t="n">
        <f aca="false">IFERROR(H4/L4,"-")</f>
        <v>0.822495032072717</v>
      </c>
      <c r="N4" s="166" t="n">
        <f aca="false">H4-L4</f>
        <v>-696814.065603177</v>
      </c>
      <c r="P4" s="166" t="n">
        <v>3324937.893</v>
      </c>
      <c r="Q4" s="167" t="n">
        <f aca="false">IFERROR(H4/P4,"-")</f>
        <v>0.971082532337695</v>
      </c>
      <c r="R4" s="166" t="n">
        <f aca="false">H4-P4</f>
        <v>-96148.784</v>
      </c>
    </row>
    <row r="5" customFormat="false" ht="14.25" hidden="false" customHeight="true" outlineLevel="0" collapsed="false">
      <c r="A5" s="168" t="n">
        <v>7</v>
      </c>
      <c r="B5" s="24" t="s">
        <v>34</v>
      </c>
      <c r="C5" s="24" t="s">
        <v>34</v>
      </c>
      <c r="D5" s="166" t="s">
        <v>34</v>
      </c>
      <c r="E5" s="26" t="s">
        <v>32</v>
      </c>
      <c r="F5" s="158" t="n">
        <f aca="false">ינואר!E5+פברואר!E5+מרץ!E5+אפריל!E5+מאי!E5+יוני!E5+יולי!F5</f>
        <v>639510.326</v>
      </c>
      <c r="G5" s="158" t="n">
        <f aca="false">ינואר!F5+פברואר!F5+מרץ!F5+אפריל!F5+מאי!F5+יוני!F5+יולי!G5</f>
        <v>481568.54</v>
      </c>
      <c r="H5" s="158" t="n">
        <f aca="false">ינואר!G5+פברואר!G5+מרץ!G5+אפריל!G5+מאי!G5+יוני!G5+יולי!H5</f>
        <v>509744.781</v>
      </c>
      <c r="I5" s="167" t="n">
        <f aca="false">IFERROR(H5/G5-1,"-")</f>
        <v>0.0585093058612176</v>
      </c>
      <c r="J5" s="158" t="n">
        <f aca="false">H5-G5</f>
        <v>28176.241</v>
      </c>
      <c r="L5" s="166" t="n">
        <f aca="false">ינואר!J5+פברואר!J5+מרץ!J5+אפריל!J5+מאי!J5+יוני!J5+יולי!M5</f>
        <v>517857.142857143</v>
      </c>
      <c r="M5" s="190" t="n">
        <f aca="false">IFERROR(H5/L5,"-")</f>
        <v>0.984334749517242</v>
      </c>
      <c r="N5" s="166" t="n">
        <f aca="false">H5-L5</f>
        <v>-8112.36185714277</v>
      </c>
      <c r="P5" s="166" t="n">
        <v>537274.565</v>
      </c>
      <c r="Q5" s="167" t="n">
        <f aca="false">IFERROR(H5/P5,"-")</f>
        <v>0.948760306566904</v>
      </c>
      <c r="R5" s="166" t="n">
        <f aca="false">H5-P5</f>
        <v>-27529.7839999999</v>
      </c>
    </row>
    <row r="6" customFormat="false" ht="14.25" hidden="false" customHeight="true" outlineLevel="0" collapsed="false">
      <c r="A6" s="168" t="n">
        <v>4</v>
      </c>
      <c r="B6" s="24" t="s">
        <v>35</v>
      </c>
      <c r="C6" s="24" t="s">
        <v>35</v>
      </c>
      <c r="D6" s="166" t="s">
        <v>35</v>
      </c>
      <c r="E6" s="26" t="s">
        <v>32</v>
      </c>
      <c r="F6" s="158" t="n">
        <f aca="false">ינואר!E6+פברואר!E6+מרץ!E6+אפריל!E6+מאי!E6+יוני!E6+יולי!F6</f>
        <v>1159511.113</v>
      </c>
      <c r="G6" s="158" t="n">
        <f aca="false">ינואר!F6+פברואר!F6+מרץ!F6+אפריל!F6+מאי!F6+יוני!F6+יולי!G6</f>
        <v>1164312.5394</v>
      </c>
      <c r="H6" s="158" t="n">
        <f aca="false">ינואר!G6+פברואר!G6+מרץ!G6+אפריל!G6+מאי!G6+יוני!G6+יולי!H6</f>
        <v>1070668.296</v>
      </c>
      <c r="I6" s="167" t="n">
        <f aca="false">IFERROR(H6/G6-1,"-")</f>
        <v>-0.0804287854258263</v>
      </c>
      <c r="J6" s="158" t="n">
        <f aca="false">H6-G6</f>
        <v>-93644.2434000017</v>
      </c>
      <c r="L6" s="166" t="n">
        <f aca="false">ינואר!J6+פברואר!J6+מרץ!J6+אפריל!J6+מאי!J6+יוני!J6+יולי!M6</f>
        <v>1119253.96825397</v>
      </c>
      <c r="M6" s="190" t="n">
        <f aca="false">IFERROR(H6/L6,"-")</f>
        <v>0.956591020776311</v>
      </c>
      <c r="N6" s="166" t="n">
        <f aca="false">H6-L6</f>
        <v>-48585.672253968</v>
      </c>
      <c r="P6" s="166" t="n">
        <v>1118523.978</v>
      </c>
      <c r="Q6" s="167" t="n">
        <f aca="false">IFERROR(H6/P6,"-")</f>
        <v>0.957215327573425</v>
      </c>
      <c r="R6" s="166" t="n">
        <f aca="false">H6-P6</f>
        <v>-47855.6819999998</v>
      </c>
    </row>
    <row r="7" customFormat="false" ht="14.25" hidden="false" customHeight="true" outlineLevel="0" collapsed="false">
      <c r="A7" s="168" t="n">
        <v>3</v>
      </c>
      <c r="B7" s="85" t="s">
        <v>148</v>
      </c>
      <c r="C7" s="24" t="s">
        <v>36</v>
      </c>
      <c r="D7" s="166" t="s">
        <v>36</v>
      </c>
      <c r="E7" s="26" t="s">
        <v>32</v>
      </c>
      <c r="F7" s="158" t="n">
        <f aca="false">ינואר!E7+פברואר!E7+מרץ!E7+אפריל!E7+מאי!E7+יוני!E7+יולי!F7</f>
        <v>2403631</v>
      </c>
      <c r="G7" s="158" t="n">
        <f aca="false">ינואר!F7+פברואר!F7+מרץ!F7+אפריל!F7+מאי!F7+יוני!F7+יולי!G7</f>
        <v>2338087.2</v>
      </c>
      <c r="H7" s="158" t="n">
        <f aca="false">ינואר!G7+פברואר!G7+מרץ!G7+אפריל!G7+מאי!G7+יוני!G7+יולי!H7</f>
        <v>2135299.15</v>
      </c>
      <c r="I7" s="167" t="n">
        <f aca="false">IFERROR(H7/G7-1,"-")</f>
        <v>-0.086732458053746</v>
      </c>
      <c r="J7" s="158" t="n">
        <f aca="false">H7-G7</f>
        <v>-202788.05</v>
      </c>
      <c r="L7" s="166" t="n">
        <f aca="false">ינואר!J7+פברואר!J7+מרץ!J7+אפריל!J7+מאי!J7+יוני!J7+יולי!M7</f>
        <v>2555000</v>
      </c>
      <c r="M7" s="190" t="n">
        <f aca="false">IFERROR(H7/L7,"-")</f>
        <v>0.835733522504892</v>
      </c>
      <c r="N7" s="166" t="n">
        <f aca="false">H7-L7</f>
        <v>-419700.85</v>
      </c>
      <c r="P7" s="166" t="n">
        <v>2072410.85</v>
      </c>
      <c r="Q7" s="167" t="n">
        <f aca="false">IFERROR(H7/P7,"-")</f>
        <v>1.03034547903472</v>
      </c>
      <c r="R7" s="166" t="n">
        <f aca="false">H7-P7</f>
        <v>62888.2999999998</v>
      </c>
    </row>
    <row r="8" customFormat="false" ht="14.25" hidden="false" customHeight="true" outlineLevel="0" collapsed="false">
      <c r="A8" s="168" t="n">
        <v>8</v>
      </c>
      <c r="B8" s="85" t="s">
        <v>147</v>
      </c>
      <c r="C8" s="24" t="s">
        <v>37</v>
      </c>
      <c r="D8" s="166" t="s">
        <v>37</v>
      </c>
      <c r="E8" s="26" t="s">
        <v>32</v>
      </c>
      <c r="F8" s="158" t="n">
        <f aca="false">ינואר!E8+פברואר!E8+מרץ!E8+אפריל!E8+מאי!E8+יוני!E8+יולי!F8</f>
        <v>492434.94</v>
      </c>
      <c r="G8" s="158" t="n">
        <f aca="false">ינואר!F8+פברואר!F8+מרץ!F8+אפריל!F8+מאי!F8+יוני!F8+יולי!G8</f>
        <v>523578.05</v>
      </c>
      <c r="H8" s="158" t="n">
        <f aca="false">ינואר!G8+פברואר!G8+מרץ!G8+אפריל!G8+מאי!G8+יוני!G8+יולי!H8</f>
        <v>392262.877</v>
      </c>
      <c r="I8" s="167" t="n">
        <f aca="false">IFERROR(H8/G8-1,"-")</f>
        <v>-0.250803434177579</v>
      </c>
      <c r="J8" s="158" t="n">
        <f aca="false">H8-G8</f>
        <v>-131315.173</v>
      </c>
      <c r="L8" s="166" t="n">
        <f aca="false">ינואר!J8+פברואר!J8+מרץ!J8+אפריל!J8+מאי!J8+יוני!J8+יולי!M8</f>
        <v>715396.825396824</v>
      </c>
      <c r="M8" s="190" t="n">
        <f aca="false">IFERROR(H8/L8,"-")</f>
        <v>0.548315093210562</v>
      </c>
      <c r="N8" s="166" t="n">
        <f aca="false">H8-L8</f>
        <v>-323133.948396824</v>
      </c>
      <c r="P8" s="166" t="n">
        <v>443097.611</v>
      </c>
      <c r="Q8" s="167" t="n">
        <f aca="false">IFERROR(H8/P8,"-")</f>
        <v>0.885274186233426</v>
      </c>
      <c r="R8" s="166" t="n">
        <f aca="false">H8-P8</f>
        <v>-50834.734</v>
      </c>
    </row>
    <row r="9" customFormat="false" ht="14.25" hidden="false" customHeight="true" outlineLevel="0" collapsed="false">
      <c r="A9" s="168" t="n">
        <v>6</v>
      </c>
      <c r="B9" s="85" t="s">
        <v>137</v>
      </c>
      <c r="C9" s="24" t="s">
        <v>38</v>
      </c>
      <c r="D9" s="166" t="s">
        <v>38</v>
      </c>
      <c r="E9" s="26" t="s">
        <v>32</v>
      </c>
      <c r="F9" s="158" t="n">
        <f aca="false">ינואר!E9+פברואר!E9+מרץ!E9+אפריל!E9+מאי!E9+יוני!E9+יולי!F9</f>
        <v>587623.04</v>
      </c>
      <c r="G9" s="158" t="n">
        <f aca="false">ינואר!F9+פברואר!F9+מרץ!F9+אפריל!F9+מאי!F9+יוני!F9+יולי!G9</f>
        <v>499249.85</v>
      </c>
      <c r="H9" s="158" t="n">
        <f aca="false">ינואר!G9+פברואר!G9+מרץ!G9+אפריל!G9+מאי!G9+יוני!G9+יולי!H9</f>
        <v>540913.44</v>
      </c>
      <c r="I9" s="167" t="n">
        <f aca="false">IFERROR(H9/G9-1,"-")</f>
        <v>0.0834523836111316</v>
      </c>
      <c r="J9" s="158" t="n">
        <f aca="false">H9-G9</f>
        <v>41663.5899999999</v>
      </c>
      <c r="L9" s="166" t="n">
        <f aca="false">ינואר!J9+פברואר!J9+מרץ!J9+אפריל!J9+מאי!J9+יוני!J9+יולי!M9</f>
        <v>1107075.3968254</v>
      </c>
      <c r="M9" s="190" t="n">
        <f aca="false">IFERROR(H9/L9,"-")</f>
        <v>0.488596749192603</v>
      </c>
      <c r="N9" s="166" t="n">
        <f aca="false">H9-L9</f>
        <v>-566161.956825397</v>
      </c>
      <c r="P9" s="166" t="n">
        <v>575277.57</v>
      </c>
      <c r="Q9" s="167" t="n">
        <f aca="false">IFERROR(H9/P9,"-")</f>
        <v>0.940265131491221</v>
      </c>
      <c r="R9" s="166" t="n">
        <f aca="false">H9-P9</f>
        <v>-34364.13</v>
      </c>
    </row>
    <row r="10" customFormat="false" ht="14.25" hidden="false" customHeight="true" outlineLevel="0" collapsed="false">
      <c r="A10" s="169" t="n">
        <v>10</v>
      </c>
      <c r="B10" s="85" t="s">
        <v>138</v>
      </c>
      <c r="C10" s="36" t="s">
        <v>39</v>
      </c>
      <c r="D10" s="166" t="s">
        <v>39</v>
      </c>
      <c r="E10" s="26" t="s">
        <v>32</v>
      </c>
      <c r="F10" s="158" t="n">
        <f aca="false">ינואר!E10+פברואר!E10+מרץ!E10+אפריל!E10+מאי!E10+יוני!E10+יולי!F10</f>
        <v>119998.88</v>
      </c>
      <c r="G10" s="158" t="n">
        <f aca="false">ינואר!F10+פברואר!F10+מרץ!F10+אפריל!F10+מאי!F10+יוני!F10+יולי!G10</f>
        <v>106529.25</v>
      </c>
      <c r="H10" s="158" t="n">
        <f aca="false">ינואר!G10+פברואר!G10+מרץ!G10+אפריל!G10+מאי!G10+יוני!G10+יולי!H10</f>
        <v>66340.88</v>
      </c>
      <c r="I10" s="167" t="n">
        <f aca="false">IFERROR(H10/G10-1,"-")</f>
        <v>-0.377251975396429</v>
      </c>
      <c r="J10" s="158" t="n">
        <f aca="false">H10-G10</f>
        <v>-40188.37</v>
      </c>
      <c r="L10" s="166" t="n">
        <f aca="false">ינואר!J10+פברואר!J10+מרץ!J10+אפריל!J10+מאי!J10+יוני!J10+יולי!M10</f>
        <v>109325.396825397</v>
      </c>
      <c r="M10" s="190" t="n">
        <f aca="false">IFERROR(H10/L10,"-")</f>
        <v>0.606820390562614</v>
      </c>
      <c r="N10" s="166" t="n">
        <f aca="false">H10-L10</f>
        <v>-42984.5168253968</v>
      </c>
      <c r="P10" s="166" t="n">
        <v>76235.08</v>
      </c>
      <c r="Q10" s="167" t="n">
        <f aca="false">IFERROR(H10/P10,"-")</f>
        <v>0.870214604615093</v>
      </c>
      <c r="R10" s="166" t="n">
        <f aca="false">H10-P10</f>
        <v>-9894.2</v>
      </c>
    </row>
    <row r="11" customFormat="false" ht="14.25" hidden="false" customHeight="true" outlineLevel="0" collapsed="false">
      <c r="A11" s="168" t="n">
        <v>11</v>
      </c>
      <c r="B11" s="85" t="s">
        <v>141</v>
      </c>
      <c r="C11" s="24" t="s">
        <v>40</v>
      </c>
      <c r="D11" s="166" t="s">
        <v>40</v>
      </c>
      <c r="E11" s="26" t="s">
        <v>32</v>
      </c>
      <c r="F11" s="158" t="n">
        <f aca="false">ינואר!E11+פברואר!E11+מרץ!E11+אפריל!E11+מאי!E11+יוני!E11+יולי!F11</f>
        <v>41895.05</v>
      </c>
      <c r="G11" s="158" t="n">
        <f aca="false">ינואר!F11+פברואר!F11+מרץ!F11+אפריל!F11+מאי!F11+יוני!F11+יולי!G11</f>
        <v>40628.09</v>
      </c>
      <c r="H11" s="158" t="n">
        <f aca="false">ינואר!G11+פברואר!G11+מרץ!G11+אפריל!G11+מאי!G11+יוני!G11+יולי!H11</f>
        <v>37878.58</v>
      </c>
      <c r="I11" s="167" t="n">
        <f aca="false">IFERROR(H11/G11-1,"-")</f>
        <v>-0.0676750986817247</v>
      </c>
      <c r="J11" s="158" t="n">
        <f aca="false">H11-G11</f>
        <v>-2749.50999999999</v>
      </c>
      <c r="L11" s="166" t="n">
        <f aca="false">ינואר!J11+פברואר!J11+מרץ!J11+אפריל!J11+מאי!J11+יוני!J11+יולי!M11</f>
        <v>55539.6825396825</v>
      </c>
      <c r="M11" s="190" t="n">
        <f aca="false">IFERROR(H11/L11,"-")</f>
        <v>0.682009299799943</v>
      </c>
      <c r="N11" s="166" t="n">
        <f aca="false">H11-L11</f>
        <v>-17661.1025396825</v>
      </c>
      <c r="P11" s="166" t="n">
        <v>44015.41</v>
      </c>
      <c r="Q11" s="167" t="n">
        <f aca="false">IFERROR(H11/P11,"-")</f>
        <v>0.860575421199076</v>
      </c>
      <c r="R11" s="166" t="n">
        <f aca="false">H11-P11</f>
        <v>-6136.83</v>
      </c>
    </row>
    <row r="12" customFormat="false" ht="14.25" hidden="false" customHeight="true" outlineLevel="0" collapsed="false">
      <c r="A12" s="168" t="n">
        <v>14</v>
      </c>
      <c r="B12" s="85" t="s">
        <v>142</v>
      </c>
      <c r="C12" s="24" t="s">
        <v>41</v>
      </c>
      <c r="D12" s="166" t="s">
        <v>41</v>
      </c>
      <c r="E12" s="26" t="s">
        <v>32</v>
      </c>
      <c r="F12" s="158" t="n">
        <f aca="false">ינואר!E12+פברואר!E12+מרץ!E12+אפריל!E12+מאי!E12+יוני!E12+יולי!F12</f>
        <v>1529.7</v>
      </c>
      <c r="G12" s="158" t="n">
        <f aca="false">ינואר!F12+פברואר!F12+מרץ!F12+אפריל!F12+מאי!F12+יוני!F12+יולי!G12</f>
        <v>2977.14</v>
      </c>
      <c r="H12" s="158" t="n">
        <f aca="false">ינואר!G12+פברואר!G12+מרץ!G12+אפריל!G12+מאי!G12+יוני!G12+יולי!H12</f>
        <v>3576.15</v>
      </c>
      <c r="I12" s="167" t="n">
        <f aca="false">IFERROR(H12/G12-1,"-")</f>
        <v>0.201203168141236</v>
      </c>
      <c r="J12" s="158" t="n">
        <f aca="false">H12-G12</f>
        <v>599.01</v>
      </c>
      <c r="L12" s="166" t="n">
        <f aca="false">ינואר!J12+פברואר!J12+מרץ!J12+אפריל!J12+מאי!J12+יוני!J12+יולי!M12</f>
        <v>0</v>
      </c>
      <c r="M12" s="190" t="str">
        <f aca="false">IFERROR(H12/L12,"-")</f>
        <v>-</v>
      </c>
      <c r="N12" s="166" t="n">
        <f aca="false">H12-L12</f>
        <v>3576.15</v>
      </c>
      <c r="P12" s="166" t="n">
        <v>8576.15</v>
      </c>
      <c r="Q12" s="167" t="n">
        <f aca="false">IFERROR(H12/P12,"-")</f>
        <v>0.416987809215091</v>
      </c>
      <c r="R12" s="166" t="n">
        <f aca="false">H12-P12</f>
        <v>-5000</v>
      </c>
    </row>
    <row r="13" customFormat="false" ht="14.25" hidden="false" customHeight="true" outlineLevel="0" collapsed="false">
      <c r="A13" s="168" t="n">
        <v>15</v>
      </c>
      <c r="B13" s="85" t="s">
        <v>139</v>
      </c>
      <c r="C13" s="24" t="s">
        <v>47</v>
      </c>
      <c r="D13" s="166" t="s">
        <v>47</v>
      </c>
      <c r="E13" s="26" t="s">
        <v>32</v>
      </c>
      <c r="F13" s="158" t="n">
        <f aca="false">ינואר!E13+פברואר!E13+מרץ!E13+אפריל!E13+מאי!E13+יוני!E13+יולי!F13</f>
        <v>1597.46</v>
      </c>
      <c r="G13" s="158" t="n">
        <f aca="false">ינואר!F13+פברואר!F13+מרץ!F13+אפריל!F13+מאי!F13+יוני!F13+יולי!G13</f>
        <v>0</v>
      </c>
      <c r="H13" s="158" t="n">
        <f aca="false">ינואר!G13+פברואר!G13+מרץ!G13+אפריל!G13+מאי!G13+יוני!G13+יולי!H13</f>
        <v>1896.82</v>
      </c>
      <c r="I13" s="167" t="str">
        <f aca="false">IFERROR(H13/G13-1,"-")</f>
        <v>-</v>
      </c>
      <c r="J13" s="158" t="n">
        <f aca="false">H13-G13</f>
        <v>1896.82</v>
      </c>
      <c r="L13" s="166" t="n">
        <f aca="false">ינואר!J13+פברואר!J13+מרץ!J13+אפריל!J13+מאי!J13+יוני!J13+יולי!M13</f>
        <v>12500</v>
      </c>
      <c r="M13" s="190" t="n">
        <f aca="false">IFERROR(H13/L13,"-")</f>
        <v>0.1517456</v>
      </c>
      <c r="N13" s="166" t="n">
        <f aca="false">H13-L13</f>
        <v>-10603.18</v>
      </c>
      <c r="P13" s="166" t="n">
        <v>6896.82</v>
      </c>
      <c r="Q13" s="167" t="n">
        <f aca="false">IFERROR(H13/P13,"-")</f>
        <v>0.275028201402965</v>
      </c>
      <c r="R13" s="166" t="n">
        <f aca="false">H13-P13</f>
        <v>-5000</v>
      </c>
    </row>
    <row r="14" customFormat="false" ht="14.25" hidden="false" customHeight="true" outlineLevel="0" collapsed="false">
      <c r="A14" s="168" t="n">
        <v>13</v>
      </c>
      <c r="B14" s="85" t="s">
        <v>145</v>
      </c>
      <c r="C14" s="24" t="s">
        <v>43</v>
      </c>
      <c r="D14" s="166" t="s">
        <v>43</v>
      </c>
      <c r="E14" s="26" t="s">
        <v>32</v>
      </c>
      <c r="F14" s="158" t="n">
        <f aca="false">ינואר!E14+פברואר!E14+מרץ!E14+אפריל!E14+מאי!E14+יוני!E14+יולי!F14</f>
        <v>5854.85</v>
      </c>
      <c r="G14" s="158" t="n">
        <f aca="false">ינואר!F14+פברואר!F14+מרץ!F14+אפריל!F14+מאי!F14+יוני!F14+יולי!G14</f>
        <v>11718.66</v>
      </c>
      <c r="H14" s="158" t="n">
        <f aca="false">ינואר!G14+פברואר!G14+מרץ!G14+אפריל!G14+מאי!G14+יוני!G14+יולי!H14</f>
        <v>8226.92</v>
      </c>
      <c r="I14" s="167" t="n">
        <f aca="false">IFERROR(H14/G14-1,"-")</f>
        <v>-0.297964101697634</v>
      </c>
      <c r="J14" s="158" t="n">
        <f aca="false">H14-G14</f>
        <v>-3491.74</v>
      </c>
      <c r="L14" s="166" t="n">
        <f aca="false">ינואר!J14+פברואר!J14+מרץ!J14+אפריל!J14+מאי!J14+יוני!J14+יולי!M14</f>
        <v>200000</v>
      </c>
      <c r="M14" s="190" t="n">
        <f aca="false">IFERROR(H14/L14,"-")</f>
        <v>0.0411346</v>
      </c>
      <c r="N14" s="166" t="n">
        <f aca="false">H14-L14</f>
        <v>-191773.08</v>
      </c>
      <c r="P14" s="166" t="n">
        <v>12748.72</v>
      </c>
      <c r="Q14" s="167" t="n">
        <f aca="false">IFERROR(H14/P14,"-")</f>
        <v>0.645313411856249</v>
      </c>
      <c r="R14" s="166" t="n">
        <f aca="false">H14-P14</f>
        <v>-4521.8</v>
      </c>
    </row>
    <row r="15" customFormat="false" ht="14.25" hidden="false" customHeight="true" outlineLevel="0" collapsed="false">
      <c r="A15" s="168" t="n">
        <v>9</v>
      </c>
      <c r="B15" s="85" t="s">
        <v>140</v>
      </c>
      <c r="C15" s="24" t="s">
        <v>44</v>
      </c>
      <c r="D15" s="166" t="s">
        <v>44</v>
      </c>
      <c r="E15" s="26" t="s">
        <v>32</v>
      </c>
      <c r="F15" s="158" t="n">
        <f aca="false">ינואר!E15+פברואר!E15+מרץ!E15+אפריל!E15+מאי!E15+יוני!E15+יולי!F15</f>
        <v>48588.56</v>
      </c>
      <c r="G15" s="158" t="n">
        <f aca="false">ינואר!F15+פברואר!F15+מרץ!F15+אפריל!F15+מאי!F15+יוני!F15+יולי!G15</f>
        <v>61986.23</v>
      </c>
      <c r="H15" s="158" t="n">
        <f aca="false">ינואר!G15+פברואר!G15+מרץ!G15+אפריל!G15+מאי!G15+יוני!G15+יולי!H15</f>
        <v>99136.83</v>
      </c>
      <c r="I15" s="167" t="n">
        <f aca="false">IFERROR(H15/G15-1,"-")</f>
        <v>0.599336336473439</v>
      </c>
      <c r="J15" s="158" t="n">
        <f aca="false">H15-G15</f>
        <v>37150.6</v>
      </c>
      <c r="L15" s="166" t="n">
        <f aca="false">ינואר!J15+פברואר!J15+מרץ!J15+אפריל!J15+מאי!J15+יוני!J15+יולי!M15</f>
        <v>115079.365079365</v>
      </c>
      <c r="M15" s="190" t="n">
        <f aca="false">IFERROR(H15/L15,"-")</f>
        <v>0.861464867586205</v>
      </c>
      <c r="N15" s="166" t="n">
        <f aca="false">H15-L15</f>
        <v>-15942.5350793653</v>
      </c>
      <c r="P15" s="166" t="n">
        <v>114111.1</v>
      </c>
      <c r="Q15" s="167" t="n">
        <f aca="false">IFERROR(H15/P15,"-")</f>
        <v>0.868774641555467</v>
      </c>
      <c r="R15" s="166" t="n">
        <f aca="false">H15-P15</f>
        <v>-14974.27</v>
      </c>
    </row>
    <row r="16" customFormat="false" ht="15" hidden="false" customHeight="true" outlineLevel="0" collapsed="false">
      <c r="A16" s="170"/>
      <c r="C16" s="215" t="s">
        <v>119</v>
      </c>
      <c r="D16" s="171" t="s">
        <v>119</v>
      </c>
      <c r="E16" s="171"/>
      <c r="F16" s="171" t="n">
        <f aca="false">SUM(F3:F15)</f>
        <v>9909012.01</v>
      </c>
      <c r="G16" s="171" t="n">
        <f aca="false">SUM(G3:G15)</f>
        <v>9873502.09200004</v>
      </c>
      <c r="H16" s="171" t="n">
        <f aca="false">SUM(H3:H15)</f>
        <v>8909146.133</v>
      </c>
      <c r="I16" s="172" t="n">
        <f aca="false">IFERROR(H16/G16-1,"-")</f>
        <v>-0.0976711150728784</v>
      </c>
      <c r="J16" s="171" t="n">
        <f aca="false">SUM(J3:J15)</f>
        <v>-964355.95900004</v>
      </c>
      <c r="L16" s="171" t="n">
        <f aca="false">SUM(L3:L15)</f>
        <v>11802472.2222222</v>
      </c>
      <c r="M16" s="172" t="n">
        <f aca="false">IFERROR(H16/L16,"-")</f>
        <v>0.7548542343718</v>
      </c>
      <c r="N16" s="171" t="n">
        <f aca="false">SUM(N3:N15)</f>
        <v>-2893326.08922222</v>
      </c>
      <c r="P16" s="171" t="n">
        <f aca="false">SUM(P3:P15)</f>
        <v>9274549.047</v>
      </c>
      <c r="Q16" s="172" t="n">
        <f aca="false">IFERROR(H16/P16,"-")</f>
        <v>0.96060154384345</v>
      </c>
      <c r="R16" s="171" t="n">
        <f aca="false">H16-P16</f>
        <v>-365402.914000001</v>
      </c>
    </row>
    <row r="17" customFormat="false" ht="14.25" hidden="false" customHeight="true" outlineLevel="0" collapsed="false">
      <c r="A17" s="168" t="n">
        <v>2</v>
      </c>
      <c r="B17" s="85" t="s">
        <v>149</v>
      </c>
      <c r="C17" s="24" t="s">
        <v>45</v>
      </c>
      <c r="D17" s="166" t="s">
        <v>45</v>
      </c>
      <c r="E17" s="26" t="s">
        <v>32</v>
      </c>
      <c r="F17" s="158" t="n">
        <f aca="false">ינואר!E17+פברואר!E17+מרץ!E17+אפריל!E17+מאי!E17+יוני!E17+יולי!F17</f>
        <v>329800.83</v>
      </c>
      <c r="G17" s="158" t="n">
        <f aca="false">ינואר!F17+פברואר!F17+מרץ!F17+אפריל!F17+מאי!F17+יוני!F17+יולי!G17</f>
        <v>777178.229999998</v>
      </c>
      <c r="H17" s="158" t="n">
        <f aca="false">ינואר!G17+פברואר!G17+מרץ!G17+אפריל!G17+מאי!G17+יוני!G17+יולי!H17</f>
        <v>2629256.53000003</v>
      </c>
      <c r="I17" s="167" t="n">
        <f aca="false">IFERROR(H17/G17-1,"-")</f>
        <v>2.38308051938104</v>
      </c>
      <c r="J17" s="158" t="n">
        <f aca="false">H17-G17</f>
        <v>1852078.30000003</v>
      </c>
      <c r="L17" s="166" t="n">
        <f aca="false">ינואר!J17+פברואר!J17+מרץ!J17+אפריל!J17+מאי!J17+יוני!J17+יולי!M17</f>
        <v>4142090.6779661</v>
      </c>
      <c r="M17" s="190" t="n">
        <f aca="false">IFERROR(H17/L17,"-")</f>
        <v>0.634765565125454</v>
      </c>
      <c r="N17" s="166" t="n">
        <f aca="false">H17-L17</f>
        <v>-1512834.14796607</v>
      </c>
      <c r="P17" s="166" t="n">
        <v>2681238.20000003</v>
      </c>
      <c r="Q17" s="167" t="n">
        <f aca="false">IFERROR(H17/P17,"-")</f>
        <v>0.980612811647991</v>
      </c>
      <c r="R17" s="166" t="n">
        <f aca="false">H17-P17</f>
        <v>-51981.6700000013</v>
      </c>
    </row>
    <row r="18" customFormat="false" ht="14.25" hidden="false" customHeight="true" outlineLevel="0" collapsed="false">
      <c r="A18" s="168" t="n">
        <v>12</v>
      </c>
      <c r="B18" s="85" t="s">
        <v>150</v>
      </c>
      <c r="C18" s="38" t="s">
        <v>46</v>
      </c>
      <c r="D18" s="166" t="s">
        <v>46</v>
      </c>
      <c r="E18" s="26" t="s">
        <v>32</v>
      </c>
      <c r="F18" s="158" t="n">
        <f aca="false">ינואר!E18+פברואר!E18+מרץ!E18+אפריל!E18+מאי!E18+יוני!E18+יולי!F18</f>
        <v>17917.62</v>
      </c>
      <c r="G18" s="158" t="n">
        <f aca="false">ינואר!F18+פברואר!F18+מרץ!F18+אפריל!F18+מאי!F18+יוני!F18+יולי!G18</f>
        <v>18647.27</v>
      </c>
      <c r="H18" s="158" t="n">
        <f aca="false">ינואר!G18+פברואר!G18+מרץ!G18+אפריל!G18+מאי!G18+יוני!G18+יולי!H18</f>
        <v>11548.76</v>
      </c>
      <c r="I18" s="167" t="n">
        <f aca="false">IFERROR(H18/G18-1,"-")</f>
        <v>-0.380672881338662</v>
      </c>
      <c r="J18" s="158" t="n">
        <f aca="false">H18-G18</f>
        <v>-7098.51</v>
      </c>
      <c r="L18" s="166" t="n">
        <f aca="false">ינואר!J18+פברואר!J18+מרץ!J18+אפריל!J18+מאי!J18+יוני!J18+יולי!M18</f>
        <v>17758.4983333333</v>
      </c>
      <c r="M18" s="190" t="n">
        <f aca="false">IFERROR(H18/L18,"-")</f>
        <v>0.650323004976304</v>
      </c>
      <c r="N18" s="166" t="n">
        <f aca="false">H18-L18</f>
        <v>-6209.73833333331</v>
      </c>
      <c r="P18" s="166" t="n">
        <v>14807.02</v>
      </c>
      <c r="Q18" s="167" t="n">
        <f aca="false">IFERROR(H18/P18,"-")</f>
        <v>0.779951671571998</v>
      </c>
      <c r="R18" s="166" t="n">
        <f aca="false">H18-P18</f>
        <v>-3258.26</v>
      </c>
    </row>
    <row r="19" s="216" customFormat="true" ht="15" hidden="false" customHeight="true" outlineLevel="0" collapsed="false">
      <c r="A19" s="169"/>
      <c r="C19" s="217" t="s">
        <v>48</v>
      </c>
      <c r="D19" s="171" t="s">
        <v>48</v>
      </c>
      <c r="E19" s="171"/>
      <c r="F19" s="171" t="n">
        <f aca="false">F16+F17+F18</f>
        <v>10256730.46</v>
      </c>
      <c r="G19" s="171" t="n">
        <f aca="false">G16+G17+G18</f>
        <v>10669327.592</v>
      </c>
      <c r="H19" s="171" t="n">
        <f aca="false">H16+H17+H18</f>
        <v>11549951.423</v>
      </c>
      <c r="I19" s="172" t="n">
        <f aca="false">IFERROR(H19/G19-1,"-")</f>
        <v>0.0825378941087429</v>
      </c>
      <c r="J19" s="171" t="n">
        <f aca="false">J16+J17+J18</f>
        <v>880623.830999991</v>
      </c>
      <c r="L19" s="171" t="n">
        <f aca="false">L16+L17+L18</f>
        <v>15962321.3985217</v>
      </c>
      <c r="M19" s="172" t="n">
        <f aca="false">IFERROR(H19/L19,"-")</f>
        <v>0.723575921987746</v>
      </c>
      <c r="N19" s="171" t="n">
        <f aca="false">N16+N17+N18</f>
        <v>-4412369.97552163</v>
      </c>
      <c r="P19" s="171" t="n">
        <f aca="false">P16+P17+P18</f>
        <v>11970594.267</v>
      </c>
      <c r="Q19" s="172" t="n">
        <f aca="false">IFERROR(H19/P19,"-")</f>
        <v>0.964860320664312</v>
      </c>
      <c r="R19" s="171" t="n">
        <f aca="false">H19-P19</f>
        <v>-420642.844000002</v>
      </c>
    </row>
    <row r="20" customFormat="false" ht="14.25" hidden="false" customHeight="true" outlineLevel="0" collapsed="false">
      <c r="A20" s="169" t="n">
        <v>50</v>
      </c>
      <c r="B20" s="85" t="s">
        <v>155</v>
      </c>
      <c r="C20" s="218" t="s">
        <v>49</v>
      </c>
      <c r="D20" s="166" t="s">
        <v>50</v>
      </c>
      <c r="E20" s="26" t="s">
        <v>51</v>
      </c>
      <c r="F20" s="158" t="n">
        <f aca="false">ינואר!E20+פברואר!E20+מרץ!E20+אפריל!E20+מאי!E20+יוני!E20+יולי!F20</f>
        <v>2374449.32</v>
      </c>
      <c r="G20" s="158" t="n">
        <f aca="false">ינואר!F20+פברואר!F20+מרץ!F20+אפריל!F20+מאי!F20+יוני!F20+יולי!G20</f>
        <v>1528486.72</v>
      </c>
      <c r="H20" s="158" t="n">
        <f aca="false">ינואר!G20+פברואר!G20+מרץ!G20+אפריל!G20+מאי!G20+יוני!G20+יולי!H20</f>
        <v>1478351.96</v>
      </c>
      <c r="I20" s="167" t="n">
        <f aca="false">IFERROR(H20/G20-1,"-")</f>
        <v>-0.0328002588076135</v>
      </c>
      <c r="J20" s="158" t="n">
        <f aca="false">H20-G20</f>
        <v>-50134.7600000002</v>
      </c>
      <c r="L20" s="166" t="n">
        <f aca="false">ינואר!J20+פברואר!J20+מרץ!J20+אפריל!J20+מאי!J20+יוני!J20+יולי!M20</f>
        <v>2572708.8094125</v>
      </c>
      <c r="M20" s="190" t="n">
        <f aca="false">IFERROR(H20/L20,"-")</f>
        <v>0.574628560601693</v>
      </c>
      <c r="N20" s="166" t="n">
        <f aca="false">H20-L20</f>
        <v>-1094356.8494125</v>
      </c>
      <c r="P20" s="166" t="n">
        <v>1520324.21</v>
      </c>
      <c r="Q20" s="167" t="n">
        <f aca="false">IFERROR(H20/P20,"-")</f>
        <v>0.972392566188234</v>
      </c>
      <c r="R20" s="166" t="n">
        <f aca="false">H20-P20</f>
        <v>-41972.25</v>
      </c>
    </row>
    <row r="21" customFormat="false" ht="14.25" hidden="false" customHeight="true" outlineLevel="0" collapsed="false">
      <c r="A21" s="169" t="n">
        <v>20</v>
      </c>
      <c r="B21" s="85" t="s">
        <v>151</v>
      </c>
      <c r="C21" s="218" t="s">
        <v>52</v>
      </c>
      <c r="D21" s="166" t="s">
        <v>53</v>
      </c>
      <c r="E21" s="26" t="s">
        <v>54</v>
      </c>
      <c r="F21" s="158" t="n">
        <f aca="false">ינואר!E21+פברואר!E21+מרץ!E21+אפריל!E21+מאי!E21+יוני!E21+יולי!F21</f>
        <v>583923.41</v>
      </c>
      <c r="G21" s="158" t="n">
        <f aca="false">ינואר!F21+פברואר!F21+מרץ!F21+אפריל!F21+מאי!F21+יוני!F21+יולי!G21</f>
        <v>617670.46</v>
      </c>
      <c r="H21" s="158" t="n">
        <f aca="false">ינואר!G21+פברואר!G21+מרץ!G21+אפריל!G21+מאי!G21+יוני!G21+יולי!H21</f>
        <v>342081.02</v>
      </c>
      <c r="I21" s="167" t="n">
        <f aca="false">IFERROR(H21/G21-1,"-")</f>
        <v>-0.446175522138455</v>
      </c>
      <c r="J21" s="158" t="n">
        <f aca="false">H21-G21</f>
        <v>-275589.44</v>
      </c>
      <c r="L21" s="166" t="n">
        <f aca="false">ינואר!J21+פברואר!J21+מרץ!J21+אפריל!J21+מאי!J21+יוני!J21+יולי!M21</f>
        <v>676200</v>
      </c>
      <c r="M21" s="190" t="n">
        <f aca="false">IFERROR(H21/L21,"-")</f>
        <v>0.505887341023366</v>
      </c>
      <c r="N21" s="166" t="n">
        <f aca="false">H21-L21</f>
        <v>-334118.98</v>
      </c>
      <c r="P21" s="166" t="n">
        <v>342081.02</v>
      </c>
      <c r="Q21" s="167" t="n">
        <f aca="false">IFERROR(H21/P21,"-")</f>
        <v>1</v>
      </c>
      <c r="R21" s="166" t="n">
        <f aca="false">H21-P21</f>
        <v>0</v>
      </c>
    </row>
    <row r="22" customFormat="false" ht="14.25" hidden="false" customHeight="true" outlineLevel="0" collapsed="false">
      <c r="A22" s="169" t="n">
        <v>21</v>
      </c>
      <c r="B22" s="85" t="s">
        <v>157</v>
      </c>
      <c r="C22" s="218" t="s">
        <v>55</v>
      </c>
      <c r="D22" s="166" t="s">
        <v>56</v>
      </c>
      <c r="E22" s="26" t="s">
        <v>57</v>
      </c>
      <c r="F22" s="158" t="n">
        <f aca="false">ינואר!E22+פברואר!E22+מרץ!E22+אפריל!E22+מאי!E22+יוני!E22+יולי!F22</f>
        <v>380388.9</v>
      </c>
      <c r="G22" s="158" t="n">
        <f aca="false">ינואר!F22+פברואר!F22+מרץ!F22+אפריל!F22+מאי!F22+יוני!F22+יולי!G22</f>
        <v>276483.18</v>
      </c>
      <c r="H22" s="158" t="n">
        <f aca="false">ינואר!G22+פברואר!G22+מרץ!G22+אפריל!G22+מאי!G22+יוני!G22+יולי!H22</f>
        <v>333276.52</v>
      </c>
      <c r="I22" s="167" t="n">
        <f aca="false">IFERROR(H22/G22-1,"-")</f>
        <v>0.205413363662846</v>
      </c>
      <c r="J22" s="158" t="n">
        <f aca="false">H22-G22</f>
        <v>56793.34</v>
      </c>
      <c r="L22" s="166" t="n">
        <f aca="false">ינואר!J22+פברואר!J22+מרץ!J22+אפריל!J22+מאי!J22+יוני!J22+יולי!M22</f>
        <v>315000.27</v>
      </c>
      <c r="M22" s="190" t="n">
        <f aca="false">IFERROR(H22/L22,"-")</f>
        <v>1.05801979153859</v>
      </c>
      <c r="N22" s="166" t="n">
        <f aca="false">H22-L22</f>
        <v>18276.25</v>
      </c>
      <c r="P22" s="166" t="n">
        <v>333276.52</v>
      </c>
      <c r="Q22" s="167" t="n">
        <f aca="false">IFERROR(H22/P22,"-")</f>
        <v>1</v>
      </c>
      <c r="R22" s="166" t="n">
        <f aca="false">H22-P22</f>
        <v>0</v>
      </c>
    </row>
    <row r="23" customFormat="false" ht="14.25" hidden="false" customHeight="true" outlineLevel="0" collapsed="false">
      <c r="A23" s="169" t="n">
        <v>22</v>
      </c>
      <c r="B23" s="85" t="s">
        <v>159</v>
      </c>
      <c r="C23" s="218" t="s">
        <v>58</v>
      </c>
      <c r="D23" s="166" t="s">
        <v>59</v>
      </c>
      <c r="E23" s="26" t="s">
        <v>60</v>
      </c>
      <c r="F23" s="158" t="n">
        <f aca="false">ינואר!E23+פברואר!E23+מרץ!E23+אפריל!E23+מאי!E23+יוני!E23+יולי!F23</f>
        <v>326928.16</v>
      </c>
      <c r="G23" s="158" t="n">
        <f aca="false">ינואר!F23+פברואר!F23+מרץ!F23+אפריל!F23+מאי!F23+יוני!F23+יולי!G23</f>
        <v>262177.55</v>
      </c>
      <c r="H23" s="158" t="n">
        <f aca="false">ינואר!G23+פברואר!G23+מרץ!G23+אפריל!G23+מאי!G23+יוני!G23+יולי!H23</f>
        <v>307053.13</v>
      </c>
      <c r="I23" s="167" t="n">
        <f aca="false">IFERROR(H23/G23-1,"-")</f>
        <v>0.171164846112873</v>
      </c>
      <c r="J23" s="158" t="n">
        <f aca="false">H23-G23</f>
        <v>44875.58</v>
      </c>
      <c r="L23" s="166" t="n">
        <f aca="false">ינואר!J23+פברואר!J23+מרץ!J23+אפריל!J23+מאי!J23+יוני!J23+יולי!M23</f>
        <v>332158.97</v>
      </c>
      <c r="M23" s="190" t="n">
        <f aca="false">IFERROR(H23/L23,"-")</f>
        <v>0.9244161914399</v>
      </c>
      <c r="N23" s="166" t="n">
        <f aca="false">H23-L23</f>
        <v>-25105.84</v>
      </c>
      <c r="P23" s="166" t="n">
        <v>307053.13</v>
      </c>
      <c r="Q23" s="167" t="n">
        <f aca="false">IFERROR(H23/P23,"-")</f>
        <v>1</v>
      </c>
      <c r="R23" s="166" t="n">
        <f aca="false">H23-P23</f>
        <v>0</v>
      </c>
    </row>
    <row r="24" customFormat="false" ht="14.25" hidden="false" customHeight="true" outlineLevel="0" collapsed="false">
      <c r="A24" s="169" t="n">
        <v>23</v>
      </c>
      <c r="B24" s="85" t="s">
        <v>154</v>
      </c>
      <c r="C24" s="218" t="s">
        <v>61</v>
      </c>
      <c r="D24" s="166" t="s">
        <v>62</v>
      </c>
      <c r="E24" s="26" t="s">
        <v>63</v>
      </c>
      <c r="F24" s="158" t="n">
        <f aca="false">ינואר!E24+פברואר!E24+מרץ!E24+אפריל!E24+מאי!E24+יוני!E24+יולי!F24</f>
        <v>80639.3</v>
      </c>
      <c r="G24" s="158" t="n">
        <f aca="false">ינואר!F24+פברואר!F24+מרץ!F24+אפריל!F24+מאי!F24+יוני!F24+יולי!G24</f>
        <v>72684.26</v>
      </c>
      <c r="H24" s="158" t="n">
        <f aca="false">ינואר!G24+פברואר!G24+מרץ!G24+אפריל!G24+מאי!G24+יוני!G24+יולי!H24</f>
        <v>96129.95</v>
      </c>
      <c r="I24" s="167" t="n">
        <f aca="false">IFERROR(H24/G24-1,"-")</f>
        <v>0.322569012878442</v>
      </c>
      <c r="J24" s="158" t="n">
        <f aca="false">H24-G24</f>
        <v>23445.69</v>
      </c>
      <c r="L24" s="166" t="n">
        <f aca="false">ינואר!J24+פברואר!J24+מרץ!J24+אפריל!J24+מאי!J24+יוני!J24+יולי!M24</f>
        <v>86774.92</v>
      </c>
      <c r="M24" s="190" t="n">
        <f aca="false">IFERROR(H24/L24,"-")</f>
        <v>1.10780799336951</v>
      </c>
      <c r="N24" s="166" t="n">
        <f aca="false">H24-L24</f>
        <v>9355.03</v>
      </c>
      <c r="P24" s="166" t="n">
        <v>96678.59</v>
      </c>
      <c r="Q24" s="167" t="n">
        <f aca="false">IFERROR(H24/P24,"-")</f>
        <v>0.994325113760968</v>
      </c>
      <c r="R24" s="166" t="n">
        <f aca="false">H24-P24</f>
        <v>-548.639999999999</v>
      </c>
    </row>
    <row r="25" customFormat="false" ht="14.25" hidden="false" customHeight="true" outlineLevel="0" collapsed="false">
      <c r="A25" s="169" t="n">
        <v>24</v>
      </c>
      <c r="B25" s="85" t="s">
        <v>156</v>
      </c>
      <c r="C25" s="218" t="s">
        <v>64</v>
      </c>
      <c r="D25" s="166" t="s">
        <v>65</v>
      </c>
      <c r="E25" s="26" t="s">
        <v>66</v>
      </c>
      <c r="F25" s="158" t="n">
        <f aca="false">ינואר!E25+פברואר!E25+מרץ!E25+אפריל!E25+מאי!E25+יוני!E25+יולי!F25</f>
        <v>116140.05</v>
      </c>
      <c r="G25" s="158" t="n">
        <f aca="false">ינואר!F25+פברואר!F25+מרץ!F25+אפריל!F25+מאי!F25+יוני!F25+יולי!G25</f>
        <v>52899.82</v>
      </c>
      <c r="H25" s="158" t="n">
        <f aca="false">ינואר!G25+פברואר!G25+מרץ!G25+אפריל!G25+מאי!G25+יוני!G25+יולי!H25</f>
        <v>0</v>
      </c>
      <c r="I25" s="167" t="n">
        <f aca="false">IFERROR(H25/G25-1,"-")</f>
        <v>-1</v>
      </c>
      <c r="J25" s="158" t="n">
        <f aca="false">H25-G25</f>
        <v>-52899.82</v>
      </c>
      <c r="L25" s="166" t="n">
        <f aca="false">ינואר!J25+פברואר!J25+מרץ!J25+אפריל!J25+מאי!J25+יוני!J25+יולי!M25</f>
        <v>25000</v>
      </c>
      <c r="M25" s="190" t="n">
        <f aca="false">IFERROR(H25/L25,"-")</f>
        <v>0</v>
      </c>
      <c r="N25" s="166" t="n">
        <f aca="false">H25-L25</f>
        <v>-25000</v>
      </c>
      <c r="P25" s="166" t="n">
        <v>0</v>
      </c>
      <c r="Q25" s="167" t="str">
        <f aca="false">IFERROR(H25/P25,"-")</f>
        <v>-</v>
      </c>
      <c r="R25" s="166" t="n">
        <f aca="false">H25-P25</f>
        <v>0</v>
      </c>
    </row>
    <row r="26" customFormat="false" ht="13.5" hidden="false" customHeight="true" outlineLevel="0" collapsed="false">
      <c r="A26" s="169" t="n">
        <v>25</v>
      </c>
      <c r="B26" s="85" t="s">
        <v>162</v>
      </c>
      <c r="C26" s="218" t="s">
        <v>67</v>
      </c>
      <c r="D26" s="166" t="s">
        <v>68</v>
      </c>
      <c r="E26" s="26" t="s">
        <v>69</v>
      </c>
      <c r="F26" s="158" t="n">
        <f aca="false">ינואר!E26+פברואר!E26+מרץ!E26+אפריל!E26+מאי!E26+יוני!E26+יולי!F26</f>
        <v>249206.12</v>
      </c>
      <c r="G26" s="158" t="n">
        <f aca="false">ינואר!F26+פברואר!F26+מרץ!F26+אפריל!F26+מאי!F26+יוני!F26+יולי!G26</f>
        <v>172805.93</v>
      </c>
      <c r="H26" s="158" t="n">
        <f aca="false">ינואר!G26+פברואר!G26+מרץ!G26+אפריל!G26+מאי!G26+יוני!G26+יולי!H26</f>
        <v>365555.25</v>
      </c>
      <c r="I26" s="167" t="n">
        <f aca="false">IFERROR(H26/G26-1,"-")</f>
        <v>1.11540917606242</v>
      </c>
      <c r="J26" s="158" t="n">
        <f aca="false">H26-G26</f>
        <v>192749.32</v>
      </c>
      <c r="L26" s="166" t="n">
        <f aca="false">ינואר!J26+פברואר!J26+מרץ!J26+אפריל!J26+מאי!J26+יוני!J26+יולי!M26</f>
        <v>300000</v>
      </c>
      <c r="M26" s="190" t="n">
        <f aca="false">IFERROR(H26/L26,"-")</f>
        <v>1.2185175</v>
      </c>
      <c r="N26" s="166" t="n">
        <f aca="false">H26-L26</f>
        <v>65555.25</v>
      </c>
      <c r="P26" s="166" t="n">
        <v>384147.47</v>
      </c>
      <c r="Q26" s="167" t="n">
        <f aca="false">IFERROR(H26/P26,"-")</f>
        <v>0.951601347263852</v>
      </c>
      <c r="R26" s="166" t="n">
        <f aca="false">H26-P26</f>
        <v>-18592.22</v>
      </c>
    </row>
    <row r="27" customFormat="false" ht="14.25" hidden="false" customHeight="true" outlineLevel="0" collapsed="false">
      <c r="A27" s="169" t="n">
        <v>26</v>
      </c>
      <c r="B27" s="85" t="s">
        <v>153</v>
      </c>
      <c r="C27" s="218" t="s">
        <v>70</v>
      </c>
      <c r="D27" s="166" t="s">
        <v>71</v>
      </c>
      <c r="E27" s="26" t="s">
        <v>72</v>
      </c>
      <c r="F27" s="158" t="n">
        <f aca="false">ינואר!E27+פברואר!E27+מרץ!E27+אפריל!E27+מאי!E27+יוני!E27+יולי!F27</f>
        <v>100776.78</v>
      </c>
      <c r="G27" s="158" t="n">
        <f aca="false">ינואר!F27+פברואר!F27+מרץ!F27+אפריל!F27+מאי!F27+יוני!F27+יולי!G27</f>
        <v>66251.42</v>
      </c>
      <c r="H27" s="158" t="n">
        <f aca="false">ינואר!G27+פברואר!G27+מרץ!G27+אפריל!G27+מאי!G27+יוני!G27+יולי!H27</f>
        <v>60694.01</v>
      </c>
      <c r="I27" s="167" t="n">
        <f aca="false">IFERROR(H27/G27-1,"-")</f>
        <v>-0.0838836360035755</v>
      </c>
      <c r="J27" s="158" t="n">
        <f aca="false">H27-G27</f>
        <v>-5557.41</v>
      </c>
      <c r="L27" s="166" t="n">
        <f aca="false">ינואר!J27+פברואר!J27+מרץ!J27+אפריל!J27+מאי!J27+יוני!J27+יולי!M27</f>
        <v>120000</v>
      </c>
      <c r="M27" s="190" t="n">
        <f aca="false">IFERROR(H27/L27,"-")</f>
        <v>0.505783416666667</v>
      </c>
      <c r="N27" s="166" t="n">
        <f aca="false">H27-L27</f>
        <v>-59305.99</v>
      </c>
      <c r="P27" s="166" t="n">
        <v>60694.01</v>
      </c>
      <c r="Q27" s="167" t="n">
        <f aca="false">IFERROR(H27/P27,"-")</f>
        <v>1</v>
      </c>
      <c r="R27" s="166" t="n">
        <f aca="false">H27-P27</f>
        <v>0</v>
      </c>
    </row>
    <row r="28" customFormat="false" ht="13.5" hidden="false" customHeight="true" outlineLevel="0" collapsed="false">
      <c r="A28" s="169" t="n">
        <v>27</v>
      </c>
      <c r="B28" s="85" t="s">
        <v>163</v>
      </c>
      <c r="C28" s="218" t="s">
        <v>73</v>
      </c>
      <c r="D28" s="166" t="s">
        <v>74</v>
      </c>
      <c r="E28" s="26" t="s">
        <v>75</v>
      </c>
      <c r="F28" s="158" t="n">
        <f aca="false">ינואר!E28+פברואר!E28+מרץ!E28+אפריל!E28+מאי!E28+יוני!E28+יולי!F28</f>
        <v>171813.81</v>
      </c>
      <c r="G28" s="158" t="n">
        <f aca="false">ינואר!F28+פברואר!F28+מרץ!F28+אפריל!F28+מאי!F28+יוני!F28+יולי!G28</f>
        <v>0.22</v>
      </c>
      <c r="H28" s="158" t="n">
        <f aca="false">ינואר!G28+פברואר!G28+מרץ!G28+אפריל!G28+מאי!G28+יוני!G28+יולי!H28</f>
        <v>0</v>
      </c>
      <c r="I28" s="167" t="n">
        <f aca="false">IFERROR(H28/G28-1,"-")</f>
        <v>-1</v>
      </c>
      <c r="J28" s="158" t="n">
        <f aca="false">H28-G28</f>
        <v>-0.22</v>
      </c>
      <c r="L28" s="166" t="n">
        <f aca="false">ינואר!J28+פברואר!J28+מרץ!J28+אפריל!J28+מאי!J28+יוני!J28+יולי!M28</f>
        <v>0</v>
      </c>
      <c r="M28" s="190" t="str">
        <f aca="false">IFERROR(H28/L28,"-")</f>
        <v>-</v>
      </c>
      <c r="N28" s="166" t="n">
        <f aca="false">H28-L28</f>
        <v>0</v>
      </c>
      <c r="P28" s="166" t="n">
        <v>0</v>
      </c>
      <c r="Q28" s="167" t="str">
        <f aca="false">IFERROR(H28/P28,"-")</f>
        <v>-</v>
      </c>
      <c r="R28" s="166" t="n">
        <f aca="false">H28-P28</f>
        <v>0</v>
      </c>
    </row>
    <row r="29" customFormat="false" ht="13.5" hidden="false" customHeight="true" outlineLevel="0" collapsed="false">
      <c r="A29" s="169" t="n">
        <v>28</v>
      </c>
      <c r="B29" s="85" t="s">
        <v>164</v>
      </c>
      <c r="C29" s="218" t="s">
        <v>76</v>
      </c>
      <c r="D29" s="166" t="s">
        <v>77</v>
      </c>
      <c r="E29" s="26" t="s">
        <v>78</v>
      </c>
      <c r="F29" s="158" t="n">
        <f aca="false">ינואר!E29+פברואר!E29+מרץ!E29+אפריל!E29+מאי!E29+יוני!E29+יולי!F29</f>
        <v>199444.79</v>
      </c>
      <c r="G29" s="158" t="n">
        <f aca="false">ינואר!F29+פברואר!F29+מרץ!F29+אפריל!F29+מאי!F29+יוני!F29+יולי!G29</f>
        <v>244647.59</v>
      </c>
      <c r="H29" s="158" t="n">
        <f aca="false">ינואר!G29+פברואר!G29+מרץ!G29+אפריל!G29+מאי!G29+יוני!G29+יולי!H29</f>
        <v>245167.23</v>
      </c>
      <c r="I29" s="167" t="n">
        <f aca="false">IFERROR(H29/G29-1,"-")</f>
        <v>0.00212403482086199</v>
      </c>
      <c r="J29" s="158" t="n">
        <f aca="false">H29-G29</f>
        <v>519.639999999985</v>
      </c>
      <c r="L29" s="166" t="n">
        <f aca="false">ינואר!J29+פברואר!J29+מרץ!J29+אפריל!J29+מאי!J29+יוני!J29+יולי!M29</f>
        <v>251174.62</v>
      </c>
      <c r="M29" s="190" t="n">
        <f aca="false">IFERROR(H29/L29,"-")</f>
        <v>0.976082814418113</v>
      </c>
      <c r="N29" s="166" t="n">
        <f aca="false">H29-L29</f>
        <v>-6007.39000000001</v>
      </c>
      <c r="P29" s="166" t="n">
        <v>243207.09</v>
      </c>
      <c r="Q29" s="167" t="n">
        <f aca="false">IFERROR(H29/P29,"-")</f>
        <v>1.00805955122443</v>
      </c>
      <c r="R29" s="166" t="n">
        <f aca="false">H29-P29</f>
        <v>1960.13999999998</v>
      </c>
    </row>
    <row r="30" customFormat="false" ht="14.25" hidden="false" customHeight="true" outlineLevel="0" collapsed="false">
      <c r="A30" s="169" t="n">
        <v>29</v>
      </c>
      <c r="B30" s="85" t="s">
        <v>158</v>
      </c>
      <c r="C30" s="218" t="s">
        <v>79</v>
      </c>
      <c r="D30" s="166" t="s">
        <v>80</v>
      </c>
      <c r="E30" s="26" t="s">
        <v>81</v>
      </c>
      <c r="F30" s="158" t="n">
        <f aca="false">ינואר!E30+פברואר!E30+מרץ!E30+אפריל!E30+מאי!E30+יוני!E30+יולי!F30</f>
        <v>49617.59</v>
      </c>
      <c r="G30" s="158" t="n">
        <f aca="false">ינואר!F30+פברואר!F30+מרץ!F30+אפריל!F30+מאי!F30+יוני!F30+יולי!G30</f>
        <v>32010.18</v>
      </c>
      <c r="H30" s="158" t="n">
        <f aca="false">ינואר!G30+פברואר!G30+מרץ!G30+אפריל!G30+מאי!G30+יוני!G30+יולי!H30</f>
        <v>43116.44</v>
      </c>
      <c r="I30" s="167" t="n">
        <f aca="false">IFERROR(H30/G30-1,"-")</f>
        <v>0.346960248271019</v>
      </c>
      <c r="J30" s="158" t="n">
        <f aca="false">H30-G30</f>
        <v>11106.26</v>
      </c>
      <c r="L30" s="166" t="n">
        <f aca="false">ינואר!J30+פברואר!J30+מרץ!J30+אפריל!J30+מאי!J30+יוני!J30+יולי!M30</f>
        <v>35000</v>
      </c>
      <c r="M30" s="190" t="n">
        <f aca="false">IFERROR(H30/L30,"-")</f>
        <v>1.23189828571429</v>
      </c>
      <c r="N30" s="166" t="n">
        <f aca="false">H30-L30</f>
        <v>8116.44</v>
      </c>
      <c r="P30" s="166" t="n">
        <v>43116.44</v>
      </c>
      <c r="Q30" s="167" t="n">
        <f aca="false">IFERROR(H30/P30,"-")</f>
        <v>1</v>
      </c>
      <c r="R30" s="166" t="n">
        <f aca="false">H30-P30</f>
        <v>0</v>
      </c>
    </row>
    <row r="31" customFormat="false" ht="14.25" hidden="false" customHeight="true" outlineLevel="0" collapsed="false">
      <c r="A31" s="169" t="n">
        <v>30</v>
      </c>
      <c r="B31" s="85" t="s">
        <v>152</v>
      </c>
      <c r="C31" s="218" t="s">
        <v>82</v>
      </c>
      <c r="D31" s="166" t="s">
        <v>83</v>
      </c>
      <c r="E31" s="26" t="s">
        <v>81</v>
      </c>
      <c r="F31" s="158" t="n">
        <f aca="false">ינואר!E31+פברואר!E31+מרץ!E31+אפריל!E31+מאי!E31+יוני!E31+יולי!F31</f>
        <v>20354.79</v>
      </c>
      <c r="G31" s="158" t="n">
        <f aca="false">ינואר!F31+פברואר!F31+מרץ!F31+אפריל!F31+מאי!F31+יוני!F31+יולי!G31</f>
        <v>38733.3</v>
      </c>
      <c r="H31" s="158" t="n">
        <f aca="false">ינואר!G31+פברואר!G31+מרץ!G31+אפריל!G31+מאי!G31+יוני!G31+יולי!H31</f>
        <v>17809.5</v>
      </c>
      <c r="I31" s="167" t="n">
        <f aca="false">IFERROR(H31/G31-1,"-")</f>
        <v>-0.540201841826026</v>
      </c>
      <c r="J31" s="158" t="n">
        <f aca="false">H31-G31</f>
        <v>-20923.8</v>
      </c>
      <c r="L31" s="166" t="n">
        <f aca="false">ינואר!J31+פברואר!J31+מרץ!J31+אפריל!J31+מאי!J31+יוני!J31+יולי!M31</f>
        <v>40000</v>
      </c>
      <c r="M31" s="190" t="n">
        <f aca="false">IFERROR(H31/L31,"-")</f>
        <v>0.4452375</v>
      </c>
      <c r="N31" s="166" t="n">
        <f aca="false">H31-L31</f>
        <v>-22190.5</v>
      </c>
      <c r="P31" s="166" t="n">
        <v>17809.5</v>
      </c>
      <c r="Q31" s="167" t="n">
        <f aca="false">IFERROR(H31/P31,"-")</f>
        <v>1</v>
      </c>
      <c r="R31" s="166" t="n">
        <f aca="false">H31-P31</f>
        <v>0</v>
      </c>
    </row>
    <row r="32" customFormat="false" ht="13.5" hidden="false" customHeight="true" outlineLevel="0" collapsed="false">
      <c r="A32" s="169" t="n">
        <v>31</v>
      </c>
      <c r="B32" s="85" t="s">
        <v>84</v>
      </c>
      <c r="C32" s="219" t="s">
        <v>84</v>
      </c>
      <c r="D32" s="166" t="s">
        <v>85</v>
      </c>
      <c r="E32" s="26" t="s">
        <v>86</v>
      </c>
      <c r="F32" s="158" t="n">
        <f aca="false">ינואר!E32+פברואר!E32+מרץ!E32+אפריל!E32+מאי!E32+יוני!E32+יולי!F32</f>
        <v>0</v>
      </c>
      <c r="G32" s="158" t="n">
        <f aca="false">ינואר!F32+פברואר!F32+מרץ!F32+אפריל!F32+מאי!F32+יוני!F32+יולי!G32</f>
        <v>31584.08</v>
      </c>
      <c r="H32" s="158" t="n">
        <f aca="false">ינואר!G32+פברואר!G32+מרץ!G32+אפריל!G32+מאי!G32+יוני!G32+יולי!H32</f>
        <v>0</v>
      </c>
      <c r="I32" s="167" t="n">
        <f aca="false">IFERROR(H32/G32-1,"-")</f>
        <v>-1</v>
      </c>
      <c r="J32" s="158" t="n">
        <f aca="false">H32-G32</f>
        <v>-31584.08</v>
      </c>
      <c r="L32" s="166" t="n">
        <f aca="false">ינואר!J32+פברואר!J32+מרץ!J32+אפריל!J32+מאי!J32+יוני!J32+יולי!M32</f>
        <v>36000</v>
      </c>
      <c r="M32" s="190" t="n">
        <f aca="false">IFERROR(H32/L32,"-")</f>
        <v>0</v>
      </c>
      <c r="N32" s="166" t="n">
        <f aca="false">H32-L32</f>
        <v>-36000</v>
      </c>
      <c r="P32" s="166" t="n">
        <v>0</v>
      </c>
      <c r="Q32" s="167" t="str">
        <f aca="false">IFERROR(H32/P32,"-")</f>
        <v>-</v>
      </c>
      <c r="R32" s="166" t="n">
        <f aca="false">H32-P32</f>
        <v>0</v>
      </c>
    </row>
    <row r="33" customFormat="false" ht="13.5" hidden="false" customHeight="true" outlineLevel="0" collapsed="false">
      <c r="A33" s="169"/>
      <c r="C33" s="218"/>
      <c r="D33" s="166" t="s">
        <v>171</v>
      </c>
      <c r="E33" s="26" t="s">
        <v>172</v>
      </c>
      <c r="F33" s="158" t="n">
        <f aca="false">ינואר!E33+פברואר!E33+מרץ!E33+אפריל!E33+מאי!E33+יוני!E33+יולי!F33</f>
        <v>0</v>
      </c>
      <c r="G33" s="158" t="n">
        <f aca="false">ינואר!F33+פברואר!F33+מרץ!F33+אפריל!F33+מאי!F33+יוני!F33+יולי!G33</f>
        <v>0</v>
      </c>
      <c r="H33" s="158" t="n">
        <f aca="false">ינואר!G33+פברואר!G33+מרץ!G33+אפריל!G33+מאי!G33+יוני!G33+יולי!H33</f>
        <v>0</v>
      </c>
      <c r="I33" s="167" t="str">
        <f aca="false">IFERROR(H33/G33-1,"-")</f>
        <v>-</v>
      </c>
      <c r="J33" s="158" t="n">
        <f aca="false">H33-G33</f>
        <v>0</v>
      </c>
      <c r="L33" s="166" t="n">
        <f aca="false">ינואר!J33+פברואר!J33+מרץ!J33+אפריל!J33+מאי!J33+יוני!J33+יולי!M33</f>
        <v>0</v>
      </c>
      <c r="M33" s="190" t="str">
        <f aca="false">IFERROR(H33/L33,"-")</f>
        <v>-</v>
      </c>
      <c r="N33" s="166" t="n">
        <f aca="false">H33-L33</f>
        <v>0</v>
      </c>
      <c r="P33" s="166" t="n">
        <v>0</v>
      </c>
      <c r="Q33" s="167" t="str">
        <f aca="false">IFERROR(H33/P33,"-")</f>
        <v>-</v>
      </c>
      <c r="R33" s="166" t="n">
        <f aca="false">H33-P33</f>
        <v>0</v>
      </c>
    </row>
    <row r="34" customFormat="false" ht="13.5" hidden="false" customHeight="true" outlineLevel="0" collapsed="false">
      <c r="A34" s="169" t="n">
        <v>32</v>
      </c>
      <c r="B34" s="85" t="s">
        <v>161</v>
      </c>
      <c r="C34" s="218" t="s">
        <v>87</v>
      </c>
      <c r="D34" s="166" t="s">
        <v>88</v>
      </c>
      <c r="E34" s="26" t="s">
        <v>89</v>
      </c>
      <c r="F34" s="158" t="n">
        <f aca="false">ינואר!E34+פברואר!E34+מרץ!E34+אפריל!E34+מאי!E34+יוני!E34+יולי!F34</f>
        <v>33839.24</v>
      </c>
      <c r="G34" s="158" t="n">
        <f aca="false">ינואר!F34+פברואר!F34+מרץ!F34+אפריל!F34+מאי!F34+יוני!F34+יולי!G34</f>
        <v>39713.57</v>
      </c>
      <c r="H34" s="158" t="n">
        <f aca="false">ינואר!G34+פברואר!G34+מרץ!G34+אפריל!G34+מאי!G34+יוני!G34+יולי!H34</f>
        <v>18792.66</v>
      </c>
      <c r="I34" s="167" t="n">
        <f aca="false">IFERROR(H34/G34-1,"-")</f>
        <v>-0.52679499727675</v>
      </c>
      <c r="J34" s="158" t="n">
        <f aca="false">H34-G34</f>
        <v>-20920.91</v>
      </c>
      <c r="L34" s="166" t="n">
        <f aca="false">ינואר!J34+פברואר!J34+מרץ!J34+אפריל!J34+מאי!J34+יוני!J34+יולי!M34</f>
        <v>40000</v>
      </c>
      <c r="M34" s="190" t="n">
        <f aca="false">IFERROR(H34/L34,"-")</f>
        <v>0.4698165</v>
      </c>
      <c r="N34" s="166" t="n">
        <f aca="false">H34-L34</f>
        <v>-21207.34</v>
      </c>
      <c r="P34" s="166" t="n">
        <v>18792.66</v>
      </c>
      <c r="Q34" s="167" t="n">
        <f aca="false">IFERROR(H34/P34,"-")</f>
        <v>1</v>
      </c>
      <c r="R34" s="166" t="n">
        <f aca="false">H34-P34</f>
        <v>0</v>
      </c>
    </row>
    <row r="35" customFormat="false" ht="13.5" hidden="false" customHeight="true" outlineLevel="0" collapsed="false">
      <c r="A35" s="169" t="n">
        <v>33</v>
      </c>
      <c r="B35" s="85" t="s">
        <v>160</v>
      </c>
      <c r="C35" s="218" t="s">
        <v>90</v>
      </c>
      <c r="D35" s="166" t="s">
        <v>91</v>
      </c>
      <c r="E35" s="26" t="s">
        <v>92</v>
      </c>
      <c r="F35" s="158" t="n">
        <f aca="false">ינואר!E35+פברואר!E35+מרץ!E35+אפריל!E35+מאי!E35+יוני!E35+יולי!F35</f>
        <v>34034.18</v>
      </c>
      <c r="G35" s="158" t="n">
        <f aca="false">ינואר!F35+פברואר!F35+מרץ!F35+אפריל!F35+מאי!F35+יוני!F35+יולי!G35</f>
        <v>30531.53</v>
      </c>
      <c r="H35" s="158" t="n">
        <f aca="false">ינואר!G35+פברואר!G35+מרץ!G35+אפריל!G35+מאי!G35+יוני!G35+יולי!H35</f>
        <v>0</v>
      </c>
      <c r="I35" s="167" t="n">
        <f aca="false">IFERROR(H35/G35-1,"-")</f>
        <v>-1</v>
      </c>
      <c r="J35" s="158" t="n">
        <f aca="false">H35-G35</f>
        <v>-30531.53</v>
      </c>
      <c r="L35" s="166" t="n">
        <f aca="false">ינואר!J35+פברואר!J35+מרץ!J35+אפריל!J35+מאי!J35+יוני!J35+יולי!M35</f>
        <v>40000</v>
      </c>
      <c r="M35" s="190" t="n">
        <f aca="false">IFERROR(H35/L35,"-")</f>
        <v>0</v>
      </c>
      <c r="N35" s="166" t="n">
        <f aca="false">H35-L35</f>
        <v>-40000</v>
      </c>
      <c r="P35" s="166" t="n">
        <v>0</v>
      </c>
      <c r="Q35" s="167" t="str">
        <f aca="false">IFERROR(H35/P35,"-")</f>
        <v>-</v>
      </c>
      <c r="R35" s="166" t="n">
        <f aca="false">H35-P35</f>
        <v>0</v>
      </c>
    </row>
    <row r="36" customFormat="false" ht="14.25" hidden="false" customHeight="true" outlineLevel="0" collapsed="false">
      <c r="A36" s="169"/>
      <c r="B36" s="85" t="s">
        <v>166</v>
      </c>
      <c r="C36" s="219" t="s">
        <v>166</v>
      </c>
      <c r="D36" s="166" t="s">
        <v>173</v>
      </c>
      <c r="E36" s="26" t="s">
        <v>78</v>
      </c>
      <c r="F36" s="158" t="n">
        <f aca="false">ינואר!E36+פברואר!E36+מרץ!E36+אפריל!E36+מאי!E36+יוני!E36+יולי!F36</f>
        <v>41531.96</v>
      </c>
      <c r="G36" s="158" t="n">
        <f aca="false">ינואר!F36+פברואר!F36+מרץ!F36+אפריל!F36+מאי!F36+יוני!F36+יולי!G36</f>
        <v>0</v>
      </c>
      <c r="H36" s="158" t="n">
        <f aca="false">ינואר!G36+פברואר!G36+מרץ!G36+אפריל!G36+מאי!G36+יוני!G36+יולי!H36</f>
        <v>0</v>
      </c>
      <c r="I36" s="167" t="str">
        <f aca="false">IFERROR(H36/G36-1,"-")</f>
        <v>-</v>
      </c>
      <c r="J36" s="158" t="n">
        <f aca="false">H36-G36</f>
        <v>0</v>
      </c>
      <c r="L36" s="166" t="n">
        <f aca="false">ינואר!J36+פברואר!J36+מרץ!J36+אפריל!J36+מאי!J36+יוני!J36+יולי!M36</f>
        <v>0</v>
      </c>
      <c r="M36" s="190" t="str">
        <f aca="false">IFERROR(H36/L36,"-")</f>
        <v>-</v>
      </c>
      <c r="N36" s="166" t="n">
        <f aca="false">H36-L36</f>
        <v>0</v>
      </c>
      <c r="P36" s="166" t="n">
        <v>0</v>
      </c>
      <c r="Q36" s="167" t="str">
        <f aca="false">IFERROR(H36/P36,"-")</f>
        <v>-</v>
      </c>
      <c r="R36" s="166" t="n">
        <f aca="false">H36-P36</f>
        <v>0</v>
      </c>
    </row>
    <row r="37" customFormat="false" ht="14.25" hidden="false" customHeight="true" outlineLevel="0" collapsed="false">
      <c r="A37" s="169" t="n">
        <v>34</v>
      </c>
      <c r="B37" s="85" t="s">
        <v>165</v>
      </c>
      <c r="C37" s="219" t="s">
        <v>165</v>
      </c>
      <c r="D37" s="166" t="s">
        <v>93</v>
      </c>
      <c r="E37" s="26" t="s">
        <v>174</v>
      </c>
      <c r="F37" s="158" t="n">
        <f aca="false">ינואר!E37+פברואר!E37+מרץ!E37+אפריל!E37+מאי!E37+יוני!E37+יולי!F37</f>
        <v>22310.96</v>
      </c>
      <c r="G37" s="158" t="n">
        <f aca="false">ינואר!F37+פברואר!F37+מרץ!F37+אפריל!F37+מאי!F37+יוני!F37+יולי!G37</f>
        <v>0</v>
      </c>
      <c r="H37" s="158" t="n">
        <f aca="false">ינואר!G37+פברואר!G37+מרץ!G37+אפריל!G37+מאי!G37+יוני!G37+יולי!H37</f>
        <v>0</v>
      </c>
      <c r="I37" s="167" t="str">
        <f aca="false">IFERROR(H37/G37-1,"-")</f>
        <v>-</v>
      </c>
      <c r="J37" s="158" t="n">
        <f aca="false">H37-G37</f>
        <v>0</v>
      </c>
      <c r="L37" s="166" t="n">
        <f aca="false">ינואר!J37+פברואר!J37+מרץ!J37+אפריל!J37+מאי!J37+יוני!J37+יולי!M37</f>
        <v>0</v>
      </c>
      <c r="M37" s="190" t="str">
        <f aca="false">IFERROR(H37/L37,"-")</f>
        <v>-</v>
      </c>
      <c r="N37" s="166" t="n">
        <f aca="false">H37-L37</f>
        <v>0</v>
      </c>
      <c r="P37" s="166" t="n">
        <v>0</v>
      </c>
      <c r="Q37" s="167" t="str">
        <f aca="false">IFERROR(H37/P37,"-")</f>
        <v>-</v>
      </c>
      <c r="R37" s="166" t="n">
        <f aca="false">H37-P37</f>
        <v>0</v>
      </c>
    </row>
    <row r="38" customFormat="false" ht="13.5" hidden="false" customHeight="true" outlineLevel="0" collapsed="false">
      <c r="A38" s="169" t="n">
        <v>35</v>
      </c>
      <c r="B38" s="85" t="s">
        <v>94</v>
      </c>
      <c r="C38" s="219" t="s">
        <v>94</v>
      </c>
      <c r="D38" s="166" t="s">
        <v>95</v>
      </c>
      <c r="E38" s="26" t="s">
        <v>51</v>
      </c>
      <c r="F38" s="158" t="n">
        <f aca="false">ינואר!E38+פברואר!E38+מרץ!E38+אפריל!E38+מאי!E38+יוני!E38+יולי!F38</f>
        <v>0</v>
      </c>
      <c r="G38" s="158" t="n">
        <f aca="false">ינואר!F38+פברואר!F38+מרץ!F38+אפריל!F38+מאי!F38+יוני!F38+יולי!G38</f>
        <v>248.59</v>
      </c>
      <c r="H38" s="158" t="n">
        <f aca="false">ינואר!G38+פברואר!G38+מרץ!G38+אפריל!G38+מאי!G38+יוני!G38+יולי!H38</f>
        <v>0</v>
      </c>
      <c r="I38" s="167" t="n">
        <f aca="false">IFERROR(H38/G38-1,"-")</f>
        <v>-1</v>
      </c>
      <c r="J38" s="158" t="n">
        <f aca="false">H38-G38</f>
        <v>-248.59</v>
      </c>
      <c r="L38" s="166" t="n">
        <f aca="false">ינואר!J38+פברואר!J38+מרץ!J38+אפריל!J38+מאי!J38+יוני!J38+יולי!M38</f>
        <v>200000</v>
      </c>
      <c r="M38" s="190" t="n">
        <f aca="false">IFERROR(H38/L38,"-")</f>
        <v>0</v>
      </c>
      <c r="N38" s="166" t="n">
        <f aca="false">H38-L38</f>
        <v>-200000</v>
      </c>
      <c r="P38" s="166" t="n">
        <v>0</v>
      </c>
      <c r="Q38" s="167" t="str">
        <f aca="false">IFERROR(H38/P38,"-")</f>
        <v>-</v>
      </c>
      <c r="R38" s="166" t="n">
        <f aca="false">H38-P38</f>
        <v>0</v>
      </c>
    </row>
    <row r="39" customFormat="false" ht="13.5" hidden="false" customHeight="true" outlineLevel="0" collapsed="false">
      <c r="A39" s="169" t="n">
        <v>36</v>
      </c>
      <c r="C39" s="219" t="s">
        <v>97</v>
      </c>
      <c r="D39" s="166" t="s">
        <v>97</v>
      </c>
      <c r="E39" s="26"/>
      <c r="F39" s="158" t="n">
        <f aca="false">ינואר!E39+פברואר!E39+מרץ!E39+אפריל!E39+מאי!E39+יוני!E39+יולי!F39</f>
        <v>0</v>
      </c>
      <c r="G39" s="158" t="n">
        <f aca="false">ינואר!F39+פברואר!F39+מרץ!F39+אפריל!F39+מאי!F39+יוני!F39+יולי!G39</f>
        <v>0</v>
      </c>
      <c r="H39" s="158" t="n">
        <f aca="false">ינואר!G39+פברואר!G39+מרץ!G39+אפריל!G39+מאי!G39+יוני!G39+יולי!H39</f>
        <v>0</v>
      </c>
      <c r="I39" s="167" t="str">
        <f aca="false">IFERROR(H39/G39-1,"-")</f>
        <v>-</v>
      </c>
      <c r="J39" s="158" t="n">
        <f aca="false">H39-G39</f>
        <v>0</v>
      </c>
      <c r="L39" s="166" t="n">
        <f aca="false">ינואר!J39+פברואר!J39+מרץ!J39+אפריל!J39+מאי!J39+יוני!J39+יולי!M39</f>
        <v>200000</v>
      </c>
      <c r="M39" s="190" t="n">
        <f aca="false">IFERROR(H39/L39,"-")</f>
        <v>0</v>
      </c>
      <c r="N39" s="166" t="n">
        <f aca="false">H39-L39</f>
        <v>-200000</v>
      </c>
      <c r="P39" s="166" t="n">
        <v>0</v>
      </c>
      <c r="Q39" s="167" t="str">
        <f aca="false">IFERROR(H39/P39,"-")</f>
        <v>-</v>
      </c>
      <c r="R39" s="166" t="n">
        <f aca="false">H39-P39</f>
        <v>0</v>
      </c>
    </row>
    <row r="40" s="216" customFormat="true" ht="15" hidden="false" customHeight="true" outlineLevel="0" collapsed="false">
      <c r="A40" s="169"/>
      <c r="C40" s="220" t="s">
        <v>98</v>
      </c>
      <c r="D40" s="173" t="s">
        <v>98</v>
      </c>
      <c r="E40" s="173"/>
      <c r="F40" s="173" t="n">
        <f aca="false">SUM(F20:F39)</f>
        <v>4785399.36</v>
      </c>
      <c r="G40" s="173" t="n">
        <f aca="false">SUM(G20:G39)</f>
        <v>3466928.4</v>
      </c>
      <c r="H40" s="173" t="n">
        <f aca="false">SUM(H20:H39)</f>
        <v>3308027.67</v>
      </c>
      <c r="I40" s="174" t="n">
        <f aca="false">IFERROR(H40/G40-1,"-")</f>
        <v>-0.0458332886251703</v>
      </c>
      <c r="J40" s="173" t="n">
        <f aca="false">SUM(J20:J39)</f>
        <v>-158900.73</v>
      </c>
      <c r="L40" s="173" t="n">
        <f aca="false">SUM(L20:L39)</f>
        <v>5270017.5894125</v>
      </c>
      <c r="M40" s="174" t="n">
        <f aca="false">IFERROR(H40/L40,"-")</f>
        <v>0.627707140227738</v>
      </c>
      <c r="N40" s="173" t="n">
        <f aca="false">SUM(N20:N39)</f>
        <v>-1961989.9194125</v>
      </c>
      <c r="P40" s="173" t="n">
        <f aca="false">SUM(P20:P39)</f>
        <v>3367180.64</v>
      </c>
      <c r="Q40" s="174" t="n">
        <f aca="false">IFERROR(H40/P40,"-")</f>
        <v>0.982432492840657</v>
      </c>
      <c r="R40" s="173" t="n">
        <f aca="false">H40-P40</f>
        <v>-59152.9700000002</v>
      </c>
    </row>
    <row r="41" s="216" customFormat="true" ht="15.75" hidden="false" customHeight="true" outlineLevel="0" collapsed="false">
      <c r="A41" s="169"/>
      <c r="C41" s="221" t="s">
        <v>175</v>
      </c>
      <c r="D41" s="175" t="s">
        <v>175</v>
      </c>
      <c r="E41" s="175"/>
      <c r="F41" s="175" t="n">
        <f aca="false">F40+F19</f>
        <v>15042129.82</v>
      </c>
      <c r="G41" s="175" t="n">
        <f aca="false">G40+G19</f>
        <v>14136255.992</v>
      </c>
      <c r="H41" s="175" t="n">
        <f aca="false">H40+H19</f>
        <v>14857979.093</v>
      </c>
      <c r="I41" s="147" t="n">
        <f aca="false">IFERROR(H41/G41-1,"-")</f>
        <v>0.0510547560406678</v>
      </c>
      <c r="J41" s="175" t="n">
        <f aca="false">J40+J19</f>
        <v>721723.100999991</v>
      </c>
      <c r="L41" s="175" t="n">
        <f aca="false">L40+L19</f>
        <v>21232338.9879342</v>
      </c>
      <c r="M41" s="147" t="n">
        <f aca="false">IFERROR(H41/L41,"-")</f>
        <v>0.699780608318446</v>
      </c>
      <c r="N41" s="175" t="n">
        <f aca="false">N40+N19</f>
        <v>-6374359.89493413</v>
      </c>
      <c r="P41" s="175" t="n">
        <f aca="false">P40+P19</f>
        <v>15337774.907</v>
      </c>
      <c r="Q41" s="147" t="n">
        <f aca="false">IFERROR(H41/P41,"-")</f>
        <v>0.96871803003309</v>
      </c>
      <c r="R41" s="175" t="n">
        <f aca="false">H41-P41</f>
        <v>-479795.814000003</v>
      </c>
    </row>
    <row r="42" s="216" customFormat="true" ht="15.75" hidden="false" customHeight="true" outlineLevel="0" collapsed="false">
      <c r="C42" s="222" t="s">
        <v>121</v>
      </c>
      <c r="D42" s="176" t="s">
        <v>121</v>
      </c>
      <c r="E42" s="223"/>
      <c r="F42" s="177" t="n">
        <f aca="false">F40/F41</f>
        <v>0.31813309798971</v>
      </c>
      <c r="G42" s="177" t="n">
        <f aca="false">G40/G41</f>
        <v>0.245250821855659</v>
      </c>
      <c r="H42" s="177" t="n">
        <f aca="false">H40/H41</f>
        <v>0.222643177062922</v>
      </c>
      <c r="I42" s="177"/>
      <c r="J42" s="177"/>
      <c r="L42" s="224" t="n">
        <f aca="false">L40-ינואר!J40-פברואר!J40-מרץ!J40-אפריל!J40-מאי!J40-יוני!J40-יולי!M40</f>
        <v>0</v>
      </c>
      <c r="M42" s="225"/>
      <c r="N42" s="224"/>
      <c r="P42" s="177" t="n">
        <f aca="false">P40/P41</f>
        <v>0.219535145118295</v>
      </c>
      <c r="Q42" s="177"/>
      <c r="R42" s="177" t="n">
        <f aca="false">H42-P42</f>
        <v>0.00310803194462678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2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R16" activeCellId="0" sqref="R16"/>
    </sheetView>
  </sheetViews>
  <sheetFormatPr defaultColWidth="8.6171875" defaultRowHeight="14.25" zeroHeight="false" outlineLevelRow="1" outlineLevelCol="0"/>
  <cols>
    <col collapsed="false" customWidth="true" hidden="false" outlineLevel="0" max="1" min="1" style="1" width="2.88"/>
    <col collapsed="false" customWidth="true" hidden="true" outlineLevel="0" max="2" min="2" style="1" width="31"/>
    <col collapsed="false" customWidth="true" hidden="true" outlineLevel="0" max="3" min="3" style="179" width="26"/>
    <col collapsed="false" customWidth="true" hidden="false" outlineLevel="0" max="4" min="4" style="179" width="26"/>
    <col collapsed="false" customWidth="true" hidden="true" outlineLevel="0" max="5" min="5" style="1" width="13.38"/>
    <col collapsed="false" customWidth="true" hidden="true" outlineLevel="0" max="7" min="6" style="1" width="9.87"/>
    <col collapsed="false" customWidth="true" hidden="false" outlineLevel="0" max="8" min="8" style="1" width="10.38"/>
    <col collapsed="false" customWidth="true" hidden="false" outlineLevel="0" max="9" min="9" style="1" width="6.88"/>
    <col collapsed="false" customWidth="true" hidden="false" outlineLevel="0" max="10" min="10" style="111" width="10.75"/>
    <col collapsed="false" customWidth="true" hidden="false" outlineLevel="0" max="11" min="11" style="1" width="11.88"/>
    <col collapsed="false" customWidth="true" hidden="false" outlineLevel="0" max="12" min="12" style="1" width="4.25"/>
    <col collapsed="false" customWidth="true" hidden="false" outlineLevel="0" max="13" min="13" style="1" width="10.38"/>
    <col collapsed="false" customWidth="true" hidden="true" outlineLevel="0" max="14" min="14" style="1" width="11"/>
    <col collapsed="false" customWidth="true" hidden="false" outlineLevel="0" max="15" min="15" style="1" width="7.62"/>
    <col collapsed="false" customWidth="true" hidden="false" outlineLevel="0" max="16" min="16" style="1" width="11"/>
    <col collapsed="false" customWidth="true" hidden="false" outlineLevel="0" max="17" min="17" style="1" width="3"/>
    <col collapsed="false" customWidth="true" hidden="false" outlineLevel="0" max="18" min="18" style="1" width="10.38"/>
    <col collapsed="false" customWidth="true" hidden="true" outlineLevel="0" max="19" min="19" style="1" width="10.88"/>
    <col collapsed="false" customWidth="true" hidden="false" outlineLevel="0" max="20" min="20" style="1" width="7.62"/>
    <col collapsed="false" customWidth="true" hidden="false" outlineLevel="0" max="21" min="21" style="1" width="13"/>
    <col collapsed="false" customWidth="true" hidden="false" outlineLevel="0" max="22" min="22" style="1" width="3.5"/>
    <col collapsed="false" customWidth="true" hidden="false" outlineLevel="0" max="23" min="23" style="1" width="10.38"/>
    <col collapsed="false" customWidth="true" hidden="false" outlineLevel="0" max="24" min="24" style="1" width="10.5"/>
    <col collapsed="false" customWidth="true" hidden="false" outlineLevel="0" max="25" min="25" style="180" width="9"/>
  </cols>
  <sheetData>
    <row r="1" customFormat="false" ht="15.75" hidden="false" customHeight="true" outlineLevel="0" collapsed="false">
      <c r="C1" s="181" t="s">
        <v>221</v>
      </c>
      <c r="D1" s="181" t="s">
        <v>221</v>
      </c>
      <c r="E1" s="7"/>
      <c r="F1" s="7"/>
      <c r="G1" s="7"/>
      <c r="H1" s="7"/>
      <c r="I1" s="7"/>
      <c r="J1" s="214"/>
      <c r="K1" s="7"/>
      <c r="M1" s="7"/>
      <c r="N1" s="7"/>
      <c r="O1" s="7"/>
      <c r="P1" s="7"/>
      <c r="R1" s="7"/>
      <c r="S1" s="7"/>
      <c r="T1" s="7"/>
      <c r="U1" s="7"/>
      <c r="W1" s="7"/>
    </row>
    <row r="2" customFormat="false" ht="15" hidden="false" customHeight="true" outlineLevel="0" collapsed="false">
      <c r="A2" s="161" t="s">
        <v>2</v>
      </c>
      <c r="C2" s="38"/>
      <c r="D2" s="38"/>
      <c r="E2" s="163" t="s">
        <v>3</v>
      </c>
      <c r="F2" s="163" t="n">
        <v>8.2024</v>
      </c>
      <c r="G2" s="163" t="n">
        <v>8.2025</v>
      </c>
      <c r="H2" s="163" t="n">
        <v>8.2026</v>
      </c>
      <c r="I2" s="185" t="s">
        <v>211</v>
      </c>
      <c r="J2" s="164" t="s">
        <v>168</v>
      </c>
      <c r="K2" s="163" t="s">
        <v>169</v>
      </c>
      <c r="M2" s="163" t="s">
        <v>170</v>
      </c>
      <c r="N2" s="185" t="s">
        <v>114</v>
      </c>
      <c r="O2" s="185" t="s">
        <v>212</v>
      </c>
      <c r="P2" s="163" t="s">
        <v>115</v>
      </c>
      <c r="R2" s="186" t="s">
        <v>1</v>
      </c>
      <c r="S2" s="185" t="s">
        <v>214</v>
      </c>
      <c r="T2" s="185" t="s">
        <v>212</v>
      </c>
      <c r="U2" s="162" t="s">
        <v>215</v>
      </c>
      <c r="V2" s="187"/>
      <c r="W2" s="162" t="n">
        <v>8.2026</v>
      </c>
      <c r="X2" s="187"/>
    </row>
    <row r="3" customFormat="false" ht="14.25" hidden="false" customHeight="true" outlineLevel="1" collapsed="false">
      <c r="A3" s="165" t="n">
        <v>5</v>
      </c>
      <c r="B3" s="85" t="s">
        <v>143</v>
      </c>
      <c r="C3" s="189" t="s">
        <v>31</v>
      </c>
      <c r="D3" s="189" t="s">
        <v>31</v>
      </c>
      <c r="E3" s="158" t="s">
        <v>32</v>
      </c>
      <c r="F3" s="158" t="n">
        <f aca="false">VLOOKUP(B3,'2024'!$A:$O,9,0)</f>
        <v>301190.6</v>
      </c>
      <c r="G3" s="158" t="n">
        <f aca="false">VLOOKUP($B3,'2025'!$A:$O,9,0)</f>
        <v>243929.1</v>
      </c>
      <c r="H3" s="158" t="n">
        <v>299421.55</v>
      </c>
      <c r="I3" s="190" t="n">
        <f aca="false">IFERROR(H3/$H$19,"")</f>
        <v>0.151648784594412</v>
      </c>
      <c r="J3" s="167" t="n">
        <f aca="false">IFERROR(H3/G3-1,"")</f>
        <v>0.227494177611445</v>
      </c>
      <c r="K3" s="158" t="n">
        <f aca="false">H3-G3</f>
        <v>55492.45</v>
      </c>
      <c r="M3" s="158" t="n">
        <f aca="false">VLOOKUP(C3,'תקציב  '!$B:$S,11,0)*1</f>
        <v>235079.365079365</v>
      </c>
      <c r="N3" s="190" t="n">
        <f aca="false">IFERROR(H3/M3-1,"-")</f>
        <v>0.273704095205942</v>
      </c>
      <c r="O3" s="190" t="n">
        <f aca="false">IFERROR(H3/M3,"-")</f>
        <v>1.27370409520594</v>
      </c>
      <c r="P3" s="158" t="n">
        <f aca="false">H3-M3</f>
        <v>64342.184920635</v>
      </c>
      <c r="R3" s="166" t="n">
        <v>200000</v>
      </c>
      <c r="S3" s="190" t="n">
        <f aca="false">IFERROR(H3/R3-1,"-")</f>
        <v>0.49710775</v>
      </c>
      <c r="T3" s="190" t="n">
        <f aca="false">IFERROR(H3/R3,"-")</f>
        <v>1.49710775</v>
      </c>
      <c r="U3" s="166" t="n">
        <f aca="false">H3-R3</f>
        <v>99421.55</v>
      </c>
      <c r="W3" s="158" t="n">
        <v>299421.55</v>
      </c>
      <c r="X3" s="5" t="n">
        <f aca="false">H3-W3</f>
        <v>0</v>
      </c>
      <c r="Y3" s="191" t="n">
        <f aca="false">IFERROR((H3/W3)-1,"-")</f>
        <v>0</v>
      </c>
    </row>
    <row r="4" customFormat="false" ht="14.25" hidden="false" customHeight="true" outlineLevel="1" collapsed="false">
      <c r="A4" s="168" t="n">
        <v>1</v>
      </c>
      <c r="B4" s="24" t="s">
        <v>33</v>
      </c>
      <c r="C4" s="189" t="s">
        <v>33</v>
      </c>
      <c r="D4" s="189" t="s">
        <v>33</v>
      </c>
      <c r="E4" s="158" t="s">
        <v>32</v>
      </c>
      <c r="F4" s="158" t="n">
        <f aca="false">VLOOKUP(C4,'2024'!$A:$O,9,0)</f>
        <v>429300.053</v>
      </c>
      <c r="G4" s="158" t="n">
        <f aca="false">VLOOKUP($B4,'2025'!$A:$O,9,0)</f>
        <v>495074.58</v>
      </c>
      <c r="H4" s="158" t="n">
        <v>588822.689</v>
      </c>
      <c r="I4" s="190" t="n">
        <f aca="false">IFERROR(H4/$H$19,"")</f>
        <v>0.298222506457747</v>
      </c>
      <c r="J4" s="167" t="n">
        <f aca="false">IFERROR(H4/G4-1,"")</f>
        <v>0.189361588712553</v>
      </c>
      <c r="K4" s="158" t="n">
        <f aca="false">H4-G4</f>
        <v>93748.109</v>
      </c>
      <c r="M4" s="158" t="n">
        <f aca="false">VLOOKUP(C4,'תקציב  '!$B:$S,11,0)*1</f>
        <v>605698.412698413</v>
      </c>
      <c r="N4" s="190" t="n">
        <f aca="false">IFERROR(H4/M4-1,"-")</f>
        <v>-0.0278615947220844</v>
      </c>
      <c r="O4" s="190" t="n">
        <f aca="false">IFERROR(H4/M4,"-")</f>
        <v>0.972138405277916</v>
      </c>
      <c r="P4" s="158" t="n">
        <f aca="false">H4-M4</f>
        <v>-16875.723698413</v>
      </c>
      <c r="R4" s="166" t="n">
        <v>550000</v>
      </c>
      <c r="S4" s="190" t="n">
        <f aca="false">IFERROR(H4/R4-1,"-")</f>
        <v>0.0705867072727273</v>
      </c>
      <c r="T4" s="190" t="n">
        <f aca="false">IFERROR(H4/R4,"-")</f>
        <v>1.07058670727273</v>
      </c>
      <c r="U4" s="166" t="n">
        <f aca="false">H4-R4</f>
        <v>38822.689</v>
      </c>
      <c r="W4" s="158" t="n">
        <v>546513.513</v>
      </c>
      <c r="X4" s="5" t="n">
        <f aca="false">H4-W4</f>
        <v>42309.176</v>
      </c>
      <c r="Y4" s="191" t="n">
        <f aca="false">IFERROR((H4/W4)-1,"-")</f>
        <v>0.0774165230933639</v>
      </c>
    </row>
    <row r="5" customFormat="false" ht="14.25" hidden="false" customHeight="true" outlineLevel="1" collapsed="false">
      <c r="A5" s="168" t="n">
        <v>7</v>
      </c>
      <c r="B5" s="24" t="s">
        <v>34</v>
      </c>
      <c r="C5" s="189" t="s">
        <v>34</v>
      </c>
      <c r="D5" s="189" t="s">
        <v>34</v>
      </c>
      <c r="E5" s="158" t="s">
        <v>32</v>
      </c>
      <c r="F5" s="158" t="n">
        <f aca="false">VLOOKUP(C5,'2024'!$A:$O,9,0)</f>
        <v>96254.067</v>
      </c>
      <c r="G5" s="158" t="n">
        <f aca="false">VLOOKUP($B5,'2025'!$A:$O,9,0)</f>
        <v>73631.74</v>
      </c>
      <c r="H5" s="158" t="n">
        <v>70518.812</v>
      </c>
      <c r="I5" s="190" t="n">
        <f aca="false">IFERROR(H5/$H$19,"")</f>
        <v>0.0357158398613656</v>
      </c>
      <c r="J5" s="167" t="n">
        <f aca="false">IFERROR(H5/G5-1,"")</f>
        <v>-0.0422769854413327</v>
      </c>
      <c r="K5" s="158" t="n">
        <f aca="false">H5-G5</f>
        <v>-3112.928</v>
      </c>
      <c r="M5" s="158" t="n">
        <f aca="false">VLOOKUP(C5,'תקציב  '!$B:$S,11,0)*1</f>
        <v>78571.4285714286</v>
      </c>
      <c r="N5" s="190" t="n">
        <f aca="false">IFERROR(H5/M5-1,"-")</f>
        <v>-0.102487847272727</v>
      </c>
      <c r="O5" s="190" t="n">
        <f aca="false">IFERROR(H5/M5,"-")</f>
        <v>0.897512152727273</v>
      </c>
      <c r="P5" s="158" t="n">
        <f aca="false">H5-M5</f>
        <v>-8052.61657142859</v>
      </c>
      <c r="R5" s="166" t="n">
        <v>100000</v>
      </c>
      <c r="S5" s="190" t="n">
        <f aca="false">IFERROR(H5/R5-1,"-")</f>
        <v>-0.29481188</v>
      </c>
      <c r="T5" s="190" t="n">
        <f aca="false">IFERROR(H5/R5,"-")</f>
        <v>0.70518812</v>
      </c>
      <c r="U5" s="166" t="n">
        <f aca="false">H5-R5</f>
        <v>-29481.188</v>
      </c>
      <c r="W5" s="158" t="n">
        <v>67219.624</v>
      </c>
      <c r="X5" s="5" t="n">
        <f aca="false">H5-W5</f>
        <v>3299.18800000001</v>
      </c>
      <c r="Y5" s="191" t="n">
        <f aca="false">IFERROR((H5/W5)-1,"-")</f>
        <v>0.0490807267830002</v>
      </c>
    </row>
    <row r="6" customFormat="false" ht="14.25" hidden="false" customHeight="true" outlineLevel="1" collapsed="false">
      <c r="A6" s="168" t="n">
        <v>4</v>
      </c>
      <c r="B6" s="24" t="s">
        <v>35</v>
      </c>
      <c r="C6" s="189" t="s">
        <v>35</v>
      </c>
      <c r="D6" s="189" t="s">
        <v>35</v>
      </c>
      <c r="E6" s="158" t="s">
        <v>32</v>
      </c>
      <c r="F6" s="158" t="n">
        <f aca="false">VLOOKUP(C6,'2024'!$A:$O,9,0)</f>
        <v>112372.337</v>
      </c>
      <c r="G6" s="158" t="n">
        <f aca="false">VLOOKUP($B6,'2025'!$A:$O,9,0)</f>
        <v>179847.32</v>
      </c>
      <c r="H6" s="158" t="n">
        <v>160218.084</v>
      </c>
      <c r="I6" s="190" t="n">
        <f aca="false">IFERROR(H6/$H$19,"")</f>
        <v>0.0811460554814625</v>
      </c>
      <c r="J6" s="167" t="n">
        <f aca="false">IFERROR(H6/G6-1,"")</f>
        <v>-0.109143889383506</v>
      </c>
      <c r="K6" s="158" t="n">
        <f aca="false">H6-G6</f>
        <v>-19629.236</v>
      </c>
      <c r="M6" s="158" t="n">
        <f aca="false">VLOOKUP(B6,'תקציב  '!$B:$S,11,0)*1</f>
        <v>170873.015873016</v>
      </c>
      <c r="N6" s="190" t="n">
        <f aca="false">IFERROR(H6/M6-1,"-")</f>
        <v>-0.0623558483975855</v>
      </c>
      <c r="O6" s="190" t="n">
        <f aca="false">IFERROR(H6/M6,"-")</f>
        <v>0.937644151602415</v>
      </c>
      <c r="P6" s="158" t="n">
        <f aca="false">H6-M6</f>
        <v>-10654.931873016</v>
      </c>
      <c r="R6" s="166" t="n">
        <v>200000</v>
      </c>
      <c r="S6" s="190" t="n">
        <f aca="false">IFERROR(H6/R6-1,"-")</f>
        <v>-0.19890958</v>
      </c>
      <c r="T6" s="190" t="n">
        <f aca="false">IFERROR(H6/R6,"-")</f>
        <v>0.80109042</v>
      </c>
      <c r="U6" s="166" t="n">
        <f aca="false">H6-R6</f>
        <v>-39781.916</v>
      </c>
      <c r="W6" s="158" t="n">
        <v>155738.791</v>
      </c>
      <c r="X6" s="5" t="n">
        <f aca="false">H6-W6</f>
        <v>4479.29300000001</v>
      </c>
      <c r="Y6" s="191" t="n">
        <f aca="false">IFERROR((H6/W6)-1,"-")</f>
        <v>0.0287615755280906</v>
      </c>
    </row>
    <row r="7" customFormat="false" ht="14.25" hidden="false" customHeight="true" outlineLevel="1" collapsed="false">
      <c r="A7" s="168" t="n">
        <v>3</v>
      </c>
      <c r="B7" s="85" t="s">
        <v>148</v>
      </c>
      <c r="C7" s="189" t="s">
        <v>36</v>
      </c>
      <c r="D7" s="189" t="s">
        <v>36</v>
      </c>
      <c r="E7" s="158" t="s">
        <v>32</v>
      </c>
      <c r="F7" s="158" t="n">
        <f aca="false">VLOOKUP(B7,'2024'!$A:$O,9,0)</f>
        <v>416484</v>
      </c>
      <c r="G7" s="158" t="n">
        <f aca="false">VLOOKUP($B7,'2025'!$A:$O,9,0)</f>
        <v>273604.4</v>
      </c>
      <c r="H7" s="158" t="n">
        <v>295436</v>
      </c>
      <c r="I7" s="190" t="n">
        <f aca="false">IFERROR(H7/$H$19,"")</f>
        <v>0.149630213073958</v>
      </c>
      <c r="J7" s="167" t="n">
        <f aca="false">IFERROR(H7/G7-1,"")</f>
        <v>0.0797925764351741</v>
      </c>
      <c r="K7" s="158" t="n">
        <f aca="false">H7-G7</f>
        <v>21831.6</v>
      </c>
      <c r="M7" s="158" t="n">
        <f aca="false">VLOOKUP(C7,'תקציב  '!$B:$S,11,0)*1</f>
        <v>365000</v>
      </c>
      <c r="N7" s="190" t="n">
        <f aca="false">IFERROR(H7/M7-1,"-")</f>
        <v>-0.190586301369863</v>
      </c>
      <c r="O7" s="190" t="n">
        <f aca="false">IFERROR(H7/M7,"-")</f>
        <v>0.809413698630137</v>
      </c>
      <c r="P7" s="158" t="n">
        <f aca="false">H7-M7</f>
        <v>-69564</v>
      </c>
      <c r="R7" s="166" t="n">
        <v>330000</v>
      </c>
      <c r="S7" s="190" t="n">
        <f aca="false">IFERROR(H7/R7-1,"-")</f>
        <v>-0.104739393939394</v>
      </c>
      <c r="T7" s="190" t="n">
        <f aca="false">IFERROR(H7/R7,"-")</f>
        <v>0.895260606060606</v>
      </c>
      <c r="U7" s="166" t="n">
        <f aca="false">H7-R7</f>
        <v>-34564</v>
      </c>
      <c r="W7" s="158" t="n">
        <v>295436</v>
      </c>
      <c r="X7" s="5" t="n">
        <f aca="false">H7-W7</f>
        <v>0</v>
      </c>
      <c r="Y7" s="191" t="n">
        <f aca="false">IFERROR((H7/W7)-1,"-")</f>
        <v>0</v>
      </c>
    </row>
    <row r="8" customFormat="false" ht="14.25" hidden="false" customHeight="true" outlineLevel="1" collapsed="false">
      <c r="A8" s="168" t="n">
        <v>8</v>
      </c>
      <c r="B8" s="85" t="s">
        <v>147</v>
      </c>
      <c r="C8" s="189" t="s">
        <v>37</v>
      </c>
      <c r="D8" s="189" t="s">
        <v>37</v>
      </c>
      <c r="E8" s="158" t="s">
        <v>32</v>
      </c>
      <c r="F8" s="158" t="n">
        <f aca="false">VLOOKUP(B8,'2024'!$A:$O,9,0)</f>
        <v>64245.4</v>
      </c>
      <c r="G8" s="158" t="n">
        <f aca="false">VLOOKUP($B8,'2025'!$A:$O,9,0)</f>
        <v>81013.09</v>
      </c>
      <c r="H8" s="158" t="n">
        <v>73310.601</v>
      </c>
      <c r="I8" s="190" t="n">
        <f aca="false">IFERROR(H8/$H$19,"")</f>
        <v>0.0371298042493465</v>
      </c>
      <c r="J8" s="167" t="n">
        <f aca="false">IFERROR(H8/G8-1,"")</f>
        <v>-0.095077091862562</v>
      </c>
      <c r="K8" s="158" t="n">
        <f aca="false">H8-G8</f>
        <v>-7702.489</v>
      </c>
      <c r="M8" s="158" t="n">
        <f aca="false">VLOOKUP(C8,'תקציב  '!$B:$S,11,0)*1</f>
        <v>107301.587301587</v>
      </c>
      <c r="N8" s="190" t="n">
        <f aca="false">IFERROR(H8/M8-1,"-")</f>
        <v>-0.316779901923075</v>
      </c>
      <c r="O8" s="190" t="n">
        <f aca="false">IFERROR(H8/M8,"-")</f>
        <v>0.683220098076925</v>
      </c>
      <c r="P8" s="158" t="n">
        <f aca="false">H8-M8</f>
        <v>-33990.986301587</v>
      </c>
      <c r="R8" s="166" t="n">
        <v>100000</v>
      </c>
      <c r="S8" s="190" t="n">
        <f aca="false">IFERROR(H8/R8-1,"-")</f>
        <v>-0.26689399</v>
      </c>
      <c r="T8" s="190" t="n">
        <f aca="false">IFERROR(H8/R8,"-")</f>
        <v>0.73310601</v>
      </c>
      <c r="U8" s="166" t="n">
        <f aca="false">H8-R8</f>
        <v>-26689.399</v>
      </c>
      <c r="W8" s="158" t="n">
        <v>68722.563</v>
      </c>
      <c r="X8" s="5" t="n">
        <f aca="false">H8-W8</f>
        <v>4588.038</v>
      </c>
      <c r="Y8" s="191" t="n">
        <f aca="false">IFERROR((H8/W8)-1,"-")</f>
        <v>0.066761741700466</v>
      </c>
    </row>
    <row r="9" customFormat="false" ht="14.25" hidden="false" customHeight="true" outlineLevel="1" collapsed="false">
      <c r="A9" s="168" t="n">
        <v>6</v>
      </c>
      <c r="B9" s="85" t="s">
        <v>137</v>
      </c>
      <c r="C9" s="189" t="s">
        <v>38</v>
      </c>
      <c r="D9" s="189" t="s">
        <v>38</v>
      </c>
      <c r="E9" s="158" t="s">
        <v>32</v>
      </c>
      <c r="F9" s="158" t="n">
        <f aca="false">VLOOKUP(B9,'2024'!$A:$O,9,0)</f>
        <v>62739.61</v>
      </c>
      <c r="G9" s="158" t="n">
        <f aca="false">VLOOKUP($B9,'2025'!$A:$O,9,0)</f>
        <v>61998.83</v>
      </c>
      <c r="H9" s="158" t="n">
        <v>76847.55</v>
      </c>
      <c r="I9" s="190" t="n">
        <f aca="false">IFERROR(H9/$H$19,"")</f>
        <v>0.0389211716944166</v>
      </c>
      <c r="J9" s="167" t="n">
        <f aca="false">IFERROR(H9/G9-1,"")</f>
        <v>0.239500003467807</v>
      </c>
      <c r="K9" s="158" t="n">
        <f aca="false">H9-G9</f>
        <v>14848.72</v>
      </c>
      <c r="M9" s="158" t="n">
        <f aca="false">VLOOKUP(C9,'תקציב  '!$B:$S,11,0)*1</f>
        <v>177087.301587302</v>
      </c>
      <c r="N9" s="190" t="n">
        <f aca="false">IFERROR(H9/M9-1,"-")</f>
        <v>-0.566047089140861</v>
      </c>
      <c r="O9" s="190" t="n">
        <f aca="false">IFERROR(H9/M9,"-")</f>
        <v>0.433952910859139</v>
      </c>
      <c r="P9" s="158" t="n">
        <f aca="false">H9-M9</f>
        <v>-100239.751587302</v>
      </c>
      <c r="R9" s="166" t="n">
        <v>100000</v>
      </c>
      <c r="S9" s="190" t="n">
        <f aca="false">IFERROR(H9/R9-1,"-")</f>
        <v>-0.2315245</v>
      </c>
      <c r="T9" s="190" t="n">
        <f aca="false">IFERROR(H9/R9,"-")</f>
        <v>0.7684755</v>
      </c>
      <c r="U9" s="166" t="n">
        <f aca="false">H9-R9</f>
        <v>-23152.45</v>
      </c>
      <c r="W9" s="158" t="n">
        <v>76847.55</v>
      </c>
      <c r="X9" s="5" t="n">
        <f aca="false">H9-W9</f>
        <v>0</v>
      </c>
      <c r="Y9" s="191" t="n">
        <f aca="false">IFERROR((H9/W9)-1,"-")</f>
        <v>0</v>
      </c>
    </row>
    <row r="10" customFormat="false" ht="14.25" hidden="false" customHeight="true" outlineLevel="1" collapsed="false">
      <c r="A10" s="169" t="n">
        <v>10</v>
      </c>
      <c r="B10" s="85" t="s">
        <v>138</v>
      </c>
      <c r="C10" s="193" t="s">
        <v>39</v>
      </c>
      <c r="D10" s="193" t="s">
        <v>39</v>
      </c>
      <c r="E10" s="158" t="s">
        <v>32</v>
      </c>
      <c r="F10" s="158" t="n">
        <f aca="false">VLOOKUP(B10,'2024'!$A:$O,9,0)</f>
        <v>18126.58</v>
      </c>
      <c r="G10" s="158" t="n">
        <f aca="false">VLOOKUP($B10,'2025'!$A:$O,9,0)</f>
        <v>12420.51</v>
      </c>
      <c r="H10" s="158" t="n">
        <v>4321.85</v>
      </c>
      <c r="I10" s="190" t="n">
        <f aca="false">IFERROR(H10/$H$19,"")</f>
        <v>0.00218889822626114</v>
      </c>
      <c r="J10" s="167" t="n">
        <f aca="false">IFERROR(H10/G10-1,"")</f>
        <v>-0.652039247985791</v>
      </c>
      <c r="K10" s="158" t="n">
        <f aca="false">H10-G10</f>
        <v>-8098.66</v>
      </c>
      <c r="M10" s="158" t="n">
        <f aca="false">VLOOKUP(C10,'תקציב  '!$B:$S,11,0)*1</f>
        <v>16587.3015873016</v>
      </c>
      <c r="N10" s="190" t="n">
        <f aca="false">IFERROR(H10/M10-1,"-")</f>
        <v>-0.739448277511962</v>
      </c>
      <c r="O10" s="190" t="n">
        <f aca="false">IFERROR(H10/M10,"-")</f>
        <v>0.260551722488038</v>
      </c>
      <c r="P10" s="158" t="n">
        <f aca="false">H10-M10</f>
        <v>-12265.4515873016</v>
      </c>
      <c r="R10" s="166" t="n">
        <v>15000</v>
      </c>
      <c r="S10" s="190" t="n">
        <f aca="false">IFERROR(H10/R10-1,"-")</f>
        <v>-0.711876666666667</v>
      </c>
      <c r="T10" s="190" t="n">
        <f aca="false">IFERROR(H10/R10,"-")</f>
        <v>0.288123333333333</v>
      </c>
      <c r="U10" s="166" t="n">
        <f aca="false">H10-R10</f>
        <v>-10678.15</v>
      </c>
      <c r="W10" s="158" t="n">
        <v>4321.85</v>
      </c>
      <c r="X10" s="5" t="n">
        <f aca="false">H10-W10</f>
        <v>0</v>
      </c>
      <c r="Y10" s="191" t="n">
        <f aca="false">IFERROR((H10/W10)-1,"-")</f>
        <v>0</v>
      </c>
    </row>
    <row r="11" customFormat="false" ht="14.25" hidden="false" customHeight="true" outlineLevel="1" collapsed="false">
      <c r="A11" s="168" t="n">
        <v>11</v>
      </c>
      <c r="B11" s="85" t="s">
        <v>141</v>
      </c>
      <c r="C11" s="189" t="s">
        <v>40</v>
      </c>
      <c r="D11" s="189" t="s">
        <v>40</v>
      </c>
      <c r="E11" s="158" t="s">
        <v>32</v>
      </c>
      <c r="F11" s="158" t="n">
        <f aca="false">VLOOKUP(B11,'2024'!$A:$O,9,0)</f>
        <v>8063.63</v>
      </c>
      <c r="G11" s="158" t="n">
        <f aca="false">VLOOKUP($B11,'2025'!$A:$O,9,0)</f>
        <v>1459.42</v>
      </c>
      <c r="H11" s="158" t="n">
        <v>2043.68</v>
      </c>
      <c r="I11" s="190" t="n">
        <f aca="false">IFERROR(H11/$H$19,"")</f>
        <v>0.0010350677434537</v>
      </c>
      <c r="J11" s="167" t="n">
        <f aca="false">IFERROR(H11/G11-1,"")</f>
        <v>0.400337120225843</v>
      </c>
      <c r="K11" s="158" t="n">
        <f aca="false">H11-G11</f>
        <v>584.26</v>
      </c>
      <c r="M11" s="158" t="n">
        <f aca="false">VLOOKUP(C11,'תקציב  '!$B:$S,11,0)*1</f>
        <v>8730.15873015873</v>
      </c>
      <c r="N11" s="190" t="n">
        <f aca="false">IFERROR(H11/M11-1,"-")</f>
        <v>-0.765905745454546</v>
      </c>
      <c r="O11" s="190" t="n">
        <f aca="false">IFERROR(H11/M11,"-")</f>
        <v>0.234094254545455</v>
      </c>
      <c r="P11" s="158" t="n">
        <f aca="false">H11-M11</f>
        <v>-6686.47873015873</v>
      </c>
      <c r="R11" s="166" t="n">
        <v>10000</v>
      </c>
      <c r="S11" s="190" t="n">
        <f aca="false">IFERROR(H11/R11-1,"-")</f>
        <v>-0.795632</v>
      </c>
      <c r="T11" s="190" t="n">
        <f aca="false">IFERROR(H11/R11,"-")</f>
        <v>0.204368</v>
      </c>
      <c r="U11" s="166" t="n">
        <f aca="false">H11-R11</f>
        <v>-7956.32</v>
      </c>
      <c r="W11" s="158" t="n">
        <v>2043.68</v>
      </c>
      <c r="X11" s="5" t="n">
        <f aca="false">H11-W11</f>
        <v>0</v>
      </c>
      <c r="Y11" s="191" t="n">
        <f aca="false">IFERROR((H11/W11)-1,"-")</f>
        <v>0</v>
      </c>
    </row>
    <row r="12" customFormat="false" ht="14.25" hidden="false" customHeight="true" outlineLevel="1" collapsed="false">
      <c r="A12" s="168" t="n">
        <v>14</v>
      </c>
      <c r="B12" s="85" t="s">
        <v>142</v>
      </c>
      <c r="C12" s="189" t="s">
        <v>41</v>
      </c>
      <c r="D12" s="189" t="s">
        <v>41</v>
      </c>
      <c r="E12" s="158" t="s">
        <v>32</v>
      </c>
      <c r="F12" s="158" t="n">
        <f aca="false">VLOOKUP(B12,'2024'!$A:$O,9,0)</f>
        <v>0</v>
      </c>
      <c r="G12" s="158" t="n">
        <f aca="false">VLOOKUP($B12,'2025'!$A:$O,9,0)</f>
        <v>0</v>
      </c>
      <c r="H12" s="158" t="n">
        <v>728.87</v>
      </c>
      <c r="I12" s="190" t="n">
        <f aca="false">IFERROR(H12/$H$19,"")</f>
        <v>0.00036915261986764</v>
      </c>
      <c r="J12" s="167" t="str">
        <f aca="false">IFERROR(H12/G12-1,"")</f>
        <v/>
      </c>
      <c r="K12" s="158" t="n">
        <f aca="false">H12-G12</f>
        <v>728.87</v>
      </c>
      <c r="M12" s="158" t="n">
        <f aca="false">VLOOKUP(C12,'תקציב  '!$B:$S,11,0)*1</f>
        <v>0</v>
      </c>
      <c r="N12" s="190" t="str">
        <f aca="false">IFERROR(H12/M12-1,"-")</f>
        <v>-</v>
      </c>
      <c r="O12" s="190" t="str">
        <f aca="false">IFERROR(H12/M12,"-")</f>
        <v>-</v>
      </c>
      <c r="P12" s="158" t="n">
        <f aca="false">H12-M12</f>
        <v>728.87</v>
      </c>
      <c r="R12" s="166" t="n">
        <v>5000</v>
      </c>
      <c r="S12" s="190" t="n">
        <f aca="false">IFERROR(H12/R12-1,"-")</f>
        <v>-0.854226</v>
      </c>
      <c r="T12" s="190" t="n">
        <f aca="false">IFERROR(H12/R12,"-")</f>
        <v>0.145774</v>
      </c>
      <c r="U12" s="166" t="n">
        <f aca="false">H12-R12</f>
        <v>-4271.13</v>
      </c>
      <c r="W12" s="158" t="n">
        <v>728.87</v>
      </c>
      <c r="X12" s="5" t="n">
        <f aca="false">H12-W12</f>
        <v>0</v>
      </c>
      <c r="Y12" s="191" t="n">
        <f aca="false">IFERROR((H12/W12)-1,"-")</f>
        <v>0</v>
      </c>
    </row>
    <row r="13" customFormat="false" ht="14.25" hidden="false" customHeight="true" outlineLevel="1" collapsed="false">
      <c r="A13" s="168" t="n">
        <v>15</v>
      </c>
      <c r="B13" s="85" t="s">
        <v>139</v>
      </c>
      <c r="C13" s="189" t="s">
        <v>47</v>
      </c>
      <c r="D13" s="189" t="s">
        <v>47</v>
      </c>
      <c r="E13" s="158" t="s">
        <v>32</v>
      </c>
      <c r="F13" s="158" t="n">
        <f aca="false">VLOOKUP(B13,'2024'!$A:$O,9,0)</f>
        <v>0</v>
      </c>
      <c r="G13" s="158" t="n">
        <f aca="false">VLOOKUP($B13,'2025'!$A:$O,9,0)</f>
        <v>0</v>
      </c>
      <c r="H13" s="158" t="n">
        <v>0</v>
      </c>
      <c r="I13" s="190" t="n">
        <f aca="false">IFERROR(H13/$H$19,"")</f>
        <v>0</v>
      </c>
      <c r="J13" s="167" t="str">
        <f aca="false">IFERROR(H13/G13-1,"")</f>
        <v/>
      </c>
      <c r="K13" s="158" t="n">
        <f aca="false">H13-G13</f>
        <v>0</v>
      </c>
      <c r="M13" s="158" t="n">
        <f aca="false">VLOOKUP(C13,'תקציב  '!$B:$S,11,0)*1</f>
        <v>0</v>
      </c>
      <c r="N13" s="190" t="str">
        <f aca="false">IFERROR(H13/M13-1,"-")</f>
        <v>-</v>
      </c>
      <c r="O13" s="190" t="str">
        <f aca="false">IFERROR(H13/M13,"-")</f>
        <v>-</v>
      </c>
      <c r="P13" s="158" t="n">
        <f aca="false">H13-M13</f>
        <v>0</v>
      </c>
      <c r="R13" s="166" t="n">
        <v>5000</v>
      </c>
      <c r="S13" s="190" t="n">
        <f aca="false">IFERROR(H13/R13-1,"-")</f>
        <v>-1</v>
      </c>
      <c r="T13" s="190" t="n">
        <f aca="false">IFERROR(H13/R13,"-")</f>
        <v>0</v>
      </c>
      <c r="U13" s="166" t="n">
        <f aca="false">H13-R13</f>
        <v>-5000</v>
      </c>
      <c r="W13" s="158" t="n">
        <v>0</v>
      </c>
      <c r="X13" s="5" t="n">
        <f aca="false">H13-W13</f>
        <v>0</v>
      </c>
      <c r="Y13" s="191" t="str">
        <f aca="false">IFERROR((H13/W13)-1,"-")</f>
        <v>-</v>
      </c>
    </row>
    <row r="14" customFormat="false" ht="14.25" hidden="false" customHeight="true" outlineLevel="1" collapsed="false">
      <c r="A14" s="168" t="n">
        <v>13</v>
      </c>
      <c r="B14" s="85" t="s">
        <v>145</v>
      </c>
      <c r="C14" s="189" t="s">
        <v>43</v>
      </c>
      <c r="D14" s="189" t="s">
        <v>43</v>
      </c>
      <c r="E14" s="158" t="s">
        <v>32</v>
      </c>
      <c r="F14" s="158" t="n">
        <f aca="false">VLOOKUP(B14,'2024'!$A:$O,9,0)</f>
        <v>0</v>
      </c>
      <c r="G14" s="158" t="n">
        <f aca="false">VLOOKUP($B14,'2025'!$A:$O,9,0)</f>
        <v>0</v>
      </c>
      <c r="H14" s="158" t="n">
        <v>0</v>
      </c>
      <c r="I14" s="190" t="n">
        <f aca="false">IFERROR(H14/$H$19,"")</f>
        <v>0</v>
      </c>
      <c r="J14" s="167" t="str">
        <f aca="false">IFERROR(H14/G14-1,"")</f>
        <v/>
      </c>
      <c r="K14" s="158" t="n">
        <f aca="false">H14-G14</f>
        <v>0</v>
      </c>
      <c r="M14" s="158" t="n">
        <f aca="false">VLOOKUP(C14,'תקציב  '!$B:$S,11,0)*1</f>
        <v>50000</v>
      </c>
      <c r="N14" s="190" t="n">
        <f aca="false">IFERROR(H14/M14-1,"-")</f>
        <v>-1</v>
      </c>
      <c r="O14" s="190" t="n">
        <f aca="false">IFERROR(H14/M14,"-")</f>
        <v>0</v>
      </c>
      <c r="P14" s="158" t="n">
        <f aca="false">H14-M14</f>
        <v>-50000</v>
      </c>
      <c r="R14" s="166" t="n">
        <v>5000</v>
      </c>
      <c r="S14" s="190" t="n">
        <f aca="false">IFERROR(H14/R14-1,"-")</f>
        <v>-1</v>
      </c>
      <c r="T14" s="190" t="n">
        <f aca="false">IFERROR(H14/R14,"-")</f>
        <v>0</v>
      </c>
      <c r="U14" s="166" t="n">
        <f aca="false">H14-R14</f>
        <v>-5000</v>
      </c>
      <c r="W14" s="158" t="n">
        <v>0</v>
      </c>
      <c r="X14" s="5" t="n">
        <f aca="false">H14-W14</f>
        <v>0</v>
      </c>
      <c r="Y14" s="191" t="str">
        <f aca="false">IFERROR((H14/W14)-1,"-")</f>
        <v>-</v>
      </c>
    </row>
    <row r="15" customFormat="false" ht="14.25" hidden="false" customHeight="true" outlineLevel="1" collapsed="false">
      <c r="A15" s="168" t="n">
        <v>9</v>
      </c>
      <c r="B15" s="85" t="s">
        <v>140</v>
      </c>
      <c r="C15" s="189" t="s">
        <v>44</v>
      </c>
      <c r="D15" s="189" t="s">
        <v>44</v>
      </c>
      <c r="E15" s="158" t="s">
        <v>32</v>
      </c>
      <c r="F15" s="158" t="n">
        <f aca="false">VLOOKUP(B15,'2024'!$A:$O,9,0)</f>
        <v>6797.75</v>
      </c>
      <c r="G15" s="158" t="n">
        <f aca="false">VLOOKUP($B15,'2025'!$A:$O,9,0)</f>
        <v>5704.97</v>
      </c>
      <c r="H15" s="158" t="n">
        <v>10118.69</v>
      </c>
      <c r="I15" s="190" t="n">
        <f aca="false">IFERROR(H15/$H$19,"")</f>
        <v>0.00512483834309066</v>
      </c>
      <c r="J15" s="167" t="n">
        <f aca="false">IFERROR(H15/G15-1,"")</f>
        <v>0.7736622629041</v>
      </c>
      <c r="K15" s="158" t="n">
        <f aca="false">H15-G15</f>
        <v>4413.72</v>
      </c>
      <c r="M15" s="158" t="n">
        <f aca="false">VLOOKUP(C15,'תקציב  '!$B:$S,11,0)*1</f>
        <v>17460.3174603175</v>
      </c>
      <c r="N15" s="190" t="n">
        <f aca="false">IFERROR(H15/M15-1,"-")</f>
        <v>-0.420475027272729</v>
      </c>
      <c r="O15" s="190" t="n">
        <f aca="false">IFERROR(H15/M15,"-")</f>
        <v>0.579524972727271</v>
      </c>
      <c r="P15" s="158" t="n">
        <f aca="false">H15-M15</f>
        <v>-7341.6274603175</v>
      </c>
      <c r="R15" s="166" t="n">
        <v>25000</v>
      </c>
      <c r="S15" s="190" t="n">
        <f aca="false">IFERROR(H15/R15-1,"-")</f>
        <v>-0.5952524</v>
      </c>
      <c r="T15" s="190" t="n">
        <f aca="false">IFERROR(H15/R15,"-")</f>
        <v>0.4047476</v>
      </c>
      <c r="U15" s="166" t="n">
        <f aca="false">H15-R15</f>
        <v>-14881.31</v>
      </c>
      <c r="W15" s="158" t="n">
        <v>10118.69</v>
      </c>
      <c r="X15" s="5" t="n">
        <f aca="false">H15-W15</f>
        <v>0</v>
      </c>
      <c r="Y15" s="191" t="n">
        <f aca="false">IFERROR((H15/W15)-1,"-")</f>
        <v>0</v>
      </c>
    </row>
    <row r="16" customFormat="false" ht="15" hidden="false" customHeight="true" outlineLevel="0" collapsed="false">
      <c r="A16" s="170"/>
      <c r="C16" s="195" t="s">
        <v>119</v>
      </c>
      <c r="D16" s="195" t="s">
        <v>119</v>
      </c>
      <c r="E16" s="171"/>
      <c r="F16" s="171" t="n">
        <f aca="false">SUM(F3:F15)+F50</f>
        <v>1515574.027</v>
      </c>
      <c r="G16" s="171" t="n">
        <f aca="false">SUM(G3:G15)+G50</f>
        <v>1428683.96</v>
      </c>
      <c r="H16" s="171" t="n">
        <f aca="false">SUM(H3:H15)+H50</f>
        <v>1581788.376</v>
      </c>
      <c r="I16" s="197" t="n">
        <f aca="false">IFERROR(H16/$H$19,"")</f>
        <v>0.801132332345382</v>
      </c>
      <c r="J16" s="172" t="n">
        <f aca="false">H16/G16-1</f>
        <v>0.10716464962622</v>
      </c>
      <c r="K16" s="171" t="n">
        <f aca="false">SUM(K3:K15)+K50</f>
        <v>153104.416</v>
      </c>
      <c r="M16" s="171" t="n">
        <f aca="false">SUM(M3:M15)+M50</f>
        <v>1832388.88888889</v>
      </c>
      <c r="N16" s="197" t="n">
        <f aca="false">IFERROR(H16/M16-1,"-")</f>
        <v>-0.136761641815481</v>
      </c>
      <c r="O16" s="197" t="n">
        <f aca="false">IFERROR(H16/M16,"-")</f>
        <v>0.863238358184519</v>
      </c>
      <c r="P16" s="171" t="n">
        <f aca="false">SUM(P3:P15)+P50</f>
        <v>-250600.512888889</v>
      </c>
      <c r="R16" s="171" t="n">
        <f aca="false">SUM(R3:R15)+R50</f>
        <v>1645000</v>
      </c>
      <c r="S16" s="197" t="n">
        <f aca="false">IFERROR(H16/R16-1,"-")</f>
        <v>-0.0384265191489362</v>
      </c>
      <c r="T16" s="197" t="n">
        <f aca="false">IFERROR(H16/R16,"-")</f>
        <v>0.961573480851064</v>
      </c>
      <c r="U16" s="171" t="n">
        <f aca="false">H16-R16</f>
        <v>-63211.6240000001</v>
      </c>
      <c r="V16" s="198"/>
      <c r="W16" s="171" t="n">
        <v>1527112.681</v>
      </c>
      <c r="X16" s="199" t="n">
        <f aca="false">H16-W16</f>
        <v>54675.6949999998</v>
      </c>
      <c r="Y16" s="200" t="n">
        <f aca="false">IFERROR((H16/W16)-1,"-")</f>
        <v>0.035803314110519</v>
      </c>
    </row>
    <row r="17" customFormat="false" ht="14.25" hidden="false" customHeight="true" outlineLevel="1" collapsed="false">
      <c r="A17" s="168" t="n">
        <v>2</v>
      </c>
      <c r="B17" s="85" t="s">
        <v>149</v>
      </c>
      <c r="C17" s="189" t="s">
        <v>45</v>
      </c>
      <c r="D17" s="189" t="s">
        <v>45</v>
      </c>
      <c r="E17" s="158" t="s">
        <v>32</v>
      </c>
      <c r="F17" s="158" t="n">
        <f aca="false">VLOOKUP(B17,'2024'!$A:$O,9,0)</f>
        <v>43626.89</v>
      </c>
      <c r="G17" s="158" t="n">
        <f aca="false">VLOOKUP($B17,'2025'!$A:$O,9,0)</f>
        <v>136844.33</v>
      </c>
      <c r="H17" s="158" t="n">
        <v>391167.74</v>
      </c>
      <c r="I17" s="190" t="n">
        <f aca="false">IFERROR(H17/$H$19,"")</f>
        <v>0.198115707915957</v>
      </c>
      <c r="J17" s="167" t="n">
        <f aca="false">IFERROR(H17/G17-1,"")</f>
        <v>1.85848701221307</v>
      </c>
      <c r="K17" s="158" t="n">
        <f aca="false">H17-G17</f>
        <v>254323.41</v>
      </c>
      <c r="M17" s="158" t="n">
        <f aca="false">VLOOKUP(C17,'תקציב  '!$B:$S,11,0)*1</f>
        <v>1159556.77966102</v>
      </c>
      <c r="N17" s="190" t="n">
        <f aca="false">IFERROR(H17/M17-1,"-")</f>
        <v>-0.662657537033803</v>
      </c>
      <c r="O17" s="190" t="n">
        <f aca="false">IFERROR(H17/M17,"-")</f>
        <v>0.337342462966197</v>
      </c>
      <c r="P17" s="158" t="n">
        <f aca="false">H17-M17</f>
        <v>-768389.03966102</v>
      </c>
      <c r="R17" s="166" t="n">
        <v>481500</v>
      </c>
      <c r="S17" s="190" t="n">
        <f aca="false">IFERROR(H17/R17-1,"-")</f>
        <v>-0.187605939771547</v>
      </c>
      <c r="T17" s="190" t="n">
        <f aca="false">IFERROR(H17/R17,"-")</f>
        <v>0.812394060228453</v>
      </c>
      <c r="U17" s="166" t="n">
        <f aca="false">H17-R17</f>
        <v>-90332.26</v>
      </c>
      <c r="W17" s="158" t="n">
        <v>391167.74</v>
      </c>
      <c r="X17" s="5" t="n">
        <f aca="false">H17-W17</f>
        <v>0</v>
      </c>
      <c r="Y17" s="191" t="n">
        <f aca="false">IFERROR((H17/W17)-1,"-")</f>
        <v>0</v>
      </c>
    </row>
    <row r="18" customFormat="false" ht="14.25" hidden="false" customHeight="true" outlineLevel="1" collapsed="false">
      <c r="A18" s="168" t="n">
        <v>12</v>
      </c>
      <c r="B18" s="85" t="s">
        <v>150</v>
      </c>
      <c r="C18" s="189" t="s">
        <v>46</v>
      </c>
      <c r="D18" s="189" t="s">
        <v>46</v>
      </c>
      <c r="E18" s="158" t="s">
        <v>32</v>
      </c>
      <c r="F18" s="158" t="n">
        <f aca="false">VLOOKUP(B18,'2024'!$A:$O,9,0)</f>
        <v>4027.72</v>
      </c>
      <c r="G18" s="158" t="n">
        <f aca="false">VLOOKUP($B18,'2025'!$A:$O,9,0)</f>
        <v>2497.52</v>
      </c>
      <c r="H18" s="158" t="n">
        <v>1484.7</v>
      </c>
      <c r="I18" s="190" t="n">
        <f aca="false">IFERROR(H18/$H$19,"")</f>
        <v>0.000751959738660508</v>
      </c>
      <c r="J18" s="167" t="n">
        <f aca="false">IFERROR(H18/G18-1,"")</f>
        <v>-0.405530286043755</v>
      </c>
      <c r="K18" s="158" t="n">
        <f aca="false">H18-G18</f>
        <v>-1012.82</v>
      </c>
      <c r="M18" s="158" t="n">
        <f aca="false">VLOOKUP(C18,'תקציב  '!$B:$S,11,0)*1</f>
        <v>2536.92833333333</v>
      </c>
      <c r="N18" s="190" t="n">
        <f aca="false">IFERROR(H18/M18-1,"-")</f>
        <v>-0.414764705611838</v>
      </c>
      <c r="O18" s="190" t="n">
        <f aca="false">IFERROR(H18/M18,"-")</f>
        <v>0.585235294388162</v>
      </c>
      <c r="P18" s="158" t="n">
        <f aca="false">H18-M18</f>
        <v>-1052.22833333333</v>
      </c>
      <c r="R18" s="166" t="n">
        <v>5000</v>
      </c>
      <c r="S18" s="190" t="n">
        <f aca="false">IFERROR(H18/R18-1,"-")</f>
        <v>-0.70306</v>
      </c>
      <c r="T18" s="190" t="n">
        <f aca="false">IFERROR(H18/R18,"-")</f>
        <v>0.29694</v>
      </c>
      <c r="U18" s="166" t="n">
        <f aca="false">H18-R18</f>
        <v>-3515.3</v>
      </c>
      <c r="W18" s="158" t="n">
        <v>1484.7</v>
      </c>
      <c r="X18" s="5" t="n">
        <f aca="false">H18-W18</f>
        <v>0</v>
      </c>
      <c r="Y18" s="191" t="n">
        <f aca="false">IFERROR((H18/W18)-1,"-")</f>
        <v>0</v>
      </c>
    </row>
    <row r="19" customFormat="false" ht="15" hidden="false" customHeight="true" outlineLevel="0" collapsed="false">
      <c r="A19" s="169"/>
      <c r="C19" s="202" t="s">
        <v>48</v>
      </c>
      <c r="D19" s="202" t="s">
        <v>48</v>
      </c>
      <c r="E19" s="171"/>
      <c r="F19" s="171" t="n">
        <f aca="false">F16+F17+F18</f>
        <v>1563228.637</v>
      </c>
      <c r="G19" s="171" t="n">
        <f aca="false">G16+G17+G18</f>
        <v>1568025.81</v>
      </c>
      <c r="H19" s="171" t="n">
        <f aca="false">H16+H17+H18</f>
        <v>1974440.816</v>
      </c>
      <c r="I19" s="197" t="n">
        <f aca="false">IFERROR(H19/$H$19,"")</f>
        <v>1</v>
      </c>
      <c r="J19" s="172" t="n">
        <f aca="false">H19/G19-1</f>
        <v>0.259188977252868</v>
      </c>
      <c r="K19" s="171" t="n">
        <f aca="false">K16+K17+K18</f>
        <v>406415.006</v>
      </c>
      <c r="M19" s="171" t="n">
        <f aca="false">M16+M17+M18</f>
        <v>2994482.59688324</v>
      </c>
      <c r="N19" s="197" t="n">
        <f aca="false">IFERROR(H19/M19-1,"-")</f>
        <v>-0.340640410448515</v>
      </c>
      <c r="O19" s="197" t="n">
        <f aca="false">IFERROR(H19/M19,"-")</f>
        <v>0.659359589551485</v>
      </c>
      <c r="P19" s="171" t="n">
        <f aca="false">P16+P17+P18</f>
        <v>-1020041.78088324</v>
      </c>
      <c r="R19" s="171" t="n">
        <f aca="false">R16+R17+R18</f>
        <v>2131500</v>
      </c>
      <c r="S19" s="197" t="n">
        <f aca="false">IFERROR(H19/R19-1,"-")</f>
        <v>-0.0736848153882244</v>
      </c>
      <c r="T19" s="197" t="n">
        <f aca="false">IFERROR(H19/R19,"-")</f>
        <v>0.926315184611776</v>
      </c>
      <c r="U19" s="171" t="n">
        <f aca="false">H19-R19</f>
        <v>-157059.184</v>
      </c>
      <c r="V19" s="198"/>
      <c r="W19" s="171" t="n">
        <v>1919765.121</v>
      </c>
      <c r="X19" s="199" t="n">
        <f aca="false">H19-W19</f>
        <v>54675.6949999998</v>
      </c>
      <c r="Y19" s="200" t="n">
        <f aca="false">IFERROR((H19/W19)-1,"-")</f>
        <v>0.0284804085676478</v>
      </c>
    </row>
    <row r="20" customFormat="false" ht="14.25" hidden="false" customHeight="true" outlineLevel="1" collapsed="false">
      <c r="A20" s="169" t="n">
        <v>50</v>
      </c>
      <c r="B20" s="85" t="s">
        <v>155</v>
      </c>
      <c r="C20" s="193" t="s">
        <v>49</v>
      </c>
      <c r="D20" s="193" t="s">
        <v>50</v>
      </c>
      <c r="E20" s="158" t="s">
        <v>51</v>
      </c>
      <c r="F20" s="158" t="n">
        <f aca="false">VLOOKUP(B20,'2024'!$A:$O,9,0)</f>
        <v>273201.5</v>
      </c>
      <c r="G20" s="158" t="n">
        <f aca="false">VLOOKUP($B20,'2025'!$A:$O,9,0)</f>
        <v>252496.44</v>
      </c>
      <c r="H20" s="158" t="n">
        <v>202592.25</v>
      </c>
      <c r="I20" s="190" t="n">
        <f aca="false">IFERROR(H20/$H$19,"")</f>
        <v>0.102607405782073</v>
      </c>
      <c r="J20" s="167" t="n">
        <f aca="false">IFERROR(H20/G20-1,"")</f>
        <v>-0.197643143008274</v>
      </c>
      <c r="K20" s="158" t="n">
        <f aca="false">H20-G20</f>
        <v>-49904.19</v>
      </c>
      <c r="M20" s="158" t="n">
        <f aca="false">VLOOKUP(C20,'תקציב  '!$B:$S,11,0)*1</f>
        <v>481801.946175</v>
      </c>
      <c r="N20" s="190" t="n">
        <f aca="false">IFERROR(H20/M20-1,"-")</f>
        <v>-0.579511349822538</v>
      </c>
      <c r="O20" s="190" t="n">
        <f aca="false">IFERROR(H20/M20,"-")</f>
        <v>0.420488650177462</v>
      </c>
      <c r="P20" s="158" t="n">
        <f aca="false">H20-M20</f>
        <v>-279209.696175</v>
      </c>
      <c r="R20" s="166" t="n">
        <v>305012.4</v>
      </c>
      <c r="S20" s="190" t="n">
        <f aca="false">IFERROR(H20/R20-1,"-")</f>
        <v>-0.335790118696814</v>
      </c>
      <c r="T20" s="190" t="n">
        <f aca="false">IFERROR(H20/R20,"-")</f>
        <v>0.664209881303186</v>
      </c>
      <c r="U20" s="166" t="n">
        <f aca="false">H20-R20</f>
        <v>-102420.15</v>
      </c>
      <c r="W20" s="158" t="n">
        <v>202592.25</v>
      </c>
      <c r="X20" s="5" t="n">
        <f aca="false">H20-W20</f>
        <v>0</v>
      </c>
      <c r="Y20" s="191" t="n">
        <f aca="false">IFERROR((H20/W20)-1,"-")</f>
        <v>0</v>
      </c>
    </row>
    <row r="21" customFormat="false" ht="14.25" hidden="false" customHeight="true" outlineLevel="1" collapsed="false">
      <c r="A21" s="169" t="n">
        <v>20</v>
      </c>
      <c r="B21" s="85" t="s">
        <v>151</v>
      </c>
      <c r="C21" s="193" t="s">
        <v>52</v>
      </c>
      <c r="D21" s="193" t="s">
        <v>53</v>
      </c>
      <c r="E21" s="158" t="s">
        <v>54</v>
      </c>
      <c r="F21" s="158" t="n">
        <f aca="false">VLOOKUP(B21,'2024'!$A:$O,9,0)</f>
        <v>-2422.68</v>
      </c>
      <c r="G21" s="158" t="n">
        <f aca="false">VLOOKUP($B21,'2025'!$A:$O,9,0)</f>
        <v>0</v>
      </c>
      <c r="H21" s="158" t="n">
        <v>132101.57</v>
      </c>
      <c r="I21" s="190" t="n">
        <f aca="false">IFERROR(H21/$H$19,"")</f>
        <v>0.0669058140054171</v>
      </c>
      <c r="J21" s="167" t="str">
        <f aca="false">IFERROR(H21/G21-1,"")</f>
        <v/>
      </c>
      <c r="K21" s="158" t="n">
        <f aca="false">H21-G21</f>
        <v>132101.57</v>
      </c>
      <c r="M21" s="158" t="n">
        <f aca="false">VLOOKUP(C21,'תקציב  '!$B:$S,11,0)*1</f>
        <v>0</v>
      </c>
      <c r="N21" s="190" t="str">
        <f aca="false">IFERROR(H21/M21-1,"-")</f>
        <v>-</v>
      </c>
      <c r="O21" s="190" t="str">
        <f aca="false">IFERROR(H21/M21,"-")</f>
        <v>-</v>
      </c>
      <c r="P21" s="158" t="n">
        <f aca="false">H21-M21</f>
        <v>132101.57</v>
      </c>
      <c r="R21" s="166" t="n">
        <v>130000</v>
      </c>
      <c r="S21" s="190" t="n">
        <f aca="false">IFERROR(H21/R21-1,"-")</f>
        <v>0.0161659230769231</v>
      </c>
      <c r="T21" s="190" t="n">
        <f aca="false">IFERROR(H21/R21,"-")</f>
        <v>1.01616592307692</v>
      </c>
      <c r="U21" s="166" t="n">
        <f aca="false">H21-R21</f>
        <v>2101.57000000001</v>
      </c>
      <c r="W21" s="158" t="n">
        <v>132101.57</v>
      </c>
      <c r="X21" s="5" t="n">
        <f aca="false">H21-W21</f>
        <v>0</v>
      </c>
      <c r="Y21" s="191" t="n">
        <f aca="false">IFERROR((H21/W21)-1,"-")</f>
        <v>0</v>
      </c>
    </row>
    <row r="22" customFormat="false" ht="14.25" hidden="false" customHeight="true" outlineLevel="1" collapsed="false">
      <c r="A22" s="169" t="n">
        <v>21</v>
      </c>
      <c r="B22" s="85" t="s">
        <v>157</v>
      </c>
      <c r="C22" s="193" t="s">
        <v>55</v>
      </c>
      <c r="D22" s="193" t="s">
        <v>56</v>
      </c>
      <c r="E22" s="158" t="s">
        <v>57</v>
      </c>
      <c r="F22" s="158" t="n">
        <f aca="false">VLOOKUP(B22,'2024'!$A:$O,9,0)</f>
        <v>16110.54</v>
      </c>
      <c r="G22" s="158" t="n">
        <f aca="false">VLOOKUP($B22,'2025'!$A:$O,9,0)</f>
        <v>64506.58</v>
      </c>
      <c r="H22" s="158" t="n">
        <v>10986.57</v>
      </c>
      <c r="I22" s="190" t="n">
        <f aca="false">IFERROR(H22/$H$19,"")</f>
        <v>0.00556439570686023</v>
      </c>
      <c r="J22" s="167" t="n">
        <f aca="false">IFERROR(H22/G22-1,"")</f>
        <v>-0.829682956374373</v>
      </c>
      <c r="K22" s="158" t="n">
        <f aca="false">H22-G22</f>
        <v>-53520.01</v>
      </c>
      <c r="M22" s="158" t="n">
        <f aca="false">VLOOKUP(C22,'תקציב  '!$B:$S,11,0)*1</f>
        <v>120000</v>
      </c>
      <c r="N22" s="190" t="n">
        <f aca="false">IFERROR(H22/M22-1,"-")</f>
        <v>-0.90844525</v>
      </c>
      <c r="O22" s="190" t="n">
        <f aca="false">IFERROR(H22/M22,"-")</f>
        <v>0.09155475</v>
      </c>
      <c r="P22" s="158" t="n">
        <f aca="false">H22-M22</f>
        <v>-109013.43</v>
      </c>
      <c r="R22" s="166" t="n">
        <v>20000</v>
      </c>
      <c r="S22" s="190" t="n">
        <f aca="false">IFERROR(H22/R22-1,"-")</f>
        <v>-0.4506715</v>
      </c>
      <c r="T22" s="190" t="n">
        <f aca="false">IFERROR(H22/R22,"-")</f>
        <v>0.5493285</v>
      </c>
      <c r="U22" s="166" t="n">
        <f aca="false">H22-R22</f>
        <v>-9013.43</v>
      </c>
      <c r="W22" s="158" t="n">
        <v>10986.57</v>
      </c>
      <c r="X22" s="5" t="n">
        <f aca="false">H22-W22</f>
        <v>0</v>
      </c>
      <c r="Y22" s="191" t="n">
        <f aca="false">IFERROR((H22/W22)-1,"-")</f>
        <v>0</v>
      </c>
    </row>
    <row r="23" customFormat="false" ht="14.25" hidden="false" customHeight="true" outlineLevel="1" collapsed="false">
      <c r="A23" s="169" t="n">
        <v>22</v>
      </c>
      <c r="B23" s="85" t="s">
        <v>159</v>
      </c>
      <c r="C23" s="193" t="s">
        <v>58</v>
      </c>
      <c r="D23" s="193" t="s">
        <v>59</v>
      </c>
      <c r="E23" s="158" t="s">
        <v>60</v>
      </c>
      <c r="F23" s="158" t="n">
        <f aca="false">VLOOKUP(B23,'2024'!$A:$O,9,0)</f>
        <v>0</v>
      </c>
      <c r="G23" s="158" t="n">
        <f aca="false">VLOOKUP($B23,'2025'!$A:$O,9,0)</f>
        <v>68497.3</v>
      </c>
      <c r="H23" s="158" t="n">
        <v>0</v>
      </c>
      <c r="I23" s="190" t="n">
        <f aca="false">IFERROR(H23/$H$19,"")</f>
        <v>0</v>
      </c>
      <c r="J23" s="167" t="n">
        <f aca="false">IFERROR(H23/G23-1,"")</f>
        <v>-1</v>
      </c>
      <c r="K23" s="158" t="n">
        <f aca="false">H23-G23</f>
        <v>-68497.3</v>
      </c>
      <c r="M23" s="158" t="n">
        <f aca="false">VLOOKUP(C23,'תקציב  '!$B:$S,11,0)*1</f>
        <v>0</v>
      </c>
      <c r="N23" s="190" t="str">
        <f aca="false">IFERROR(H23/M23-1,"-")</f>
        <v>-</v>
      </c>
      <c r="O23" s="190" t="str">
        <f aca="false">IFERROR(H23/M23,"-")</f>
        <v>-</v>
      </c>
      <c r="P23" s="158" t="n">
        <f aca="false">H23-M23</f>
        <v>0</v>
      </c>
      <c r="R23" s="166" t="n">
        <v>0</v>
      </c>
      <c r="S23" s="190" t="str">
        <f aca="false">IFERROR(H23/R23-1,"-")</f>
        <v>-</v>
      </c>
      <c r="T23" s="190" t="str">
        <f aca="false">IFERROR(H23/R23,"-")</f>
        <v>-</v>
      </c>
      <c r="U23" s="166" t="n">
        <f aca="false">H23-R23</f>
        <v>0</v>
      </c>
      <c r="W23" s="158" t="n">
        <v>0</v>
      </c>
      <c r="X23" s="5" t="n">
        <f aca="false">H23-W23</f>
        <v>0</v>
      </c>
      <c r="Y23" s="191" t="str">
        <f aca="false">IFERROR((H23/W23)-1,"-")</f>
        <v>-</v>
      </c>
    </row>
    <row r="24" customFormat="false" ht="14.25" hidden="false" customHeight="true" outlineLevel="1" collapsed="false">
      <c r="A24" s="169" t="n">
        <v>23</v>
      </c>
      <c r="B24" s="85" t="s">
        <v>154</v>
      </c>
      <c r="C24" s="193" t="s">
        <v>61</v>
      </c>
      <c r="D24" s="193" t="s">
        <v>62</v>
      </c>
      <c r="E24" s="158" t="s">
        <v>63</v>
      </c>
      <c r="F24" s="158" t="n">
        <f aca="false">VLOOKUP(B24,'2024'!$A:$O,9,0)</f>
        <v>19066.6</v>
      </c>
      <c r="G24" s="158" t="n">
        <f aca="false">VLOOKUP($B24,'2025'!$A:$O,9,0)</f>
        <v>18496.39</v>
      </c>
      <c r="H24" s="158" t="n">
        <v>0</v>
      </c>
      <c r="I24" s="190" t="n">
        <f aca="false">IFERROR(H24/$H$19,"")</f>
        <v>0</v>
      </c>
      <c r="J24" s="167" t="n">
        <f aca="false">IFERROR(H24/G24-1,"")</f>
        <v>-1</v>
      </c>
      <c r="K24" s="158" t="n">
        <f aca="false">H24-G24</f>
        <v>-18496.39</v>
      </c>
      <c r="M24" s="158" t="n">
        <f aca="false">VLOOKUP(C24,'תקציב  '!$B:$S,11,0)*1</f>
        <v>10000</v>
      </c>
      <c r="N24" s="190" t="n">
        <f aca="false">IFERROR(H24/M24-1,"-")</f>
        <v>-1</v>
      </c>
      <c r="O24" s="190" t="n">
        <f aca="false">IFERROR(H24/M24,"-")</f>
        <v>0</v>
      </c>
      <c r="P24" s="158" t="n">
        <f aca="false">H24-M24</f>
        <v>-10000</v>
      </c>
      <c r="R24" s="166" t="n">
        <v>0</v>
      </c>
      <c r="S24" s="190" t="str">
        <f aca="false">IFERROR(H24/R24-1,"-")</f>
        <v>-</v>
      </c>
      <c r="T24" s="190" t="str">
        <f aca="false">IFERROR(H24/R24,"-")</f>
        <v>-</v>
      </c>
      <c r="U24" s="166" t="n">
        <f aca="false">H24-R24</f>
        <v>0</v>
      </c>
      <c r="W24" s="158" t="n">
        <v>0</v>
      </c>
      <c r="X24" s="5" t="n">
        <f aca="false">H24-W24</f>
        <v>0</v>
      </c>
      <c r="Y24" s="191" t="str">
        <f aca="false">IFERROR((H24/W24)-1,"-")</f>
        <v>-</v>
      </c>
    </row>
    <row r="25" customFormat="false" ht="14.25" hidden="false" customHeight="true" outlineLevel="1" collapsed="false">
      <c r="A25" s="169" t="n">
        <v>24</v>
      </c>
      <c r="B25" s="85" t="s">
        <v>156</v>
      </c>
      <c r="C25" s="193" t="s">
        <v>64</v>
      </c>
      <c r="D25" s="193" t="s">
        <v>65</v>
      </c>
      <c r="E25" s="158" t="s">
        <v>66</v>
      </c>
      <c r="F25" s="158" t="n">
        <f aca="false">VLOOKUP(B25,'2024'!$A:$O,9,0)</f>
        <v>0</v>
      </c>
      <c r="G25" s="158" t="n">
        <f aca="false">VLOOKUP($B25,'2025'!$A:$O,9,0)</f>
        <v>0</v>
      </c>
      <c r="H25" s="158" t="n">
        <v>0</v>
      </c>
      <c r="I25" s="190" t="n">
        <f aca="false">IFERROR(H25/$H$19,"")</f>
        <v>0</v>
      </c>
      <c r="J25" s="167" t="str">
        <f aca="false">IFERROR(H25/G25-1,"")</f>
        <v/>
      </c>
      <c r="K25" s="158" t="n">
        <f aca="false">H25-G25</f>
        <v>0</v>
      </c>
      <c r="M25" s="158" t="n">
        <f aca="false">VLOOKUP(C25,'תקציב  '!$B:$S,11,0)*1</f>
        <v>5000</v>
      </c>
      <c r="N25" s="190" t="n">
        <f aca="false">IFERROR(H25/M25-1,"-")</f>
        <v>-1</v>
      </c>
      <c r="O25" s="190" t="n">
        <f aca="false">IFERROR(H25/M25,"-")</f>
        <v>0</v>
      </c>
      <c r="P25" s="158" t="n">
        <f aca="false">H25-M25</f>
        <v>-5000</v>
      </c>
      <c r="R25" s="166" t="n">
        <v>0</v>
      </c>
      <c r="S25" s="190" t="str">
        <f aca="false">IFERROR(H25/R25-1,"-")</f>
        <v>-</v>
      </c>
      <c r="T25" s="190" t="str">
        <f aca="false">IFERROR(H25/R25,"-")</f>
        <v>-</v>
      </c>
      <c r="U25" s="166" t="n">
        <f aca="false">H25-R25</f>
        <v>0</v>
      </c>
      <c r="W25" s="158" t="n">
        <v>0</v>
      </c>
      <c r="X25" s="5" t="n">
        <f aca="false">H25-W25</f>
        <v>0</v>
      </c>
      <c r="Y25" s="191" t="str">
        <f aca="false">IFERROR((H25/W25)-1,"-")</f>
        <v>-</v>
      </c>
    </row>
    <row r="26" customFormat="false" ht="13.5" hidden="false" customHeight="true" outlineLevel="1" collapsed="false">
      <c r="A26" s="169" t="n">
        <v>25</v>
      </c>
      <c r="B26" s="85" t="s">
        <v>162</v>
      </c>
      <c r="C26" s="193" t="s">
        <v>67</v>
      </c>
      <c r="D26" s="193" t="s">
        <v>68</v>
      </c>
      <c r="E26" s="158" t="s">
        <v>69</v>
      </c>
      <c r="F26" s="158" t="n">
        <f aca="false">VLOOKUP(B26,'2024'!$A:$O,9,0)</f>
        <v>0</v>
      </c>
      <c r="G26" s="158" t="n">
        <f aca="false">VLOOKUP($B26,'2025'!$A:$O,9,0)</f>
        <v>0</v>
      </c>
      <c r="H26" s="158" t="n">
        <v>0</v>
      </c>
      <c r="I26" s="190" t="n">
        <f aca="false">IFERROR(H26/$H$19,"")</f>
        <v>0</v>
      </c>
      <c r="J26" s="167" t="str">
        <f aca="false">IFERROR(H26/G26-1,"")</f>
        <v/>
      </c>
      <c r="K26" s="158" t="n">
        <f aca="false">H26-G26</f>
        <v>0</v>
      </c>
      <c r="M26" s="158" t="n">
        <f aca="false">VLOOKUP(C26,'תקציב  '!$B:$S,11,0)*1</f>
        <v>0</v>
      </c>
      <c r="N26" s="190" t="str">
        <f aca="false">IFERROR(H26/M26-1,"-")</f>
        <v>-</v>
      </c>
      <c r="O26" s="190" t="str">
        <f aca="false">IFERROR(H26/M26,"-")</f>
        <v>-</v>
      </c>
      <c r="P26" s="158" t="n">
        <f aca="false">H26-M26</f>
        <v>0</v>
      </c>
      <c r="R26" s="166" t="n">
        <v>0</v>
      </c>
      <c r="S26" s="190" t="str">
        <f aca="false">IFERROR(H26/R26-1,"-")</f>
        <v>-</v>
      </c>
      <c r="T26" s="190" t="str">
        <f aca="false">IFERROR(H26/R26,"-")</f>
        <v>-</v>
      </c>
      <c r="U26" s="166" t="n">
        <f aca="false">H26-R26</f>
        <v>0</v>
      </c>
      <c r="W26" s="158" t="n">
        <v>0</v>
      </c>
      <c r="X26" s="5" t="n">
        <f aca="false">H26-W26</f>
        <v>0</v>
      </c>
      <c r="Y26" s="191" t="str">
        <f aca="false">IFERROR((H26/W26)-1,"-")</f>
        <v>-</v>
      </c>
    </row>
    <row r="27" customFormat="false" ht="14.25" hidden="false" customHeight="true" outlineLevel="1" collapsed="false">
      <c r="A27" s="169" t="n">
        <v>26</v>
      </c>
      <c r="B27" s="85" t="s">
        <v>153</v>
      </c>
      <c r="C27" s="193" t="s">
        <v>70</v>
      </c>
      <c r="D27" s="193" t="s">
        <v>71</v>
      </c>
      <c r="E27" s="158" t="s">
        <v>72</v>
      </c>
      <c r="F27" s="158" t="n">
        <f aca="false">VLOOKUP(B27,'2024'!$A:$O,9,0)</f>
        <v>41467.05</v>
      </c>
      <c r="G27" s="158" t="n">
        <f aca="false">VLOOKUP($B27,'2025'!$A:$O,9,0)</f>
        <v>0</v>
      </c>
      <c r="H27" s="158" t="n">
        <v>0</v>
      </c>
      <c r="I27" s="190" t="n">
        <f aca="false">IFERROR(H27/$H$19,"")</f>
        <v>0</v>
      </c>
      <c r="J27" s="167" t="str">
        <f aca="false">IFERROR(H27/G27-1,"")</f>
        <v/>
      </c>
      <c r="K27" s="158" t="n">
        <f aca="false">H27-G27</f>
        <v>0</v>
      </c>
      <c r="M27" s="158" t="n">
        <f aca="false">VLOOKUP(C27,'תקציב  '!$B:$S,11,0)*1</f>
        <v>40000</v>
      </c>
      <c r="N27" s="190" t="n">
        <f aca="false">IFERROR(H27/M27-1,"-")</f>
        <v>-1</v>
      </c>
      <c r="O27" s="190" t="n">
        <f aca="false">IFERROR(H27/M27,"-")</f>
        <v>0</v>
      </c>
      <c r="P27" s="158" t="n">
        <f aca="false">H27-M27</f>
        <v>-40000</v>
      </c>
      <c r="R27" s="166" t="n">
        <v>0</v>
      </c>
      <c r="S27" s="190" t="str">
        <f aca="false">IFERROR(H27/R27-1,"-")</f>
        <v>-</v>
      </c>
      <c r="T27" s="190" t="str">
        <f aca="false">IFERROR(H27/R27,"-")</f>
        <v>-</v>
      </c>
      <c r="U27" s="166" t="n">
        <f aca="false">H27-R27</f>
        <v>0</v>
      </c>
      <c r="W27" s="158" t="n">
        <v>0</v>
      </c>
      <c r="X27" s="5" t="n">
        <f aca="false">H27-W27</f>
        <v>0</v>
      </c>
      <c r="Y27" s="191" t="str">
        <f aca="false">IFERROR((H27/W27)-1,"-")</f>
        <v>-</v>
      </c>
    </row>
    <row r="28" customFormat="false" ht="13.5" hidden="false" customHeight="true" outlineLevel="1" collapsed="false">
      <c r="A28" s="169" t="n">
        <v>27</v>
      </c>
      <c r="B28" s="85" t="s">
        <v>163</v>
      </c>
      <c r="C28" s="193" t="s">
        <v>73</v>
      </c>
      <c r="D28" s="193" t="s">
        <v>74</v>
      </c>
      <c r="E28" s="158" t="s">
        <v>75</v>
      </c>
      <c r="F28" s="158" t="n">
        <f aca="false">VLOOKUP(B28,'2024'!$A:$O,9,0)</f>
        <v>0</v>
      </c>
      <c r="G28" s="158" t="n">
        <f aca="false">VLOOKUP($B28,'2025'!$A:$O,9,0)</f>
        <v>0</v>
      </c>
      <c r="H28" s="158" t="n">
        <v>0</v>
      </c>
      <c r="I28" s="190" t="n">
        <f aca="false">IFERROR(H28/$H$19,"")</f>
        <v>0</v>
      </c>
      <c r="J28" s="167" t="str">
        <f aca="false">IFERROR(H28/G28-1,"")</f>
        <v/>
      </c>
      <c r="K28" s="158" t="n">
        <f aca="false">H28-G28</f>
        <v>0</v>
      </c>
      <c r="M28" s="158" t="n">
        <f aca="false">VLOOKUP(C28,'תקציב  '!$B:$S,11,0)*1</f>
        <v>250000</v>
      </c>
      <c r="N28" s="190" t="n">
        <f aca="false">IFERROR(H28/M28-1,"-")</f>
        <v>-1</v>
      </c>
      <c r="O28" s="190" t="n">
        <f aca="false">IFERROR(H28/M28,"-")</f>
        <v>0</v>
      </c>
      <c r="P28" s="158" t="n">
        <f aca="false">H28-M28</f>
        <v>-250000</v>
      </c>
      <c r="R28" s="166" t="n">
        <v>0</v>
      </c>
      <c r="S28" s="190" t="str">
        <f aca="false">IFERROR(H28/R28-1,"-")</f>
        <v>-</v>
      </c>
      <c r="T28" s="190" t="str">
        <f aca="false">IFERROR(H28/R28,"-")</f>
        <v>-</v>
      </c>
      <c r="U28" s="166" t="n">
        <f aca="false">H28-R28</f>
        <v>0</v>
      </c>
      <c r="W28" s="158" t="n">
        <v>0</v>
      </c>
      <c r="X28" s="5" t="n">
        <f aca="false">H28-W28</f>
        <v>0</v>
      </c>
      <c r="Y28" s="191" t="str">
        <f aca="false">IFERROR((H28/W28)-1,"-")</f>
        <v>-</v>
      </c>
    </row>
    <row r="29" customFormat="false" ht="13.5" hidden="false" customHeight="true" outlineLevel="1" collapsed="false">
      <c r="A29" s="169" t="n">
        <v>28</v>
      </c>
      <c r="B29" s="85" t="s">
        <v>164</v>
      </c>
      <c r="C29" s="193" t="s">
        <v>76</v>
      </c>
      <c r="D29" s="193" t="s">
        <v>77</v>
      </c>
      <c r="E29" s="158" t="s">
        <v>78</v>
      </c>
      <c r="F29" s="158" t="n">
        <f aca="false">VLOOKUP(B29,'2024'!$A:$O,9,0)</f>
        <v>21966.81</v>
      </c>
      <c r="G29" s="158" t="n">
        <f aca="false">VLOOKUP($B29,'2025'!$A:$O,9,0)</f>
        <v>26937.54</v>
      </c>
      <c r="H29" s="158" t="n">
        <v>30237.69</v>
      </c>
      <c r="I29" s="190" t="n">
        <f aca="false">IFERROR(H29/$H$19,"")</f>
        <v>0.0153145588132939</v>
      </c>
      <c r="J29" s="167" t="n">
        <f aca="false">IFERROR(H29/G29-1,"")</f>
        <v>0.122511186990349</v>
      </c>
      <c r="K29" s="158" t="n">
        <f aca="false">H29-G29</f>
        <v>3300.15</v>
      </c>
      <c r="M29" s="158" t="n">
        <f aca="false">VLOOKUP(C29,'תקציב  '!$B:$S,11,0)*1</f>
        <v>39765.076</v>
      </c>
      <c r="N29" s="190" t="n">
        <f aca="false">IFERROR(H29/M29-1,"-")</f>
        <v>-0.239591796580497</v>
      </c>
      <c r="O29" s="190" t="n">
        <f aca="false">IFERROR(H29/M29,"-")</f>
        <v>0.760408203419503</v>
      </c>
      <c r="P29" s="158" t="n">
        <f aca="false">H29-M29</f>
        <v>-9527.386</v>
      </c>
      <c r="R29" s="166" t="n">
        <v>20000</v>
      </c>
      <c r="S29" s="190" t="n">
        <f aca="false">IFERROR(H29/R29-1,"-")</f>
        <v>0.5118845</v>
      </c>
      <c r="T29" s="190" t="n">
        <f aca="false">IFERROR(H29/R29,"-")</f>
        <v>1.5118845</v>
      </c>
      <c r="U29" s="166" t="n">
        <f aca="false">H29-R29</f>
        <v>10237.69</v>
      </c>
      <c r="W29" s="158" t="n">
        <v>30237.69</v>
      </c>
      <c r="X29" s="5" t="n">
        <f aca="false">H29-W29</f>
        <v>0</v>
      </c>
      <c r="Y29" s="191" t="n">
        <f aca="false">IFERROR((H29/W29)-1,"-")</f>
        <v>0</v>
      </c>
    </row>
    <row r="30" customFormat="false" ht="14.25" hidden="false" customHeight="true" outlineLevel="1" collapsed="false">
      <c r="A30" s="169" t="n">
        <v>29</v>
      </c>
      <c r="B30" s="85" t="s">
        <v>158</v>
      </c>
      <c r="C30" s="193" t="s">
        <v>79</v>
      </c>
      <c r="D30" s="193" t="s">
        <v>80</v>
      </c>
      <c r="E30" s="158" t="s">
        <v>81</v>
      </c>
      <c r="F30" s="158" t="n">
        <f aca="false">VLOOKUP(B30,'2024'!$A:$O,9,0)</f>
        <v>0</v>
      </c>
      <c r="G30" s="158" t="n">
        <f aca="false">VLOOKUP($B30,'2025'!$A:$O,9,0)</f>
        <v>0</v>
      </c>
      <c r="H30" s="158" t="n">
        <v>0</v>
      </c>
      <c r="I30" s="190" t="n">
        <f aca="false">IFERROR(H30/$H$19,"")</f>
        <v>0</v>
      </c>
      <c r="J30" s="167" t="str">
        <f aca="false">IFERROR(H30/G30-1,"")</f>
        <v/>
      </c>
      <c r="K30" s="158" t="n">
        <f aca="false">H30-G30</f>
        <v>0</v>
      </c>
      <c r="M30" s="158" t="n">
        <f aca="false">VLOOKUP(C30,'תקציב  '!$B:$S,11,0)*1</f>
        <v>0</v>
      </c>
      <c r="N30" s="190" t="str">
        <f aca="false">IFERROR(H30/M30-1,"-")</f>
        <v>-</v>
      </c>
      <c r="O30" s="190" t="str">
        <f aca="false">IFERROR(H30/M30,"-")</f>
        <v>-</v>
      </c>
      <c r="P30" s="158" t="n">
        <f aca="false">H30-M30</f>
        <v>0</v>
      </c>
      <c r="R30" s="166" t="n">
        <v>0</v>
      </c>
      <c r="S30" s="190" t="str">
        <f aca="false">IFERROR(H30/R30-1,"-")</f>
        <v>-</v>
      </c>
      <c r="T30" s="190" t="str">
        <f aca="false">IFERROR(H30/R30,"-")</f>
        <v>-</v>
      </c>
      <c r="U30" s="166" t="n">
        <f aca="false">H30-R30</f>
        <v>0</v>
      </c>
      <c r="W30" s="158" t="n">
        <v>0</v>
      </c>
      <c r="X30" s="5" t="n">
        <f aca="false">H30-W30</f>
        <v>0</v>
      </c>
      <c r="Y30" s="191" t="str">
        <f aca="false">IFERROR((H30/W30)-1,"-")</f>
        <v>-</v>
      </c>
    </row>
    <row r="31" customFormat="false" ht="14.25" hidden="false" customHeight="true" outlineLevel="1" collapsed="false">
      <c r="A31" s="169" t="n">
        <v>30</v>
      </c>
      <c r="B31" s="85" t="s">
        <v>152</v>
      </c>
      <c r="C31" s="193" t="s">
        <v>82</v>
      </c>
      <c r="D31" s="193" t="s">
        <v>83</v>
      </c>
      <c r="E31" s="158" t="s">
        <v>81</v>
      </c>
      <c r="F31" s="158" t="n">
        <f aca="false">VLOOKUP(B31,'2024'!$A:$O,9,0)</f>
        <v>0</v>
      </c>
      <c r="G31" s="158" t="n">
        <f aca="false">VLOOKUP($B31,'2025'!$A:$O,9,0)</f>
        <v>0</v>
      </c>
      <c r="H31" s="158" t="n">
        <v>0</v>
      </c>
      <c r="I31" s="190" t="n">
        <f aca="false">IFERROR(H31/$H$19,"")</f>
        <v>0</v>
      </c>
      <c r="J31" s="167" t="str">
        <f aca="false">IFERROR(H31/G31-1,"")</f>
        <v/>
      </c>
      <c r="K31" s="158" t="n">
        <f aca="false">H31-G31</f>
        <v>0</v>
      </c>
      <c r="M31" s="158" t="n">
        <f aca="false">VLOOKUP(C31,'תקציב  '!$B:$S,11,0)*1</f>
        <v>0</v>
      </c>
      <c r="N31" s="190" t="str">
        <f aca="false">IFERROR(H31/M31-1,"-")</f>
        <v>-</v>
      </c>
      <c r="O31" s="190" t="str">
        <f aca="false">IFERROR(H31/M31,"-")</f>
        <v>-</v>
      </c>
      <c r="P31" s="158" t="n">
        <f aca="false">H31-M31</f>
        <v>0</v>
      </c>
      <c r="R31" s="166" t="n">
        <v>0</v>
      </c>
      <c r="S31" s="190" t="str">
        <f aca="false">IFERROR(H31/R31-1,"-")</f>
        <v>-</v>
      </c>
      <c r="T31" s="190" t="str">
        <f aca="false">IFERROR(H31/R31,"-")</f>
        <v>-</v>
      </c>
      <c r="U31" s="166" t="n">
        <f aca="false">H31-R31</f>
        <v>0</v>
      </c>
      <c r="W31" s="158" t="n">
        <v>0</v>
      </c>
      <c r="X31" s="5" t="n">
        <f aca="false">H31-W31</f>
        <v>0</v>
      </c>
      <c r="Y31" s="191" t="str">
        <f aca="false">IFERROR((H31/W31)-1,"-")</f>
        <v>-</v>
      </c>
    </row>
    <row r="32" customFormat="false" ht="13.5" hidden="false" customHeight="true" outlineLevel="1" collapsed="false">
      <c r="A32" s="169" t="n">
        <v>31</v>
      </c>
      <c r="B32" s="85" t="s">
        <v>84</v>
      </c>
      <c r="C32" s="193" t="s">
        <v>84</v>
      </c>
      <c r="D32" s="193" t="s">
        <v>85</v>
      </c>
      <c r="E32" s="158" t="s">
        <v>86</v>
      </c>
      <c r="F32" s="158" t="n">
        <f aca="false">VLOOKUP(B32,'2024'!$A:$O,9,0)</f>
        <v>0</v>
      </c>
      <c r="G32" s="158" t="n">
        <f aca="false">VLOOKUP($B32,'2025'!$A:$O,9,0)</f>
        <v>0</v>
      </c>
      <c r="H32" s="158" t="n">
        <v>10037.15</v>
      </c>
      <c r="I32" s="190" t="n">
        <f aca="false">IFERROR(H32/$H$19,"")</f>
        <v>0.00508354057445701</v>
      </c>
      <c r="J32" s="167" t="str">
        <f aca="false">IFERROR(H32/G32-1,"")</f>
        <v/>
      </c>
      <c r="K32" s="158" t="n">
        <f aca="false">H32-G32</f>
        <v>10037.15</v>
      </c>
      <c r="M32" s="158" t="n">
        <f aca="false">VLOOKUP(C32,'תקציב  '!$B:$S,11,0)*1</f>
        <v>0</v>
      </c>
      <c r="N32" s="190" t="str">
        <f aca="false">IFERROR(H32/M32-1,"-")</f>
        <v>-</v>
      </c>
      <c r="O32" s="190" t="str">
        <f aca="false">IFERROR(H32/M32,"-")</f>
        <v>-</v>
      </c>
      <c r="P32" s="158" t="n">
        <f aca="false">H32-M32</f>
        <v>10037.15</v>
      </c>
      <c r="R32" s="166" t="n">
        <v>0</v>
      </c>
      <c r="S32" s="190" t="str">
        <f aca="false">IFERROR(H32/R32-1,"-")</f>
        <v>-</v>
      </c>
      <c r="T32" s="190" t="str">
        <f aca="false">IFERROR(H32/R32,"-")</f>
        <v>-</v>
      </c>
      <c r="U32" s="166" t="n">
        <f aca="false">H32-R32</f>
        <v>10037.15</v>
      </c>
      <c r="W32" s="158" t="n">
        <v>10037.15</v>
      </c>
      <c r="X32" s="5" t="n">
        <f aca="false">H32-W32</f>
        <v>0</v>
      </c>
      <c r="Y32" s="191" t="n">
        <f aca="false">IFERROR((H32/W32)-1,"-")</f>
        <v>0</v>
      </c>
    </row>
    <row r="33" customFormat="false" ht="13.5" hidden="false" customHeight="true" outlineLevel="1" collapsed="false">
      <c r="A33" s="169"/>
      <c r="C33" s="193"/>
      <c r="D33" s="193" t="s">
        <v>171</v>
      </c>
      <c r="E33" s="158" t="s">
        <v>172</v>
      </c>
      <c r="F33" s="158"/>
      <c r="G33" s="158"/>
      <c r="H33" s="158" t="n">
        <v>0</v>
      </c>
      <c r="I33" s="190" t="n">
        <f aca="false">IFERROR(H33/$H$19,"")</f>
        <v>0</v>
      </c>
      <c r="J33" s="167" t="str">
        <f aca="false">IFERROR(H33/G33-1,"")</f>
        <v/>
      </c>
      <c r="K33" s="158" t="n">
        <f aca="false">H33-G33</f>
        <v>0</v>
      </c>
      <c r="M33" s="158"/>
      <c r="N33" s="190" t="str">
        <f aca="false">IFERROR(H33/M33-1,"-")</f>
        <v>-</v>
      </c>
      <c r="O33" s="190" t="str">
        <f aca="false">IFERROR(H33/M33,"-")</f>
        <v>-</v>
      </c>
      <c r="P33" s="158" t="n">
        <f aca="false">H33-M33</f>
        <v>0</v>
      </c>
      <c r="R33" s="166" t="n">
        <v>0</v>
      </c>
      <c r="S33" s="190" t="str">
        <f aca="false">IFERROR(H33/R33-1,"-")</f>
        <v>-</v>
      </c>
      <c r="T33" s="190" t="str">
        <f aca="false">IFERROR(H33/R33,"-")</f>
        <v>-</v>
      </c>
      <c r="U33" s="166" t="n">
        <f aca="false">H33-R33</f>
        <v>0</v>
      </c>
      <c r="W33" s="158" t="n">
        <v>0</v>
      </c>
      <c r="X33" s="5" t="n">
        <f aca="false">H33-W33</f>
        <v>0</v>
      </c>
      <c r="Y33" s="191" t="str">
        <f aca="false">IFERROR((H33/W33)-1,"-")</f>
        <v>-</v>
      </c>
    </row>
    <row r="34" customFormat="false" ht="13.5" hidden="false" customHeight="true" outlineLevel="1" collapsed="false">
      <c r="A34" s="169" t="n">
        <v>32</v>
      </c>
      <c r="B34" s="85" t="s">
        <v>161</v>
      </c>
      <c r="C34" s="193" t="s">
        <v>87</v>
      </c>
      <c r="D34" s="193" t="s">
        <v>88</v>
      </c>
      <c r="E34" s="158" t="s">
        <v>89</v>
      </c>
      <c r="F34" s="158" t="n">
        <f aca="false">VLOOKUP(B34,'2024'!$A:$O,9,0)</f>
        <v>0</v>
      </c>
      <c r="G34" s="158" t="n">
        <f aca="false">VLOOKUP($B34,'2025'!$A:$O,9,0)</f>
        <v>0</v>
      </c>
      <c r="H34" s="158" t="n">
        <v>18350.05</v>
      </c>
      <c r="I34" s="190" t="n">
        <f aca="false">IFERROR(H34/$H$19,"")</f>
        <v>0.00929379591998872</v>
      </c>
      <c r="J34" s="167" t="str">
        <f aca="false">IFERROR(H34/G34-1,"")</f>
        <v/>
      </c>
      <c r="K34" s="158" t="n">
        <f aca="false">H34-G34</f>
        <v>18350.05</v>
      </c>
      <c r="M34" s="158" t="n">
        <f aca="false">VLOOKUP(C34,'תקציב  '!$B:$S,11,0)*1</f>
        <v>0</v>
      </c>
      <c r="N34" s="190" t="str">
        <f aca="false">IFERROR(H34/M34-1,"-")</f>
        <v>-</v>
      </c>
      <c r="O34" s="190" t="str">
        <f aca="false">IFERROR(H34/M34,"-")</f>
        <v>-</v>
      </c>
      <c r="P34" s="158" t="n">
        <f aca="false">H34-M34</f>
        <v>18350.05</v>
      </c>
      <c r="R34" s="166" t="n">
        <v>20000</v>
      </c>
      <c r="S34" s="190" t="n">
        <f aca="false">IFERROR(H34/R34-1,"-")</f>
        <v>-0.0824975</v>
      </c>
      <c r="T34" s="190" t="n">
        <f aca="false">IFERROR(H34/R34,"-")</f>
        <v>0.9175025</v>
      </c>
      <c r="U34" s="166" t="n">
        <f aca="false">H34-R34</f>
        <v>-1649.95</v>
      </c>
      <c r="W34" s="158" t="n">
        <v>18350.05</v>
      </c>
      <c r="X34" s="5" t="n">
        <f aca="false">H34-W34</f>
        <v>0</v>
      </c>
      <c r="Y34" s="191" t="n">
        <f aca="false">IFERROR((H34/W34)-1,"-")</f>
        <v>0</v>
      </c>
    </row>
    <row r="35" customFormat="false" ht="13.5" hidden="false" customHeight="true" outlineLevel="1" collapsed="false">
      <c r="A35" s="169" t="n">
        <v>33</v>
      </c>
      <c r="B35" s="85" t="s">
        <v>160</v>
      </c>
      <c r="C35" s="193" t="s">
        <v>90</v>
      </c>
      <c r="D35" s="193" t="s">
        <v>91</v>
      </c>
      <c r="E35" s="158" t="s">
        <v>92</v>
      </c>
      <c r="F35" s="158" t="n">
        <f aca="false">VLOOKUP(B35,'2024'!$A:$O,9,0)</f>
        <v>25140.85</v>
      </c>
      <c r="G35" s="158" t="n">
        <f aca="false">VLOOKUP($B35,'2025'!$A:$O,9,0)</f>
        <v>0</v>
      </c>
      <c r="H35" s="158" t="n">
        <v>26105.72</v>
      </c>
      <c r="I35" s="190" t="n">
        <f aca="false">IFERROR(H35/$H$19,"")</f>
        <v>0.0132218295876234</v>
      </c>
      <c r="J35" s="167" t="str">
        <f aca="false">IFERROR(H35/G35-1,"")</f>
        <v/>
      </c>
      <c r="K35" s="158" t="n">
        <f aca="false">H35-G35</f>
        <v>26105.72</v>
      </c>
      <c r="M35" s="158" t="n">
        <f aca="false">VLOOKUP(C35,'תקציב  '!$B:$S,11,0)*1</f>
        <v>0</v>
      </c>
      <c r="N35" s="190" t="str">
        <f aca="false">IFERROR(H35/M35-1,"-")</f>
        <v>-</v>
      </c>
      <c r="O35" s="190" t="str">
        <f aca="false">IFERROR(H35/M35,"-")</f>
        <v>-</v>
      </c>
      <c r="P35" s="158" t="n">
        <f aca="false">H35-M35</f>
        <v>26105.72</v>
      </c>
      <c r="R35" s="166" t="n">
        <v>0</v>
      </c>
      <c r="S35" s="190" t="str">
        <f aca="false">IFERROR(H35/R35-1,"-")</f>
        <v>-</v>
      </c>
      <c r="T35" s="190" t="str">
        <f aca="false">IFERROR(H35/R35,"-")</f>
        <v>-</v>
      </c>
      <c r="U35" s="166" t="n">
        <f aca="false">H35-R35</f>
        <v>26105.72</v>
      </c>
      <c r="W35" s="158" t="n">
        <v>26105.72</v>
      </c>
      <c r="X35" s="5" t="n">
        <f aca="false">H35-W35</f>
        <v>0</v>
      </c>
      <c r="Y35" s="191" t="n">
        <f aca="false">IFERROR((H35/W35)-1,"-")</f>
        <v>0</v>
      </c>
    </row>
    <row r="36" customFormat="false" ht="14.25" hidden="false" customHeight="true" outlineLevel="1" collapsed="false">
      <c r="A36" s="169"/>
      <c r="B36" s="85" t="s">
        <v>166</v>
      </c>
      <c r="C36" s="193" t="s">
        <v>166</v>
      </c>
      <c r="D36" s="193" t="s">
        <v>173</v>
      </c>
      <c r="E36" s="158" t="s">
        <v>78</v>
      </c>
      <c r="F36" s="158" t="n">
        <f aca="false">VLOOKUP(B36,'2024'!$A:$O,9,0)</f>
        <v>0</v>
      </c>
      <c r="G36" s="158" t="n">
        <f aca="false">VLOOKUP($B36,'2025'!$A:$O,9,0)</f>
        <v>0</v>
      </c>
      <c r="H36" s="158" t="n">
        <v>0</v>
      </c>
      <c r="I36" s="190" t="n">
        <f aca="false">IFERROR(H36/$H$19,"")</f>
        <v>0</v>
      </c>
      <c r="J36" s="167" t="str">
        <f aca="false">IFERROR(H36/G36-1,"")</f>
        <v/>
      </c>
      <c r="K36" s="158" t="n">
        <f aca="false">H36-G36</f>
        <v>0</v>
      </c>
      <c r="M36" s="158"/>
      <c r="N36" s="190" t="str">
        <f aca="false">IFERROR(H36/M36-1,"-")</f>
        <v>-</v>
      </c>
      <c r="O36" s="190" t="str">
        <f aca="false">IFERROR(H36/M36,"-")</f>
        <v>-</v>
      </c>
      <c r="P36" s="158" t="n">
        <f aca="false">H36-M36</f>
        <v>0</v>
      </c>
      <c r="R36" s="166" t="n">
        <v>0</v>
      </c>
      <c r="S36" s="190" t="str">
        <f aca="false">IFERROR(H36/R36-1,"-")</f>
        <v>-</v>
      </c>
      <c r="T36" s="190" t="str">
        <f aca="false">IFERROR(H36/R36,"-")</f>
        <v>-</v>
      </c>
      <c r="U36" s="166" t="n">
        <f aca="false">H36-R36</f>
        <v>0</v>
      </c>
      <c r="W36" s="158" t="n">
        <v>0</v>
      </c>
      <c r="X36" s="5" t="n">
        <f aca="false">H36-W36</f>
        <v>0</v>
      </c>
      <c r="Y36" s="191" t="str">
        <f aca="false">IFERROR((H36/W36)-1,"-")</f>
        <v>-</v>
      </c>
    </row>
    <row r="37" customFormat="false" ht="14.25" hidden="false" customHeight="true" outlineLevel="1" collapsed="false">
      <c r="A37" s="169" t="n">
        <v>34</v>
      </c>
      <c r="B37" s="85" t="s">
        <v>165</v>
      </c>
      <c r="C37" s="193" t="s">
        <v>165</v>
      </c>
      <c r="D37" s="193" t="s">
        <v>93</v>
      </c>
      <c r="E37" s="158" t="s">
        <v>174</v>
      </c>
      <c r="F37" s="158" t="n">
        <f aca="false">VLOOKUP(B37,'2024'!$A:$O,9,0)</f>
        <v>0</v>
      </c>
      <c r="G37" s="158" t="n">
        <f aca="false">VLOOKUP($B37,'2025'!$A:$O,9,0)</f>
        <v>0</v>
      </c>
      <c r="H37" s="158" t="n">
        <v>0</v>
      </c>
      <c r="I37" s="190" t="n">
        <f aca="false">IFERROR(H37/$H$19,"")</f>
        <v>0</v>
      </c>
      <c r="J37" s="167" t="str">
        <f aca="false">IFERROR(H37/G37-1,"")</f>
        <v/>
      </c>
      <c r="K37" s="158" t="n">
        <f aca="false">H37-G37</f>
        <v>0</v>
      </c>
      <c r="M37" s="158"/>
      <c r="N37" s="190" t="str">
        <f aca="false">IFERROR(H37/M37-1,"-")</f>
        <v>-</v>
      </c>
      <c r="O37" s="190" t="str">
        <f aca="false">IFERROR(H37/M37,"-")</f>
        <v>-</v>
      </c>
      <c r="P37" s="158" t="n">
        <f aca="false">H37-M37</f>
        <v>0</v>
      </c>
      <c r="R37" s="166" t="n">
        <v>0</v>
      </c>
      <c r="S37" s="190" t="str">
        <f aca="false">IFERROR(H37/R37-1,"-")</f>
        <v>-</v>
      </c>
      <c r="T37" s="190" t="str">
        <f aca="false">IFERROR(H37/R37,"-")</f>
        <v>-</v>
      </c>
      <c r="U37" s="166" t="n">
        <f aca="false">H37-R37</f>
        <v>0</v>
      </c>
      <c r="W37" s="158" t="n">
        <v>0</v>
      </c>
      <c r="X37" s="5" t="n">
        <f aca="false">H37-W37</f>
        <v>0</v>
      </c>
      <c r="Y37" s="191" t="str">
        <f aca="false">IFERROR((H37/W37)-1,"-")</f>
        <v>-</v>
      </c>
    </row>
    <row r="38" customFormat="false" ht="13.5" hidden="false" customHeight="true" outlineLevel="1" collapsed="false">
      <c r="A38" s="169" t="n">
        <v>35</v>
      </c>
      <c r="B38" s="85" t="s">
        <v>94</v>
      </c>
      <c r="C38" s="193" t="s">
        <v>94</v>
      </c>
      <c r="D38" s="193" t="s">
        <v>95</v>
      </c>
      <c r="E38" s="158" t="s">
        <v>51</v>
      </c>
      <c r="F38" s="158" t="n">
        <f aca="false">VLOOKUP(B38,'2024'!$A:$O,9,0)</f>
        <v>0</v>
      </c>
      <c r="G38" s="158" t="n">
        <f aca="false">VLOOKUP($B38,'2025'!$A:$O,9,0)</f>
        <v>0</v>
      </c>
      <c r="H38" s="158" t="n">
        <v>0</v>
      </c>
      <c r="I38" s="190" t="n">
        <f aca="false">IFERROR(H38/$H$19,"")</f>
        <v>0</v>
      </c>
      <c r="J38" s="167" t="str">
        <f aca="false">IFERROR(H38/G38-1,"")</f>
        <v/>
      </c>
      <c r="K38" s="158" t="n">
        <f aca="false">H38-G38</f>
        <v>0</v>
      </c>
      <c r="M38" s="158" t="n">
        <f aca="false">VLOOKUP(C38,'תקציב  '!$B:$S,11,0)*1</f>
        <v>200000</v>
      </c>
      <c r="N38" s="190" t="n">
        <f aca="false">IFERROR(H38/M38-1,"-")</f>
        <v>-1</v>
      </c>
      <c r="O38" s="190" t="n">
        <f aca="false">IFERROR(H38/M38,"-")</f>
        <v>0</v>
      </c>
      <c r="P38" s="158" t="n">
        <f aca="false">H38-M38</f>
        <v>-200000</v>
      </c>
      <c r="R38" s="166" t="n">
        <v>0</v>
      </c>
      <c r="S38" s="190" t="str">
        <f aca="false">IFERROR(H38/R38-1,"-")</f>
        <v>-</v>
      </c>
      <c r="T38" s="190" t="str">
        <f aca="false">IFERROR(H38/R38,"-")</f>
        <v>-</v>
      </c>
      <c r="U38" s="166" t="n">
        <f aca="false">H38-R38</f>
        <v>0</v>
      </c>
      <c r="W38" s="158" t="n">
        <v>0</v>
      </c>
      <c r="X38" s="5" t="n">
        <f aca="false">H38-W38</f>
        <v>0</v>
      </c>
      <c r="Y38" s="191" t="str">
        <f aca="false">IFERROR((H38/W38)-1,"-")</f>
        <v>-</v>
      </c>
    </row>
    <row r="39" customFormat="false" ht="13.5" hidden="false" customHeight="true" outlineLevel="1" collapsed="false">
      <c r="A39" s="226" t="n">
        <v>36</v>
      </c>
      <c r="C39" s="227" t="s">
        <v>97</v>
      </c>
      <c r="D39" s="227" t="s">
        <v>97</v>
      </c>
      <c r="E39" s="228"/>
      <c r="F39" s="228"/>
      <c r="G39" s="228"/>
      <c r="H39" s="228" t="n">
        <v>0</v>
      </c>
      <c r="I39" s="229" t="n">
        <f aca="false">IFERROR(H39/$H$19,"")</f>
        <v>0</v>
      </c>
      <c r="J39" s="167" t="str">
        <f aca="false">IFERROR(H39/G39-1,"")</f>
        <v/>
      </c>
      <c r="K39" s="228" t="n">
        <f aca="false">H39-G39</f>
        <v>0</v>
      </c>
      <c r="M39" s="228" t="n">
        <f aca="false">VLOOKUP(C39,'תקציב  '!$B:$S,11,0)*1</f>
        <v>0</v>
      </c>
      <c r="N39" s="229" t="str">
        <f aca="false">IFERROR(H39/M39-1,"-")</f>
        <v>-</v>
      </c>
      <c r="O39" s="229" t="str">
        <f aca="false">IFERROR(H39/M39,"-")</f>
        <v>-</v>
      </c>
      <c r="P39" s="228" t="n">
        <f aca="false">H39-M39</f>
        <v>0</v>
      </c>
      <c r="R39" s="166" t="n">
        <v>0</v>
      </c>
      <c r="S39" s="190" t="str">
        <f aca="false">IFERROR(H39/R39-1,"-")</f>
        <v>-</v>
      </c>
      <c r="T39" s="190" t="str">
        <f aca="false">IFERROR(H39/R39,"-")</f>
        <v>-</v>
      </c>
      <c r="U39" s="166" t="n">
        <f aca="false">H39-R39</f>
        <v>0</v>
      </c>
      <c r="W39" s="158" t="n">
        <v>0</v>
      </c>
      <c r="X39" s="5" t="n">
        <f aca="false">H39-W39</f>
        <v>0</v>
      </c>
      <c r="Y39" s="191" t="str">
        <f aca="false">IFERROR((H39/W39)-1,"-")</f>
        <v>-</v>
      </c>
    </row>
    <row r="40" customFormat="false" ht="15" hidden="false" customHeight="true" outlineLevel="0" collapsed="false">
      <c r="A40" s="169"/>
      <c r="B40" s="230"/>
      <c r="C40" s="206"/>
      <c r="D40" s="206" t="s">
        <v>98</v>
      </c>
      <c r="E40" s="173"/>
      <c r="F40" s="173" t="n">
        <f aca="false">SUM(F20:F39)+F51+F52</f>
        <v>394530.67</v>
      </c>
      <c r="G40" s="173" t="n">
        <f aca="false">SUM(G20:G39)+G51+G52</f>
        <v>430934.25</v>
      </c>
      <c r="H40" s="173" t="n">
        <f aca="false">SUM(H20:H39)+H51+H52</f>
        <v>430411</v>
      </c>
      <c r="I40" s="174" t="n">
        <f aca="false">IFERROR(H40/$H$19,"")</f>
        <v>0.217991340389714</v>
      </c>
      <c r="J40" s="174" t="n">
        <f aca="false">H40/G40-1</f>
        <v>-0.00121422235526647</v>
      </c>
      <c r="K40" s="173" t="n">
        <f aca="false">SUM(K20:K39)+K51+K52</f>
        <v>-523.25</v>
      </c>
      <c r="M40" s="173" t="n">
        <f aca="false">SUM(M20:M39)+M51+M52</f>
        <v>1146567.022175</v>
      </c>
      <c r="N40" s="174" t="n">
        <f aca="false">IFERROR(H40/M40-1,"-")</f>
        <v>-0.624608948560613</v>
      </c>
      <c r="O40" s="174" t="n">
        <f aca="false">IFERROR(H40/M40,"-")</f>
        <v>0.375391051439387</v>
      </c>
      <c r="P40" s="173" t="n">
        <f aca="false">SUM(P20:P39)+P51+P52</f>
        <v>-716156.022175</v>
      </c>
      <c r="R40" s="173" t="n">
        <f aca="false">SUM(R20:R39)+R51+R52</f>
        <v>495012.4</v>
      </c>
      <c r="S40" s="174" t="n">
        <f aca="false">IFERROR(H40/R40-1,"-")</f>
        <v>-0.130504609581497</v>
      </c>
      <c r="T40" s="174" t="n">
        <f aca="false">IFERROR(H40/R40,"-")</f>
        <v>0.869495390418503</v>
      </c>
      <c r="U40" s="173" t="n">
        <f aca="false">H40-R40</f>
        <v>-64601.4</v>
      </c>
      <c r="V40" s="198"/>
      <c r="W40" s="173" t="n">
        <v>430411</v>
      </c>
      <c r="X40" s="199" t="n">
        <f aca="false">H40-W40</f>
        <v>0</v>
      </c>
      <c r="Y40" s="200" t="n">
        <f aca="false">IFERROR((H40/W40)-1,"-")</f>
        <v>0</v>
      </c>
    </row>
    <row r="41" customFormat="false" ht="15" hidden="false" customHeight="true" outlineLevel="0" collapsed="false">
      <c r="A41" s="169"/>
      <c r="B41" s="230"/>
      <c r="C41" s="207"/>
      <c r="D41" s="207" t="s">
        <v>175</v>
      </c>
      <c r="E41" s="175"/>
      <c r="F41" s="175" t="n">
        <f aca="false">F40+F19</f>
        <v>1957759.307</v>
      </c>
      <c r="G41" s="175" t="n">
        <f aca="false">G40+G19</f>
        <v>1998960.06</v>
      </c>
      <c r="H41" s="175" t="n">
        <f aca="false">H40+H19</f>
        <v>2404851.816</v>
      </c>
      <c r="I41" s="147" t="n">
        <f aca="false">IFERROR(H41/$H$19,"")</f>
        <v>1.21799134038971</v>
      </c>
      <c r="J41" s="147" t="n">
        <f aca="false">H41/G41-1</f>
        <v>0.203051458666963</v>
      </c>
      <c r="K41" s="175" t="n">
        <f aca="false">K40+K19</f>
        <v>405891.756</v>
      </c>
      <c r="M41" s="175" t="n">
        <f aca="false">M40+M19</f>
        <v>4141049.61905824</v>
      </c>
      <c r="N41" s="147" t="n">
        <f aca="false">IFERROR(H41/M41-1,"-")</f>
        <v>-0.419265153227768</v>
      </c>
      <c r="O41" s="147" t="n">
        <f aca="false">IFERROR(H41/M41,"-")</f>
        <v>0.580734846772232</v>
      </c>
      <c r="P41" s="175" t="n">
        <f aca="false">P40+P19</f>
        <v>-1736197.80305824</v>
      </c>
      <c r="R41" s="175" t="n">
        <f aca="false">R40+R19</f>
        <v>2626512.4</v>
      </c>
      <c r="S41" s="147" t="n">
        <f aca="false">IFERROR(H41/R41-1,"-")</f>
        <v>-0.0843935037199901</v>
      </c>
      <c r="T41" s="147" t="n">
        <f aca="false">IFERROR(H41/R41,"-")</f>
        <v>0.91560649628001</v>
      </c>
      <c r="U41" s="175" t="n">
        <f aca="false">H41-R41</f>
        <v>-221660.584</v>
      </c>
      <c r="V41" s="198"/>
      <c r="W41" s="175" t="n">
        <v>2350176.121</v>
      </c>
      <c r="X41" s="199" t="n">
        <f aca="false">H41-W41</f>
        <v>54675.6949999998</v>
      </c>
      <c r="Y41" s="200" t="n">
        <f aca="false">IFERROR((H41/W41)-1,"-")</f>
        <v>0.0232645096303401</v>
      </c>
    </row>
    <row r="42" customFormat="false" ht="14.25" hidden="false" customHeight="true" outlineLevel="0" collapsed="false">
      <c r="E42" s="157"/>
      <c r="F42" s="157" t="n">
        <f aca="false">F41-'2024'!I38</f>
        <v>0</v>
      </c>
      <c r="G42" s="157"/>
      <c r="H42" s="157"/>
      <c r="J42" s="231"/>
      <c r="K42" s="157"/>
      <c r="M42" s="157"/>
      <c r="P42" s="157"/>
    </row>
    <row r="44" customFormat="false" ht="14.25" hidden="false" customHeight="true" outlineLevel="0" collapsed="false">
      <c r="H44" s="5"/>
    </row>
    <row r="50" customFormat="false" ht="14.25" hidden="false" customHeight="true" outlineLevel="0" collapsed="false">
      <c r="A50" s="165"/>
      <c r="B50" s="85"/>
      <c r="C50" s="189" t="s">
        <v>176</v>
      </c>
      <c r="D50" s="189" t="s">
        <v>176</v>
      </c>
      <c r="E50" s="158" t="s">
        <v>32</v>
      </c>
      <c r="F50" s="158"/>
      <c r="G50" s="158"/>
      <c r="H50" s="158" t="n">
        <v>0</v>
      </c>
      <c r="I50" s="190" t="n">
        <f aca="false">IFERROR(H50/$H$19,"")</f>
        <v>0</v>
      </c>
      <c r="J50" s="167" t="str">
        <f aca="false">IFERROR(H50/G50-1,"-")</f>
        <v>-</v>
      </c>
      <c r="K50" s="158" t="n">
        <f aca="false">H50-G50</f>
        <v>0</v>
      </c>
      <c r="M50" s="158"/>
      <c r="N50" s="190" t="str">
        <f aca="false">IFERROR(H50/M50-1,"-")</f>
        <v>-</v>
      </c>
      <c r="O50" s="190" t="str">
        <f aca="false">IFERROR(H50/M50,"-")</f>
        <v>-</v>
      </c>
      <c r="P50" s="158" t="n">
        <f aca="false">H50-M50</f>
        <v>0</v>
      </c>
    </row>
    <row r="51" customFormat="false" ht="14.25" hidden="false" customHeight="true" outlineLevel="0" collapsed="false">
      <c r="A51" s="169"/>
      <c r="B51" s="85"/>
      <c r="C51" s="193" t="s">
        <v>177</v>
      </c>
      <c r="D51" s="193" t="s">
        <v>177</v>
      </c>
      <c r="E51" s="158" t="s">
        <v>178</v>
      </c>
      <c r="F51" s="158"/>
      <c r="G51" s="158"/>
      <c r="H51" s="158" t="n">
        <v>0</v>
      </c>
      <c r="I51" s="190" t="n">
        <f aca="false">IFERROR(H51/$H$19,"")</f>
        <v>0</v>
      </c>
      <c r="J51" s="167" t="str">
        <f aca="false">IFERROR(H51/G51-1,"-")</f>
        <v>-</v>
      </c>
      <c r="K51" s="158" t="n">
        <f aca="false">H51-G51</f>
        <v>0</v>
      </c>
      <c r="M51" s="158"/>
      <c r="N51" s="190" t="str">
        <f aca="false">IFERROR(H51/M51-1,"-")</f>
        <v>-</v>
      </c>
      <c r="O51" s="190" t="str">
        <f aca="false">IFERROR(H51/M51,"-")</f>
        <v>-</v>
      </c>
      <c r="P51" s="158" t="n">
        <f aca="false">H51-M51</f>
        <v>0</v>
      </c>
    </row>
    <row r="52" customFormat="false" ht="14.25" hidden="false" customHeight="true" outlineLevel="0" collapsed="false">
      <c r="A52" s="169"/>
      <c r="B52" s="85"/>
      <c r="C52" s="193" t="s">
        <v>179</v>
      </c>
      <c r="D52" s="193" t="s">
        <v>179</v>
      </c>
      <c r="E52" s="158" t="s">
        <v>179</v>
      </c>
      <c r="F52" s="158"/>
      <c r="G52" s="158"/>
      <c r="H52" s="158" t="n">
        <v>0</v>
      </c>
      <c r="I52" s="190" t="n">
        <f aca="false">IFERROR(H52/$H$19,"")</f>
        <v>0</v>
      </c>
      <c r="J52" s="167" t="str">
        <f aca="false">IFERROR(H52/G52-1,"-")</f>
        <v>-</v>
      </c>
      <c r="K52" s="158" t="n">
        <f aca="false">H52-G52</f>
        <v>0</v>
      </c>
      <c r="M52" s="158"/>
      <c r="N52" s="190" t="str">
        <f aca="false">IFERROR(H52/M52-1,"-")</f>
        <v>-</v>
      </c>
      <c r="O52" s="190" t="str">
        <f aca="false">IFERROR(H52/M52,"-")</f>
        <v>-</v>
      </c>
      <c r="P52" s="158" t="n">
        <f aca="false">H52-M52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2" topLeftCell="F12" activePane="bottomRight" state="frozen"/>
      <selection pane="topLeft" activeCell="A1" activeCellId="0" sqref="A1"/>
      <selection pane="topRight" activeCell="F1" activeCellId="0" sqref="F1"/>
      <selection pane="bottomLeft" activeCell="A12" activeCellId="0" sqref="A12"/>
      <selection pane="bottomRight" activeCell="R41" activeCellId="0" sqref="R4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2" min="2" style="1" width="31"/>
    <col collapsed="false" customWidth="true" hidden="true" outlineLevel="0" max="3" min="3" style="1" width="17.37"/>
    <col collapsed="false" customWidth="true" hidden="false" outlineLevel="0" max="4" min="4" style="1" width="28"/>
    <col collapsed="false" customWidth="true" hidden="true" outlineLevel="0" max="5" min="5" style="2" width="11.38"/>
    <col collapsed="false" customWidth="true" hidden="false" outlineLevel="0" max="8" min="6" style="1" width="10.88"/>
    <col collapsed="false" customWidth="true" hidden="false" outlineLevel="0" max="9" min="9" style="111" width="10.75"/>
    <col collapsed="false" customWidth="true" hidden="false" outlineLevel="0" max="10" min="10" style="1" width="11.88"/>
    <col collapsed="false" customWidth="true" hidden="false" outlineLevel="0" max="12" min="12" style="1" width="10.88"/>
    <col collapsed="false" customWidth="true" hidden="false" outlineLevel="0" max="13" min="13" style="111" width="10.75"/>
    <col collapsed="false" customWidth="true" hidden="false" outlineLevel="0" max="14" min="14" style="1" width="11.5"/>
    <col collapsed="false" customWidth="true" hidden="false" outlineLevel="0" max="16" min="16" style="1" width="10.88"/>
    <col collapsed="false" customWidth="true" hidden="false" outlineLevel="0" max="17" min="17" style="111" width="6.75"/>
    <col collapsed="false" customWidth="true" hidden="false" outlineLevel="0" max="18" min="18" style="1" width="13"/>
  </cols>
  <sheetData>
    <row r="1" customFormat="false" ht="16.5" hidden="false" customHeight="true" outlineLevel="0" collapsed="false">
      <c r="C1" s="232" t="s">
        <v>222</v>
      </c>
      <c r="D1" s="7" t="s">
        <v>222</v>
      </c>
      <c r="E1" s="233"/>
      <c r="F1" s="159"/>
      <c r="G1" s="159"/>
      <c r="H1" s="159"/>
      <c r="I1" s="160"/>
      <c r="J1" s="159"/>
      <c r="L1" s="159"/>
      <c r="M1" s="160"/>
      <c r="N1" s="159"/>
      <c r="P1" s="7"/>
      <c r="Q1" s="160"/>
      <c r="R1" s="7"/>
    </row>
    <row r="2" customFormat="false" ht="15" hidden="false" customHeight="true" outlineLevel="0" collapsed="false">
      <c r="A2" s="161" t="s">
        <v>2</v>
      </c>
      <c r="C2" s="77"/>
      <c r="D2" s="162"/>
      <c r="E2" s="234" t="s">
        <v>3</v>
      </c>
      <c r="F2" s="163" t="s">
        <v>223</v>
      </c>
      <c r="G2" s="163" t="s">
        <v>224</v>
      </c>
      <c r="H2" s="163" t="s">
        <v>225</v>
      </c>
      <c r="I2" s="164" t="s">
        <v>168</v>
      </c>
      <c r="J2" s="163" t="s">
        <v>169</v>
      </c>
      <c r="L2" s="163" t="s">
        <v>170</v>
      </c>
      <c r="M2" s="164" t="s">
        <v>114</v>
      </c>
      <c r="N2" s="163" t="s">
        <v>115</v>
      </c>
      <c r="P2" s="186" t="s">
        <v>1</v>
      </c>
      <c r="Q2" s="164" t="s">
        <v>212</v>
      </c>
      <c r="R2" s="162" t="s">
        <v>215</v>
      </c>
    </row>
    <row r="3" customFormat="false" ht="14.25" hidden="false" customHeight="true" outlineLevel="0" collapsed="false">
      <c r="A3" s="165" t="n">
        <v>5</v>
      </c>
      <c r="B3" s="85" t="s">
        <v>143</v>
      </c>
      <c r="C3" s="24" t="s">
        <v>31</v>
      </c>
      <c r="D3" s="166" t="s">
        <v>31</v>
      </c>
      <c r="E3" s="26" t="s">
        <v>32</v>
      </c>
      <c r="F3" s="158" t="n">
        <f aca="false">ינואר!E3+פברואר!E3+מרץ!E3+אפריל!E3+מאי!E3+יוני!E3+יולי!F3+אוגוסט!F3</f>
        <v>1426063.46</v>
      </c>
      <c r="G3" s="158" t="n">
        <f aca="false">ינואר!F3+פברואר!F3+מרץ!F3+אפריל!F3+מאי!F3+יוני!F3+יולי!G3+אוגוסט!G3</f>
        <v>1153834.5</v>
      </c>
      <c r="H3" s="158" t="n">
        <f aca="false">ינואר!G3+פברואר!G3+מרץ!G3+אפריל!G3+מאי!G3+יוני!G3+יולי!H3+אוגוסט!H3</f>
        <v>1113833.85</v>
      </c>
      <c r="I3" s="167" t="n">
        <f aca="false">IFERROR(H3/G3-1,"")</f>
        <v>-0.0346675801425596</v>
      </c>
      <c r="J3" s="158" t="n">
        <f aca="false">H3-G3</f>
        <v>-40000.6500000001</v>
      </c>
      <c r="L3" s="158" t="n">
        <f aca="false">ינואר!J3+פברואר!J3+מרץ!J3+אפריל!J3+מאי!J3+יוני!J3+יולי!M3+אוגוסט!M3</f>
        <v>1604920.63492064</v>
      </c>
      <c r="M3" s="167" t="n">
        <f aca="false">IFERROR(H3/L3-1,"")</f>
        <v>-0.30598820541984</v>
      </c>
      <c r="N3" s="158" t="n">
        <f aca="false">H3-L3</f>
        <v>-491086.784920635</v>
      </c>
      <c r="P3" s="166" t="n">
        <v>1140443.3</v>
      </c>
      <c r="Q3" s="167" t="n">
        <f aca="false">IFERROR(H3/P3,"-")</f>
        <v>0.97666745028008</v>
      </c>
      <c r="R3" s="166" t="n">
        <f aca="false">H3-P3</f>
        <v>-26609.4500000002</v>
      </c>
    </row>
    <row r="4" customFormat="false" ht="14.25" hidden="false" customHeight="true" outlineLevel="0" collapsed="false">
      <c r="A4" s="168" t="n">
        <v>1</v>
      </c>
      <c r="B4" s="24" t="s">
        <v>33</v>
      </c>
      <c r="C4" s="24" t="s">
        <v>33</v>
      </c>
      <c r="D4" s="166" t="s">
        <v>33</v>
      </c>
      <c r="E4" s="26" t="s">
        <v>32</v>
      </c>
      <c r="F4" s="158" t="n">
        <f aca="false">ינואר!E4+פברואר!E4+מרץ!E4+אפריל!E4+מאי!E4+יוני!E4+יולי!F4+אוגוסט!F4</f>
        <v>3711264.284</v>
      </c>
      <c r="G4" s="158" t="n">
        <f aca="false">ינואר!F4+פברואר!F4+מרץ!F4+אפריל!F4+מאי!F4+יוני!F4+יולי!G4+אוגוסט!G4</f>
        <v>4228035.72260004</v>
      </c>
      <c r="H4" s="158" t="n">
        <f aca="false">ינואר!G4+פברואר!G4+מרץ!G4+אפריל!G4+מאי!G4+יוני!G4+יולי!H4+אוגוסט!H4</f>
        <v>3817611.798</v>
      </c>
      <c r="I4" s="167" t="n">
        <f aca="false">IFERROR(H4/G4-1,"")</f>
        <v>-0.0970720096819917</v>
      </c>
      <c r="J4" s="158" t="n">
        <f aca="false">H4-G4</f>
        <v>-410423.924600038</v>
      </c>
      <c r="L4" s="158" t="n">
        <f aca="false">ינואר!J4+פברואר!J4+מרץ!J4+אפריל!J4+מאי!J4+יוני!J4+יולי!M4+אוגוסט!M4</f>
        <v>4531301.58730159</v>
      </c>
      <c r="M4" s="167" t="n">
        <f aca="false">IFERROR(H4/L4-1,"")</f>
        <v>-0.157502160372997</v>
      </c>
      <c r="N4" s="158" t="n">
        <f aca="false">H4-L4</f>
        <v>-713689.78930159</v>
      </c>
      <c r="P4" s="166" t="n">
        <v>3874937.893</v>
      </c>
      <c r="Q4" s="167" t="n">
        <f aca="false">IFERROR(H4/P4,"-")</f>
        <v>0.985205931918662</v>
      </c>
      <c r="R4" s="166" t="n">
        <f aca="false">H4-P4</f>
        <v>-57326.0949999997</v>
      </c>
    </row>
    <row r="5" customFormat="false" ht="14.25" hidden="false" customHeight="true" outlineLevel="0" collapsed="false">
      <c r="A5" s="168" t="n">
        <v>7</v>
      </c>
      <c r="B5" s="24" t="s">
        <v>34</v>
      </c>
      <c r="C5" s="24" t="s">
        <v>34</v>
      </c>
      <c r="D5" s="166" t="s">
        <v>34</v>
      </c>
      <c r="E5" s="26" t="s">
        <v>32</v>
      </c>
      <c r="F5" s="158" t="n">
        <f aca="false">ינואר!E5+פברואר!E5+מרץ!E5+אפריל!E5+מאי!E5+יוני!E5+יולי!F5+אוגוסט!F5</f>
        <v>735764.393</v>
      </c>
      <c r="G5" s="158" t="n">
        <f aca="false">ינואר!F5+פברואר!F5+מרץ!F5+אפריל!F5+מאי!F5+יוני!F5+יולי!G5+אוגוסט!G5</f>
        <v>555200.28</v>
      </c>
      <c r="H5" s="158" t="n">
        <f aca="false">ינואר!G5+פברואר!G5+מרץ!G5+אפריל!G5+מאי!G5+יוני!G5+יולי!H5+אוגוסט!H5</f>
        <v>580263.593</v>
      </c>
      <c r="I5" s="167" t="n">
        <f aca="false">IFERROR(H5/G5-1,"")</f>
        <v>0.0451428320605314</v>
      </c>
      <c r="J5" s="158" t="n">
        <f aca="false">H5-G5</f>
        <v>25063.313</v>
      </c>
      <c r="L5" s="158" t="n">
        <f aca="false">ינואר!J5+פברואר!J5+מרץ!J5+אפריל!J5+מאי!J5+יוני!J5+יולי!M5+אוגוסט!M5</f>
        <v>596428.571428571</v>
      </c>
      <c r="M5" s="167" t="n">
        <f aca="false">IFERROR(H5/L5-1,"")</f>
        <v>-0.0271029578443113</v>
      </c>
      <c r="N5" s="158" t="n">
        <f aca="false">H5-L5</f>
        <v>-16164.9784285714</v>
      </c>
      <c r="P5" s="166" t="n">
        <v>637274.565</v>
      </c>
      <c r="Q5" s="167" t="n">
        <f aca="false">IFERROR(H5/P5,"-")</f>
        <v>0.910539388936698</v>
      </c>
      <c r="R5" s="166" t="n">
        <f aca="false">H5-P5</f>
        <v>-57010.972</v>
      </c>
    </row>
    <row r="6" customFormat="false" ht="14.25" hidden="false" customHeight="true" outlineLevel="0" collapsed="false">
      <c r="A6" s="168" t="n">
        <v>4</v>
      </c>
      <c r="B6" s="24" t="s">
        <v>35</v>
      </c>
      <c r="C6" s="24" t="s">
        <v>35</v>
      </c>
      <c r="D6" s="166" t="s">
        <v>35</v>
      </c>
      <c r="E6" s="26" t="s">
        <v>32</v>
      </c>
      <c r="F6" s="158" t="n">
        <f aca="false">ינואר!E6+פברואר!E6+מרץ!E6+אפריל!E6+מאי!E6+יוני!E6+יולי!F6+אוגוסט!F6</f>
        <v>1271883.45</v>
      </c>
      <c r="G6" s="158" t="n">
        <f aca="false">ינואר!F6+פברואר!F6+מרץ!F6+אפריל!F6+מאי!F6+יוני!F6+יולי!G6+אוגוסט!G6</f>
        <v>1344159.8594</v>
      </c>
      <c r="H6" s="158" t="n">
        <f aca="false">ינואר!G6+פברואר!G6+מרץ!G6+אפריל!G6+מאי!G6+יוני!G6+יולי!H6+אוגוסט!H6</f>
        <v>1230886.38</v>
      </c>
      <c r="I6" s="167" t="n">
        <f aca="false">IFERROR(H6/G6-1,"")</f>
        <v>-0.0842708392218795</v>
      </c>
      <c r="J6" s="158" t="n">
        <f aca="false">H6-G6</f>
        <v>-113273.479400002</v>
      </c>
      <c r="L6" s="158" t="n">
        <f aca="false">ינואר!J6+פברואר!J6+מרץ!J6+אפריל!J6+מאי!J6+יוני!J6+יולי!M6+אוגוסט!M6</f>
        <v>1290126.98412698</v>
      </c>
      <c r="M6" s="167" t="n">
        <f aca="false">IFERROR(H6/L6-1,"")</f>
        <v>-0.045918428849135</v>
      </c>
      <c r="N6" s="158" t="n">
        <f aca="false">H6-L6</f>
        <v>-59240.604126984</v>
      </c>
      <c r="P6" s="166" t="n">
        <v>1318523.978</v>
      </c>
      <c r="Q6" s="167" t="n">
        <f aca="false">IFERROR(H6/P6,"-")</f>
        <v>0.933533557627877</v>
      </c>
      <c r="R6" s="166" t="n">
        <f aca="false">H6-P6</f>
        <v>-87637.5979999998</v>
      </c>
    </row>
    <row r="7" customFormat="false" ht="14.25" hidden="false" customHeight="true" outlineLevel="0" collapsed="false">
      <c r="A7" s="168" t="n">
        <v>3</v>
      </c>
      <c r="B7" s="85" t="s">
        <v>148</v>
      </c>
      <c r="C7" s="24" t="s">
        <v>36</v>
      </c>
      <c r="D7" s="166" t="s">
        <v>36</v>
      </c>
      <c r="E7" s="26" t="s">
        <v>32</v>
      </c>
      <c r="F7" s="158" t="n">
        <f aca="false">ינואר!E7+פברואר!E7+מרץ!E7+אפריל!E7+מאי!E7+יוני!E7+יולי!F7+אוגוסט!F7</f>
        <v>2820115</v>
      </c>
      <c r="G7" s="158" t="n">
        <f aca="false">ינואר!F7+פברואר!F7+מרץ!F7+אפריל!F7+מאי!F7+יוני!F7+יולי!G7+אוגוסט!G7</f>
        <v>2611691.6</v>
      </c>
      <c r="H7" s="158" t="n">
        <f aca="false">ינואר!G7+פברואר!G7+מרץ!G7+אפריל!G7+מאי!G7+יוני!G7+יולי!H7+אוגוסט!H7</f>
        <v>2430735.15</v>
      </c>
      <c r="I7" s="167" t="n">
        <f aca="false">IFERROR(H7/G7-1,"")</f>
        <v>-0.0692870666659111</v>
      </c>
      <c r="J7" s="158" t="n">
        <f aca="false">H7-G7</f>
        <v>-180956.45</v>
      </c>
      <c r="L7" s="158" t="n">
        <f aca="false">ינואר!J7+פברואר!J7+מרץ!J7+אפריל!J7+מאי!J7+יוני!J7+יולי!M7+אוגוסט!M7</f>
        <v>2920000</v>
      </c>
      <c r="M7" s="167" t="n">
        <f aca="false">IFERROR(H7/L7-1,"")</f>
        <v>-0.167556455479452</v>
      </c>
      <c r="N7" s="158" t="n">
        <f aca="false">H7-L7</f>
        <v>-489264.85</v>
      </c>
      <c r="P7" s="166" t="n">
        <v>2402410.85</v>
      </c>
      <c r="Q7" s="167" t="n">
        <f aca="false">IFERROR(H7/P7,"-")</f>
        <v>1.01178994841786</v>
      </c>
      <c r="R7" s="166" t="n">
        <f aca="false">H7-P7</f>
        <v>28324.2999999998</v>
      </c>
    </row>
    <row r="8" customFormat="false" ht="14.25" hidden="false" customHeight="true" outlineLevel="0" collapsed="false">
      <c r="A8" s="168" t="n">
        <v>8</v>
      </c>
      <c r="B8" s="85" t="s">
        <v>147</v>
      </c>
      <c r="C8" s="24" t="s">
        <v>37</v>
      </c>
      <c r="D8" s="166" t="s">
        <v>37</v>
      </c>
      <c r="E8" s="26" t="s">
        <v>32</v>
      </c>
      <c r="F8" s="158" t="n">
        <f aca="false">ינואר!E8+פברואר!E8+מרץ!E8+אפריל!E8+מאי!E8+יוני!E8+יולי!F8+אוגוסט!F8</f>
        <v>556680.34</v>
      </c>
      <c r="G8" s="158" t="n">
        <f aca="false">ינואר!F8+פברואר!F8+מרץ!F8+אפריל!F8+מאי!F8+יוני!F8+יולי!G8+אוגוסט!G8</f>
        <v>604591.14</v>
      </c>
      <c r="H8" s="158" t="n">
        <f aca="false">ינואר!G8+פברואר!G8+מרץ!G8+אפריל!G8+מאי!G8+יוני!G8+יולי!H8+אוגוסט!H8</f>
        <v>465573.478</v>
      </c>
      <c r="I8" s="167" t="n">
        <f aca="false">IFERROR(H8/G8-1,"")</f>
        <v>-0.229936651072988</v>
      </c>
      <c r="J8" s="158" t="n">
        <f aca="false">H8-G8</f>
        <v>-139017.662</v>
      </c>
      <c r="L8" s="158" t="n">
        <f aca="false">ינואר!J8+פברואר!J8+מרץ!J8+אפריל!J8+מאי!J8+יוני!J8+יולי!M8+אוגוסט!M8</f>
        <v>822698.412698411</v>
      </c>
      <c r="M8" s="167" t="n">
        <f aca="false">IFERROR(H8/L8-1,"")</f>
        <v>-0.434089733474821</v>
      </c>
      <c r="N8" s="158" t="n">
        <f aca="false">H8-L8</f>
        <v>-357124.934698411</v>
      </c>
      <c r="P8" s="166" t="n">
        <v>543097.611</v>
      </c>
      <c r="Q8" s="167" t="n">
        <f aca="false">IFERROR(H8/P8,"-")</f>
        <v>0.857255617719887</v>
      </c>
      <c r="R8" s="166" t="n">
        <f aca="false">H8-P8</f>
        <v>-77524.133</v>
      </c>
    </row>
    <row r="9" customFormat="false" ht="14.25" hidden="false" customHeight="true" outlineLevel="0" collapsed="false">
      <c r="A9" s="168" t="n">
        <v>6</v>
      </c>
      <c r="B9" s="85" t="s">
        <v>137</v>
      </c>
      <c r="C9" s="24" t="s">
        <v>38</v>
      </c>
      <c r="D9" s="166" t="s">
        <v>38</v>
      </c>
      <c r="E9" s="26" t="s">
        <v>32</v>
      </c>
      <c r="F9" s="158" t="n">
        <f aca="false">ינואר!E9+פברואר!E9+מרץ!E9+אפריל!E9+מאי!E9+יוני!E9+יולי!F9+אוגוסט!F9</f>
        <v>650362.65</v>
      </c>
      <c r="G9" s="158" t="n">
        <f aca="false">ינואר!F9+פברואר!F9+מרץ!F9+אפריל!F9+מאי!F9+יוני!F9+יולי!G9+אוגוסט!G9</f>
        <v>561248.68</v>
      </c>
      <c r="H9" s="158" t="n">
        <f aca="false">ינואר!G9+פברואר!G9+מרץ!G9+אפריל!G9+מאי!G9+יוני!G9+יולי!H9+אוגוסט!H9</f>
        <v>617760.99</v>
      </c>
      <c r="I9" s="167" t="n">
        <f aca="false">IFERROR(H9/G9-1,"")</f>
        <v>0.100690321445388</v>
      </c>
      <c r="J9" s="158" t="n">
        <f aca="false">H9-G9</f>
        <v>56512.3099999999</v>
      </c>
      <c r="L9" s="158" t="n">
        <f aca="false">ינואר!J9+פברואר!J9+מרץ!J9+אפריל!J9+מאי!J9+יוני!J9+יולי!M9+אוגוסט!M9</f>
        <v>1284162.6984127</v>
      </c>
      <c r="M9" s="167" t="n">
        <f aca="false">IFERROR(H9/L9-1,"")</f>
        <v>-0.518938689962269</v>
      </c>
      <c r="N9" s="158" t="n">
        <f aca="false">H9-L9</f>
        <v>-666401.708412699</v>
      </c>
      <c r="P9" s="166" t="n">
        <v>675277.57</v>
      </c>
      <c r="Q9" s="167" t="n">
        <f aca="false">IFERROR(H9/P9,"-")</f>
        <v>0.914825276959814</v>
      </c>
      <c r="R9" s="166" t="n">
        <f aca="false">H9-P9</f>
        <v>-57516.58</v>
      </c>
    </row>
    <row r="10" customFormat="false" ht="14.25" hidden="false" customHeight="true" outlineLevel="0" collapsed="false">
      <c r="A10" s="169" t="n">
        <v>10</v>
      </c>
      <c r="B10" s="85" t="s">
        <v>138</v>
      </c>
      <c r="C10" s="36" t="s">
        <v>39</v>
      </c>
      <c r="D10" s="166" t="s">
        <v>39</v>
      </c>
      <c r="E10" s="26" t="s">
        <v>32</v>
      </c>
      <c r="F10" s="158" t="n">
        <f aca="false">ינואר!E10+פברואר!E10+מרץ!E10+אפריל!E10+מאי!E10+יוני!E10+יולי!F10+אוגוסט!F10</f>
        <v>138125.46</v>
      </c>
      <c r="G10" s="158" t="n">
        <f aca="false">ינואר!F10+פברואר!F10+מרץ!F10+אפריל!F10+מאי!F10+יוני!F10+יולי!G10+אוגוסט!G10</f>
        <v>118949.76</v>
      </c>
      <c r="H10" s="158" t="n">
        <f aca="false">ינואר!G10+פברואר!G10+מרץ!G10+אפריל!G10+מאי!G10+יוני!G10+יולי!H10+אוגוסט!H10</f>
        <v>70662.73</v>
      </c>
      <c r="I10" s="167" t="n">
        <f aca="false">IFERROR(H10/G10-1,"")</f>
        <v>-0.405944745075568</v>
      </c>
      <c r="J10" s="158" t="n">
        <f aca="false">H10-G10</f>
        <v>-48287.03</v>
      </c>
      <c r="L10" s="158" t="n">
        <f aca="false">ינואר!J10+פברואר!J10+מרץ!J10+אפריל!J10+מאי!J10+יוני!J10+יולי!M10+אוגוסט!M10</f>
        <v>125912.698412698</v>
      </c>
      <c r="M10" s="167" t="n">
        <f aca="false">IFERROR(H10/L10-1,"")</f>
        <v>-0.438795841159786</v>
      </c>
      <c r="N10" s="158" t="n">
        <f aca="false">H10-L10</f>
        <v>-55249.9684126984</v>
      </c>
      <c r="P10" s="166" t="n">
        <v>91235.08</v>
      </c>
      <c r="Q10" s="167" t="n">
        <f aca="false">IFERROR(H10/P10,"-")</f>
        <v>0.774512720326436</v>
      </c>
      <c r="R10" s="166" t="n">
        <f aca="false">H10-P10</f>
        <v>-20572.35</v>
      </c>
    </row>
    <row r="11" customFormat="false" ht="14.25" hidden="false" customHeight="true" outlineLevel="0" collapsed="false">
      <c r="A11" s="168" t="n">
        <v>11</v>
      </c>
      <c r="B11" s="85" t="s">
        <v>141</v>
      </c>
      <c r="C11" s="24" t="s">
        <v>40</v>
      </c>
      <c r="D11" s="166" t="s">
        <v>40</v>
      </c>
      <c r="E11" s="26" t="s">
        <v>32</v>
      </c>
      <c r="F11" s="158" t="n">
        <f aca="false">ינואר!E11+פברואר!E11+מרץ!E11+אפריל!E11+מאי!E11+יוני!E11+יולי!F11+אוגוסט!F11</f>
        <v>49958.68</v>
      </c>
      <c r="G11" s="158" t="n">
        <f aca="false">ינואר!F11+פברואר!F11+מרץ!F11+אפריל!F11+מאי!F11+יוני!F11+יולי!G11+אוגוסט!G11</f>
        <v>42087.51</v>
      </c>
      <c r="H11" s="158" t="n">
        <f aca="false">ינואר!G11+פברואר!G11+מרץ!G11+אפריל!G11+מאי!G11+יוני!G11+יולי!H11+אוגוסט!H11</f>
        <v>39922.26</v>
      </c>
      <c r="I11" s="167" t="n">
        <f aca="false">IFERROR(H11/G11-1,"")</f>
        <v>-0.0514463792227193</v>
      </c>
      <c r="J11" s="158" t="n">
        <f aca="false">H11-G11</f>
        <v>-2165.24999999999</v>
      </c>
      <c r="L11" s="158" t="n">
        <f aca="false">ינואר!J11+פברואר!J11+מרץ!J11+אפריל!J11+מאי!J11+יוני!J11+יולי!M11+אוגוסט!M11</f>
        <v>64269.8412698413</v>
      </c>
      <c r="M11" s="167" t="n">
        <f aca="false">IFERROR(H11/L11-1,"")</f>
        <v>-0.378833692269696</v>
      </c>
      <c r="N11" s="158" t="n">
        <f aca="false">H11-L11</f>
        <v>-24347.5812698413</v>
      </c>
      <c r="P11" s="166" t="n">
        <v>54015.41</v>
      </c>
      <c r="Q11" s="167" t="n">
        <f aca="false">IFERROR(H11/P11,"-")</f>
        <v>0.739090196667951</v>
      </c>
      <c r="R11" s="166" t="n">
        <f aca="false">H11-P11</f>
        <v>-14093.15</v>
      </c>
    </row>
    <row r="12" customFormat="false" ht="14.25" hidden="false" customHeight="true" outlineLevel="0" collapsed="false">
      <c r="A12" s="168" t="n">
        <v>14</v>
      </c>
      <c r="B12" s="85" t="s">
        <v>142</v>
      </c>
      <c r="C12" s="24" t="s">
        <v>41</v>
      </c>
      <c r="D12" s="166" t="s">
        <v>41</v>
      </c>
      <c r="E12" s="26" t="s">
        <v>32</v>
      </c>
      <c r="F12" s="158" t="n">
        <f aca="false">ינואר!E12+פברואר!E12+מרץ!E12+אפריל!E12+מאי!E12+יוני!E12+יולי!F12+אוגוסט!F12</f>
        <v>1529.7</v>
      </c>
      <c r="G12" s="158" t="n">
        <f aca="false">ינואר!F12+פברואר!F12+מרץ!F12+אפריל!F12+מאי!F12+יוני!F12+יולי!G12+אוגוסט!G12</f>
        <v>2977.14</v>
      </c>
      <c r="H12" s="158" t="n">
        <f aca="false">ינואר!G12+פברואר!G12+מרץ!G12+אפריל!G12+מאי!G12+יוני!G12+יולי!H12+אוגוסט!H12</f>
        <v>4305.02</v>
      </c>
      <c r="I12" s="167" t="n">
        <f aca="false">IFERROR(H12/G12-1,"")</f>
        <v>0.446025380062745</v>
      </c>
      <c r="J12" s="158" t="n">
        <f aca="false">H12-G12</f>
        <v>1327.88</v>
      </c>
      <c r="L12" s="158" t="n">
        <f aca="false">ינואר!J12+פברואר!J12+מרץ!J12+אפריל!J12+מאי!J12+יוני!J12+יולי!M12+אוגוסט!M12</f>
        <v>0</v>
      </c>
      <c r="M12" s="167" t="str">
        <f aca="false">IFERROR(H12/L12-1,"")</f>
        <v/>
      </c>
      <c r="N12" s="158" t="n">
        <f aca="false">H12-L12</f>
        <v>4305.02</v>
      </c>
      <c r="P12" s="166" t="n">
        <v>13576.15</v>
      </c>
      <c r="Q12" s="167" t="n">
        <f aca="false">IFERROR(H12/P12,"-")</f>
        <v>0.317101681993791</v>
      </c>
      <c r="R12" s="166" t="n">
        <f aca="false">H12-P12</f>
        <v>-9271.13</v>
      </c>
    </row>
    <row r="13" customFormat="false" ht="14.25" hidden="false" customHeight="true" outlineLevel="0" collapsed="false">
      <c r="A13" s="168" t="n">
        <v>15</v>
      </c>
      <c r="B13" s="85" t="s">
        <v>139</v>
      </c>
      <c r="C13" s="24" t="s">
        <v>47</v>
      </c>
      <c r="D13" s="166" t="s">
        <v>47</v>
      </c>
      <c r="E13" s="26" t="s">
        <v>32</v>
      </c>
      <c r="F13" s="158" t="n">
        <f aca="false">ינואר!E13+פברואר!E13+מרץ!E13+אפריל!E13+מאי!E13+יוני!E13+יולי!F13+אוגוסט!F13</f>
        <v>1597.46</v>
      </c>
      <c r="G13" s="158" t="n">
        <f aca="false">ינואר!F13+פברואר!F13+מרץ!F13+אפריל!F13+מאי!F13+יוני!F13+יולי!G13+אוגוסט!G13</f>
        <v>0</v>
      </c>
      <c r="H13" s="158" t="n">
        <f aca="false">ינואר!G13+פברואר!G13+מרץ!G13+אפריל!G13+מאי!G13+יוני!G13+יולי!H13+אוגוסט!H13</f>
        <v>1896.82</v>
      </c>
      <c r="I13" s="167" t="str">
        <f aca="false">IFERROR(H13/G13-1,"")</f>
        <v/>
      </c>
      <c r="J13" s="158" t="n">
        <f aca="false">H13-G13</f>
        <v>1896.82</v>
      </c>
      <c r="L13" s="158" t="n">
        <f aca="false">ינואר!J13+פברואר!J13+מרץ!J13+אפריל!J13+מאי!J13+יוני!J13+יולי!M13+אוגוסט!M13</f>
        <v>12500</v>
      </c>
      <c r="M13" s="167" t="n">
        <f aca="false">IFERROR(H13/L13-1,"")</f>
        <v>-0.8482544</v>
      </c>
      <c r="N13" s="158" t="n">
        <f aca="false">H13-L13</f>
        <v>-10603.18</v>
      </c>
      <c r="P13" s="166" t="n">
        <v>11896.82</v>
      </c>
      <c r="Q13" s="167" t="n">
        <f aca="false">IFERROR(H13/P13,"-")</f>
        <v>0.159439245109197</v>
      </c>
      <c r="R13" s="166" t="n">
        <f aca="false">H13-P13</f>
        <v>-10000</v>
      </c>
    </row>
    <row r="14" customFormat="false" ht="14.25" hidden="false" customHeight="true" outlineLevel="0" collapsed="false">
      <c r="A14" s="168" t="n">
        <v>13</v>
      </c>
      <c r="B14" s="85" t="s">
        <v>145</v>
      </c>
      <c r="C14" s="24" t="s">
        <v>43</v>
      </c>
      <c r="D14" s="166" t="s">
        <v>43</v>
      </c>
      <c r="E14" s="26" t="s">
        <v>32</v>
      </c>
      <c r="F14" s="158" t="n">
        <f aca="false">ינואר!E14+פברואר!E14+מרץ!E14+אפריל!E14+מאי!E14+יוני!E14+יולי!F14+אוגוסט!F14</f>
        <v>5854.85</v>
      </c>
      <c r="G14" s="158" t="n">
        <f aca="false">ינואר!F14+פברואר!F14+מרץ!F14+אפריל!F14+מאי!F14+יוני!F14+יולי!G14+אוגוסט!G14</f>
        <v>11718.66</v>
      </c>
      <c r="H14" s="158" t="n">
        <f aca="false">ינואר!G14+פברואר!G14+מרץ!G14+אפריל!G14+מאי!G14+יוני!G14+יולי!H14+אוגוסט!H14</f>
        <v>8226.92</v>
      </c>
      <c r="I14" s="167" t="n">
        <f aca="false">IFERROR(H14/G14-1,"")</f>
        <v>-0.297964101697634</v>
      </c>
      <c r="J14" s="158" t="n">
        <f aca="false">H14-G14</f>
        <v>-3491.74</v>
      </c>
      <c r="L14" s="158" t="n">
        <f aca="false">ינואר!J14+פברואר!J14+מרץ!J14+אפריל!J14+מאי!J14+יוני!J14+יולי!M14+אוגוסט!M14</f>
        <v>250000</v>
      </c>
      <c r="M14" s="167" t="n">
        <f aca="false">IFERROR(H14/L14-1,"")</f>
        <v>-0.96709232</v>
      </c>
      <c r="N14" s="158" t="n">
        <f aca="false">H14-L14</f>
        <v>-241773.08</v>
      </c>
      <c r="P14" s="166" t="n">
        <v>17748.72</v>
      </c>
      <c r="Q14" s="167" t="n">
        <f aca="false">IFERROR(H14/P14,"-")</f>
        <v>0.463521876507151</v>
      </c>
      <c r="R14" s="166" t="n">
        <f aca="false">H14-P14</f>
        <v>-9521.8</v>
      </c>
    </row>
    <row r="15" customFormat="false" ht="14.25" hidden="false" customHeight="true" outlineLevel="0" collapsed="false">
      <c r="A15" s="168" t="n">
        <v>9</v>
      </c>
      <c r="B15" s="85" t="s">
        <v>140</v>
      </c>
      <c r="C15" s="24" t="s">
        <v>44</v>
      </c>
      <c r="D15" s="166" t="s">
        <v>44</v>
      </c>
      <c r="E15" s="26" t="s">
        <v>32</v>
      </c>
      <c r="F15" s="158" t="n">
        <f aca="false">ינואר!E15+פברואר!E15+מרץ!E15+אפריל!E15+מאי!E15+יוני!E15+יולי!F15+אוגוסט!F15</f>
        <v>55386.31</v>
      </c>
      <c r="G15" s="158" t="n">
        <f aca="false">ינואר!F15+פברואר!F15+מרץ!F15+אפריל!F15+מאי!F15+יוני!F15+יולי!G15+אוגוסט!G15</f>
        <v>67691.2</v>
      </c>
      <c r="H15" s="158" t="n">
        <f aca="false">ינואר!G15+פברואר!G15+מרץ!G15+אפריל!G15+מאי!G15+יוני!G15+יולי!H15+אוגוסט!H15</f>
        <v>109255.52</v>
      </c>
      <c r="I15" s="167" t="n">
        <f aca="false">IFERROR(H15/G15-1,"")</f>
        <v>0.614028411374004</v>
      </c>
      <c r="J15" s="158" t="n">
        <f aca="false">H15-G15</f>
        <v>41564.32</v>
      </c>
      <c r="L15" s="158" t="n">
        <f aca="false">ינואר!J15+פברואר!J15+מרץ!J15+אפריל!J15+מאי!J15+יוני!J15+יולי!M15+אוגוסט!M15</f>
        <v>132539.682539683</v>
      </c>
      <c r="M15" s="167" t="n">
        <f aca="false">IFERROR(H15/L15-1,"")</f>
        <v>-0.175676914970061</v>
      </c>
      <c r="N15" s="158" t="n">
        <f aca="false">H15-L15</f>
        <v>-23284.1625396828</v>
      </c>
      <c r="P15" s="166" t="n">
        <v>139111.1</v>
      </c>
      <c r="Q15" s="167" t="n">
        <f aca="false">IFERROR(H15/P15,"-")</f>
        <v>0.785383193720702</v>
      </c>
      <c r="R15" s="166" t="n">
        <f aca="false">H15-P15</f>
        <v>-29855.58</v>
      </c>
    </row>
    <row r="16" customFormat="false" ht="15" hidden="false" customHeight="true" outlineLevel="0" collapsed="false">
      <c r="A16" s="170"/>
      <c r="C16" s="235" t="s">
        <v>119</v>
      </c>
      <c r="D16" s="171" t="s">
        <v>119</v>
      </c>
      <c r="E16" s="236"/>
      <c r="F16" s="171" t="n">
        <f aca="false">SUM(F3:F15)</f>
        <v>11424586.037</v>
      </c>
      <c r="G16" s="171" t="n">
        <f aca="false">SUM(G3:G15)</f>
        <v>11302186.052</v>
      </c>
      <c r="H16" s="171" t="n">
        <f aca="false">SUM(H3:H15)</f>
        <v>10490934.509</v>
      </c>
      <c r="I16" s="172" t="n">
        <f aca="false">H16/G16-1</f>
        <v>-0.071778286011889</v>
      </c>
      <c r="J16" s="171" t="n">
        <f aca="false">SUM(J3:J15)</f>
        <v>-811251.54300004</v>
      </c>
      <c r="L16" s="171" t="n">
        <f aca="false">SUM(L3:L15)</f>
        <v>13634861.1111111</v>
      </c>
      <c r="M16" s="172" t="n">
        <f aca="false">H16/L16-1</f>
        <v>-0.230580023990792</v>
      </c>
      <c r="N16" s="171" t="n">
        <f aca="false">SUM(N3:N15)</f>
        <v>-3143926.60211111</v>
      </c>
      <c r="P16" s="171" t="n">
        <f aca="false">SUM(P3:P15)</f>
        <v>10919549.047</v>
      </c>
      <c r="Q16" s="172" t="n">
        <f aca="false">IFERROR(H16/P16,"-")</f>
        <v>0.96074796347769</v>
      </c>
      <c r="R16" s="171" t="n">
        <f aca="false">H16-P16</f>
        <v>-428614.538000001</v>
      </c>
    </row>
    <row r="17" customFormat="false" ht="14.25" hidden="false" customHeight="true" outlineLevel="0" collapsed="false">
      <c r="A17" s="168" t="n">
        <v>2</v>
      </c>
      <c r="B17" s="85" t="s">
        <v>149</v>
      </c>
      <c r="C17" s="24" t="s">
        <v>45</v>
      </c>
      <c r="D17" s="166" t="s">
        <v>45</v>
      </c>
      <c r="E17" s="26" t="s">
        <v>32</v>
      </c>
      <c r="F17" s="158" t="n">
        <f aca="false">ינואר!E17+פברואר!E17+מרץ!E17+אפריל!E17+מאי!E17+יוני!E17+יולי!F17+אוגוסט!F17</f>
        <v>373427.72</v>
      </c>
      <c r="G17" s="158" t="n">
        <f aca="false">ינואר!F17+פברואר!F17+מרץ!F17+אפריל!F17+מאי!F17+יוני!F17+יולי!G17+אוגוסט!G17</f>
        <v>914022.559999998</v>
      </c>
      <c r="H17" s="158" t="n">
        <f aca="false">ינואר!G17+פברואר!G17+מרץ!G17+אפריל!G17+מאי!G17+יוני!G17+יולי!H17+אוגוסט!H17</f>
        <v>3020424.27000003</v>
      </c>
      <c r="I17" s="167" t="n">
        <f aca="false">H17/G17-1</f>
        <v>2.30454017458829</v>
      </c>
      <c r="J17" s="158" t="n">
        <f aca="false">H17-G17</f>
        <v>2106401.71000003</v>
      </c>
      <c r="L17" s="158" t="n">
        <f aca="false">ינואר!J17+פברואר!J17+מרץ!J17+אפריל!J17+מאי!J17+יוני!J17+יולי!M17+אוגוסט!M17</f>
        <v>5301647.45762712</v>
      </c>
      <c r="M17" s="167" t="n">
        <f aca="false">H17/L17-1</f>
        <v>-0.430285718893898</v>
      </c>
      <c r="N17" s="158" t="n">
        <f aca="false">H17-L17</f>
        <v>-2281223.18762709</v>
      </c>
      <c r="P17" s="166" t="n">
        <v>3162738.20000003</v>
      </c>
      <c r="Q17" s="167" t="n">
        <f aca="false">IFERROR(H17/P17,"-")</f>
        <v>0.955002937011985</v>
      </c>
      <c r="R17" s="166" t="n">
        <f aca="false">H17-P17</f>
        <v>-142313.930000002</v>
      </c>
    </row>
    <row r="18" customFormat="false" ht="14.25" hidden="false" customHeight="true" outlineLevel="0" collapsed="false">
      <c r="A18" s="168" t="n">
        <v>12</v>
      </c>
      <c r="B18" s="85" t="s">
        <v>150</v>
      </c>
      <c r="C18" s="38" t="s">
        <v>46</v>
      </c>
      <c r="D18" s="166" t="s">
        <v>46</v>
      </c>
      <c r="E18" s="26" t="s">
        <v>32</v>
      </c>
      <c r="F18" s="158" t="n">
        <f aca="false">ינואר!E18+פברואר!E18+מרץ!E18+אפריל!E18+מאי!E18+יוני!E18+יולי!F18+אוגוסט!F18</f>
        <v>21945.34</v>
      </c>
      <c r="G18" s="158" t="n">
        <f aca="false">ינואר!F18+פברואר!F18+מרץ!F18+אפריל!F18+מאי!F18+יוני!F18+יולי!G18+אוגוסט!G18</f>
        <v>21144.79</v>
      </c>
      <c r="H18" s="158" t="n">
        <f aca="false">ינואר!G18+פברואר!G18+מרץ!G18+אפריל!G18+מאי!G18+יוני!G18+יולי!H18+אוגוסט!H18</f>
        <v>13033.46</v>
      </c>
      <c r="I18" s="167" t="n">
        <f aca="false">H18/G18-1</f>
        <v>-0.383608917373973</v>
      </c>
      <c r="J18" s="158" t="n">
        <f aca="false">H18-G18</f>
        <v>-8111.33</v>
      </c>
      <c r="L18" s="158" t="n">
        <f aca="false">ינואר!J18+פברואר!J18+מרץ!J18+אפריל!J18+מאי!J18+יוני!J18+יולי!M18+אוגוסט!M18</f>
        <v>20295.4266666666</v>
      </c>
      <c r="M18" s="167" t="n">
        <f aca="false">H18/L18-1</f>
        <v>-0.357812958847214</v>
      </c>
      <c r="N18" s="158" t="n">
        <f aca="false">H18-L18</f>
        <v>-7261.96666666664</v>
      </c>
      <c r="P18" s="166" t="n">
        <v>19807.02</v>
      </c>
      <c r="Q18" s="167" t="n">
        <f aca="false">IFERROR(H18/P18,"-")</f>
        <v>0.658022256755433</v>
      </c>
      <c r="R18" s="166" t="n">
        <f aca="false">H18-P18</f>
        <v>-6773.56</v>
      </c>
    </row>
    <row r="19" customFormat="false" ht="15" hidden="false" customHeight="true" outlineLevel="0" collapsed="false">
      <c r="A19" s="169"/>
      <c r="C19" s="237" t="s">
        <v>48</v>
      </c>
      <c r="D19" s="171" t="s">
        <v>48</v>
      </c>
      <c r="E19" s="46"/>
      <c r="F19" s="171" t="n">
        <f aca="false">F16+F17+F18</f>
        <v>11819959.097</v>
      </c>
      <c r="G19" s="171" t="n">
        <f aca="false">G16+G17+G18</f>
        <v>12237353.402</v>
      </c>
      <c r="H19" s="171" t="n">
        <f aca="false">H16+H17+H18</f>
        <v>13524392.239</v>
      </c>
      <c r="I19" s="172" t="n">
        <f aca="false">H19/G19-1</f>
        <v>0.105172972841468</v>
      </c>
      <c r="J19" s="171" t="n">
        <f aca="false">J16+J17+J18</f>
        <v>1287038.83699999</v>
      </c>
      <c r="L19" s="171" t="n">
        <f aca="false">L16+L17+L18</f>
        <v>18956803.9954049</v>
      </c>
      <c r="M19" s="172" t="n">
        <f aca="false">H19/L19-1</f>
        <v>-0.286567912909881</v>
      </c>
      <c r="N19" s="171" t="n">
        <f aca="false">N16+N17+N18</f>
        <v>-5432411.75640487</v>
      </c>
      <c r="P19" s="171" t="n">
        <f aca="false">P16+P17+P18</f>
        <v>14102094.267</v>
      </c>
      <c r="Q19" s="172" t="n">
        <f aca="false">IFERROR(H19/P19,"-")</f>
        <v>0.959034309581105</v>
      </c>
      <c r="R19" s="171" t="n">
        <f aca="false">H19-P19</f>
        <v>-577702.028000001</v>
      </c>
    </row>
    <row r="20" customFormat="false" ht="14.25" hidden="false" customHeight="true" outlineLevel="0" collapsed="false">
      <c r="A20" s="169" t="n">
        <v>50</v>
      </c>
      <c r="B20" s="85" t="s">
        <v>155</v>
      </c>
      <c r="C20" s="84" t="s">
        <v>49</v>
      </c>
      <c r="D20" s="166" t="s">
        <v>50</v>
      </c>
      <c r="E20" s="26" t="s">
        <v>51</v>
      </c>
      <c r="F20" s="158" t="n">
        <f aca="false">ינואר!E20+פברואר!E20+מרץ!E20+אפריל!E20+מאי!E20+יוני!E20+יולי!F20+אוגוסט!F20</f>
        <v>2647650.82</v>
      </c>
      <c r="G20" s="158" t="n">
        <f aca="false">ינואר!F20+פברואר!F20+מרץ!F20+אפריל!F20+מאי!F20+יוני!F20+יולי!G20+אוגוסט!G20</f>
        <v>1780983.16</v>
      </c>
      <c r="H20" s="158" t="n">
        <f aca="false">ינואר!G20+פברואר!G20+מרץ!G20+אפריל!G20+מאי!G20+יוני!G20+יולי!H20+אוגוסט!H20</f>
        <v>1680944.21</v>
      </c>
      <c r="I20" s="167" t="n">
        <f aca="false">IFERROR(H20/G20-1,"")</f>
        <v>-0.0561706321804863</v>
      </c>
      <c r="J20" s="158" t="n">
        <f aca="false">H20-G20</f>
        <v>-100038.95</v>
      </c>
      <c r="L20" s="158" t="n">
        <f aca="false">ינואר!J20+פברואר!J20+מרץ!J20+אפריל!J20+מאי!J20+יוני!J20+יולי!M20+אוגוסט!M20</f>
        <v>3054510.7555875</v>
      </c>
      <c r="M20" s="167" t="n">
        <f aca="false">IFERROR(H20/L20-1,"")</f>
        <v>-0.449684632170598</v>
      </c>
      <c r="N20" s="158" t="n">
        <f aca="false">H20-L20</f>
        <v>-1373566.5455875</v>
      </c>
      <c r="P20" s="166" t="n">
        <v>1825336.61</v>
      </c>
      <c r="Q20" s="167" t="n">
        <f aca="false">IFERROR(H20/P20,"-")</f>
        <v>0.9208954670558</v>
      </c>
      <c r="R20" s="166" t="n">
        <f aca="false">H20-P20</f>
        <v>-144392.4</v>
      </c>
    </row>
    <row r="21" customFormat="false" ht="14.25" hidden="false" customHeight="true" outlineLevel="0" collapsed="false">
      <c r="A21" s="169" t="n">
        <v>20</v>
      </c>
      <c r="B21" s="85" t="s">
        <v>151</v>
      </c>
      <c r="C21" s="84" t="s">
        <v>52</v>
      </c>
      <c r="D21" s="166" t="s">
        <v>53</v>
      </c>
      <c r="E21" s="26" t="s">
        <v>54</v>
      </c>
      <c r="F21" s="158" t="n">
        <f aca="false">ינואר!E21+פברואר!E21+מרץ!E21+אפריל!E21+מאי!E21+יוני!E21+יולי!F21+אוגוסט!F21</f>
        <v>581500.73</v>
      </c>
      <c r="G21" s="158" t="n">
        <f aca="false">ינואר!F21+פברואר!F21+מרץ!F21+אפריל!F21+מאי!F21+יוני!F21+יולי!G21+אוגוסט!G21</f>
        <v>617670.46</v>
      </c>
      <c r="H21" s="158" t="n">
        <f aca="false">ינואר!G21+פברואר!G21+מרץ!G21+אפריל!G21+מאי!G21+יוני!G21+יולי!H21+אוגוסט!H21</f>
        <v>474182.59</v>
      </c>
      <c r="I21" s="167" t="n">
        <f aca="false">IFERROR(H21/G21-1,"")</f>
        <v>-0.232304892806433</v>
      </c>
      <c r="J21" s="158" t="n">
        <f aca="false">H21-G21</f>
        <v>-143487.87</v>
      </c>
      <c r="L21" s="158" t="n">
        <f aca="false">ינואר!J21+פברואר!J21+מרץ!J21+אפריל!J21+מאי!J21+יוני!J21+יולי!M21+אוגוסט!M21</f>
        <v>676200</v>
      </c>
      <c r="M21" s="167" t="n">
        <f aca="false">IFERROR(H21/L21-1,"")</f>
        <v>-0.298753933747412</v>
      </c>
      <c r="N21" s="158" t="n">
        <f aca="false">H21-L21</f>
        <v>-202017.41</v>
      </c>
      <c r="P21" s="166" t="n">
        <v>472081.02</v>
      </c>
      <c r="Q21" s="167" t="n">
        <f aca="false">IFERROR(H21/P21,"-")</f>
        <v>1.00445171466542</v>
      </c>
      <c r="R21" s="166" t="n">
        <f aca="false">H21-P21</f>
        <v>2101.57000000001</v>
      </c>
    </row>
    <row r="22" customFormat="false" ht="14.25" hidden="false" customHeight="true" outlineLevel="0" collapsed="false">
      <c r="A22" s="169" t="n">
        <v>21</v>
      </c>
      <c r="B22" s="85" t="s">
        <v>157</v>
      </c>
      <c r="C22" s="84" t="s">
        <v>55</v>
      </c>
      <c r="D22" s="166" t="s">
        <v>56</v>
      </c>
      <c r="E22" s="26" t="s">
        <v>57</v>
      </c>
      <c r="F22" s="158" t="n">
        <f aca="false">ינואר!E22+פברואר!E22+מרץ!E22+אפריל!E22+מאי!E22+יוני!E22+יולי!F22+אוגוסט!F22</f>
        <v>396499.44</v>
      </c>
      <c r="G22" s="158" t="n">
        <f aca="false">ינואר!F22+פברואר!F22+מרץ!F22+אפריל!F22+מאי!F22+יוני!F22+יולי!G22+אוגוסט!G22</f>
        <v>340989.76</v>
      </c>
      <c r="H22" s="158" t="n">
        <f aca="false">ינואר!G22+פברואר!G22+מרץ!G22+אפריל!G22+מאי!G22+יוני!G22+יולי!H22+אוגוסט!H22</f>
        <v>344263.09</v>
      </c>
      <c r="I22" s="167" t="n">
        <f aca="false">IFERROR(H22/G22-1,"")</f>
        <v>0.00959949647754832</v>
      </c>
      <c r="J22" s="158" t="n">
        <f aca="false">H22-G22</f>
        <v>3273.33000000002</v>
      </c>
      <c r="L22" s="158" t="n">
        <f aca="false">ינואר!J22+פברואר!J22+מרץ!J22+אפריל!J22+מאי!J22+יוני!J22+יולי!M22+אוגוסט!M22</f>
        <v>435000.27</v>
      </c>
      <c r="M22" s="167" t="n">
        <f aca="false">IFERROR(H22/L22-1,"")</f>
        <v>-0.208591088920474</v>
      </c>
      <c r="N22" s="158" t="n">
        <f aca="false">H22-L22</f>
        <v>-90737.18</v>
      </c>
      <c r="P22" s="166" t="n">
        <v>353276.52</v>
      </c>
      <c r="Q22" s="167" t="n">
        <f aca="false">IFERROR(H22/P22,"-")</f>
        <v>0.974486190024743</v>
      </c>
      <c r="R22" s="166" t="n">
        <f aca="false">H22-P22</f>
        <v>-9013.42999999999</v>
      </c>
    </row>
    <row r="23" customFormat="false" ht="14.25" hidden="false" customHeight="true" outlineLevel="0" collapsed="false">
      <c r="A23" s="169" t="n">
        <v>22</v>
      </c>
      <c r="B23" s="85" t="s">
        <v>159</v>
      </c>
      <c r="C23" s="84" t="s">
        <v>58</v>
      </c>
      <c r="D23" s="166" t="s">
        <v>59</v>
      </c>
      <c r="E23" s="26" t="s">
        <v>60</v>
      </c>
      <c r="F23" s="158" t="n">
        <f aca="false">ינואר!E23+פברואר!E23+מרץ!E23+אפריל!E23+מאי!E23+יוני!E23+יולי!F23+אוגוסט!F23</f>
        <v>326928.16</v>
      </c>
      <c r="G23" s="158" t="n">
        <f aca="false">ינואר!F23+פברואר!F23+מרץ!F23+אפריל!F23+מאי!F23+יוני!F23+יולי!G23+אוגוסט!G23</f>
        <v>330674.85</v>
      </c>
      <c r="H23" s="158" t="n">
        <f aca="false">ינואר!G23+פברואר!G23+מרץ!G23+אפריל!G23+מאי!G23+יוני!G23+יולי!H23+אוגוסט!H23</f>
        <v>307053.13</v>
      </c>
      <c r="I23" s="167" t="n">
        <f aca="false">IFERROR(H23/G23-1,"")</f>
        <v>-0.0714348853564157</v>
      </c>
      <c r="J23" s="158" t="n">
        <f aca="false">H23-G23</f>
        <v>-23621.72</v>
      </c>
      <c r="L23" s="158" t="n">
        <f aca="false">ינואר!J23+פברואר!J23+מרץ!J23+אפריל!J23+מאי!J23+יוני!J23+יולי!M23+אוגוסט!M23</f>
        <v>332158.97</v>
      </c>
      <c r="M23" s="167" t="n">
        <f aca="false">IFERROR(H23/L23-1,"")</f>
        <v>-0.0755838085600999</v>
      </c>
      <c r="N23" s="158" t="n">
        <f aca="false">H23-L23</f>
        <v>-25105.84</v>
      </c>
      <c r="P23" s="166" t="n">
        <v>307053.13</v>
      </c>
      <c r="Q23" s="167" t="n">
        <f aca="false">IFERROR(H23/P23,"-")</f>
        <v>1</v>
      </c>
      <c r="R23" s="166" t="n">
        <f aca="false">H23-P23</f>
        <v>0</v>
      </c>
    </row>
    <row r="24" customFormat="false" ht="14.25" hidden="false" customHeight="true" outlineLevel="0" collapsed="false">
      <c r="A24" s="169" t="n">
        <v>23</v>
      </c>
      <c r="B24" s="85" t="s">
        <v>154</v>
      </c>
      <c r="C24" s="84" t="s">
        <v>61</v>
      </c>
      <c r="D24" s="166" t="s">
        <v>62</v>
      </c>
      <c r="E24" s="26" t="s">
        <v>63</v>
      </c>
      <c r="F24" s="158" t="n">
        <f aca="false">ינואר!E24+פברואר!E24+מרץ!E24+אפריל!E24+מאי!E24+יוני!E24+יולי!F24+אוגוסט!F24</f>
        <v>99705.9</v>
      </c>
      <c r="G24" s="158" t="n">
        <f aca="false">ינואר!F24+פברואר!F24+מרץ!F24+אפריל!F24+מאי!F24+יוני!F24+יולי!G24+אוגוסט!G24</f>
        <v>91180.65</v>
      </c>
      <c r="H24" s="158" t="n">
        <f aca="false">ינואר!G24+פברואר!G24+מרץ!G24+אפריל!G24+מאי!G24+יוני!G24+יולי!H24+אוגוסט!H24</f>
        <v>96129.95</v>
      </c>
      <c r="I24" s="167" t="n">
        <f aca="false">IFERROR(H24/G24-1,"")</f>
        <v>0.0542801570289311</v>
      </c>
      <c r="J24" s="158" t="n">
        <f aca="false">H24-G24</f>
        <v>4949.3</v>
      </c>
      <c r="L24" s="158" t="n">
        <f aca="false">ינואר!J24+פברואר!J24+מרץ!J24+אפריל!J24+מאי!J24+יוני!J24+יולי!M24+אוגוסט!M24</f>
        <v>96774.92</v>
      </c>
      <c r="M24" s="167" t="n">
        <f aca="false">IFERROR(H24/L24-1,"")</f>
        <v>-0.00666463997076927</v>
      </c>
      <c r="N24" s="158" t="n">
        <f aca="false">H24-L24</f>
        <v>-644.970000000001</v>
      </c>
      <c r="P24" s="166" t="n">
        <v>96678.59</v>
      </c>
      <c r="Q24" s="167" t="n">
        <f aca="false">IFERROR(H24/P24,"-")</f>
        <v>0.994325113760968</v>
      </c>
      <c r="R24" s="166" t="n">
        <f aca="false">H24-P24</f>
        <v>-548.639999999999</v>
      </c>
    </row>
    <row r="25" customFormat="false" ht="14.25" hidden="false" customHeight="true" outlineLevel="0" collapsed="false">
      <c r="A25" s="169" t="n">
        <v>24</v>
      </c>
      <c r="B25" s="85" t="s">
        <v>156</v>
      </c>
      <c r="C25" s="84" t="s">
        <v>64</v>
      </c>
      <c r="D25" s="166" t="s">
        <v>65</v>
      </c>
      <c r="E25" s="26" t="s">
        <v>66</v>
      </c>
      <c r="F25" s="158" t="n">
        <f aca="false">ינואר!E25+פברואר!E25+מרץ!E25+אפריל!E25+מאי!E25+יוני!E25+יולי!F25+אוגוסט!F25</f>
        <v>116140.05</v>
      </c>
      <c r="G25" s="158" t="n">
        <f aca="false">ינואר!F25+פברואר!F25+מרץ!F25+אפריל!F25+מאי!F25+יוני!F25+יולי!G25+אוגוסט!G25</f>
        <v>52899.82</v>
      </c>
      <c r="H25" s="158" t="n">
        <f aca="false">ינואר!G25+פברואר!G25+מרץ!G25+אפריל!G25+מאי!G25+יוני!G25+יולי!H25+אוגוסט!H25</f>
        <v>0</v>
      </c>
      <c r="I25" s="167" t="n">
        <f aca="false">IFERROR(H25/G25-1,"")</f>
        <v>-1</v>
      </c>
      <c r="J25" s="158" t="n">
        <f aca="false">H25-G25</f>
        <v>-52899.82</v>
      </c>
      <c r="L25" s="158" t="n">
        <f aca="false">ינואר!J25+פברואר!J25+מרץ!J25+אפריל!J25+מאי!J25+יוני!J25+יולי!M25+אוגוסט!M25</f>
        <v>30000</v>
      </c>
      <c r="M25" s="167" t="n">
        <f aca="false">IFERROR(H25/L25-1,"")</f>
        <v>-1</v>
      </c>
      <c r="N25" s="158" t="n">
        <f aca="false">H25-L25</f>
        <v>-30000</v>
      </c>
      <c r="P25" s="166" t="n">
        <v>0</v>
      </c>
      <c r="Q25" s="167" t="str">
        <f aca="false">IFERROR(H25/P25,"-")</f>
        <v>-</v>
      </c>
      <c r="R25" s="166" t="n">
        <f aca="false">H25-P25</f>
        <v>0</v>
      </c>
    </row>
    <row r="26" customFormat="false" ht="13.5" hidden="false" customHeight="true" outlineLevel="0" collapsed="false">
      <c r="A26" s="169" t="n">
        <v>25</v>
      </c>
      <c r="B26" s="85" t="s">
        <v>162</v>
      </c>
      <c r="C26" s="84" t="s">
        <v>67</v>
      </c>
      <c r="D26" s="166" t="s">
        <v>68</v>
      </c>
      <c r="E26" s="26" t="s">
        <v>69</v>
      </c>
      <c r="F26" s="158" t="n">
        <f aca="false">ינואר!E26+פברואר!E26+מרץ!E26+אפריל!E26+מאי!E26+יוני!E26+יולי!F26+אוגוסט!F26</f>
        <v>249206.12</v>
      </c>
      <c r="G26" s="158" t="n">
        <f aca="false">ינואר!F26+פברואר!F26+מרץ!F26+אפריל!F26+מאי!F26+יוני!F26+יולי!G26+אוגוסט!G26</f>
        <v>172805.93</v>
      </c>
      <c r="H26" s="158" t="n">
        <f aca="false">ינואר!G26+פברואר!G26+מרץ!G26+אפריל!G26+מאי!G26+יוני!G26+יולי!H26+אוגוסט!H26</f>
        <v>365555.25</v>
      </c>
      <c r="I26" s="167" t="n">
        <f aca="false">IFERROR(H26/G26-1,"")</f>
        <v>1.11540917606242</v>
      </c>
      <c r="J26" s="158" t="n">
        <f aca="false">H26-G26</f>
        <v>192749.32</v>
      </c>
      <c r="L26" s="158" t="n">
        <f aca="false">ינואר!J26+פברואר!J26+מרץ!J26+אפריל!J26+מאי!J26+יוני!J26+יולי!M26+אוגוסט!M26</f>
        <v>300000</v>
      </c>
      <c r="M26" s="167" t="n">
        <f aca="false">IFERROR(H26/L26-1,"")</f>
        <v>0.2185175</v>
      </c>
      <c r="N26" s="158" t="n">
        <f aca="false">H26-L26</f>
        <v>65555.25</v>
      </c>
      <c r="P26" s="166" t="n">
        <v>384147.47</v>
      </c>
      <c r="Q26" s="167" t="n">
        <f aca="false">IFERROR(H26/P26,"-")</f>
        <v>0.951601347263852</v>
      </c>
      <c r="R26" s="166" t="n">
        <f aca="false">H26-P26</f>
        <v>-18592.22</v>
      </c>
    </row>
    <row r="27" customFormat="false" ht="14.25" hidden="false" customHeight="true" outlineLevel="0" collapsed="false">
      <c r="A27" s="169" t="n">
        <v>26</v>
      </c>
      <c r="B27" s="85" t="s">
        <v>153</v>
      </c>
      <c r="C27" s="84" t="s">
        <v>70</v>
      </c>
      <c r="D27" s="166" t="s">
        <v>71</v>
      </c>
      <c r="E27" s="26" t="s">
        <v>72</v>
      </c>
      <c r="F27" s="158" t="n">
        <f aca="false">ינואר!E27+פברואר!E27+מרץ!E27+אפריל!E27+מאי!E27+יוני!E27+יולי!F27+אוגוסט!F27</f>
        <v>142243.83</v>
      </c>
      <c r="G27" s="158" t="n">
        <f aca="false">ינואר!F27+פברואר!F27+מרץ!F27+אפריל!F27+מאי!F27+יוני!F27+יולי!G27+אוגוסט!G27</f>
        <v>66251.42</v>
      </c>
      <c r="H27" s="158" t="n">
        <f aca="false">ינואר!G27+פברואר!G27+מרץ!G27+אפריל!G27+מאי!G27+יוני!G27+יולי!H27+אוגוסט!H27</f>
        <v>60694.01</v>
      </c>
      <c r="I27" s="167" t="n">
        <f aca="false">IFERROR(H27/G27-1,"")</f>
        <v>-0.0838836360035755</v>
      </c>
      <c r="J27" s="158" t="n">
        <f aca="false">H27-G27</f>
        <v>-5557.41</v>
      </c>
      <c r="L27" s="158" t="n">
        <f aca="false">ינואר!J27+פברואר!J27+מרץ!J27+אפריל!J27+מאי!J27+יוני!J27+יולי!M27+אוגוסט!M27</f>
        <v>160000</v>
      </c>
      <c r="M27" s="167" t="n">
        <f aca="false">IFERROR(H27/L27-1,"")</f>
        <v>-0.6206624375</v>
      </c>
      <c r="N27" s="158" t="n">
        <f aca="false">H27-L27</f>
        <v>-99305.99</v>
      </c>
      <c r="P27" s="166" t="n">
        <v>60694.01</v>
      </c>
      <c r="Q27" s="167" t="n">
        <f aca="false">IFERROR(H27/P27,"-")</f>
        <v>1</v>
      </c>
      <c r="R27" s="166" t="n">
        <f aca="false">H27-P27</f>
        <v>0</v>
      </c>
    </row>
    <row r="28" customFormat="false" ht="13.5" hidden="false" customHeight="true" outlineLevel="0" collapsed="false">
      <c r="A28" s="169" t="n">
        <v>27</v>
      </c>
      <c r="B28" s="85" t="s">
        <v>163</v>
      </c>
      <c r="C28" s="84" t="s">
        <v>73</v>
      </c>
      <c r="D28" s="166" t="s">
        <v>74</v>
      </c>
      <c r="E28" s="26" t="s">
        <v>75</v>
      </c>
      <c r="F28" s="158" t="n">
        <f aca="false">ינואר!E28+פברואר!E28+מרץ!E28+אפריל!E28+מאי!E28+יוני!E28+יולי!F28+אוגוסט!F28</f>
        <v>171813.81</v>
      </c>
      <c r="G28" s="158" t="n">
        <f aca="false">ינואר!F28+פברואר!F28+מרץ!F28+אפריל!F28+מאי!F28+יוני!F28+יולי!G28+אוגוסט!G28</f>
        <v>0.22</v>
      </c>
      <c r="H28" s="158" t="n">
        <f aca="false">ינואר!G28+פברואר!G28+מרץ!G28+אפריל!G28+מאי!G28+יוני!G28+יולי!H28+אוגוסט!H28</f>
        <v>0</v>
      </c>
      <c r="I28" s="167" t="n">
        <f aca="false">IFERROR(H28/G28-1,"")</f>
        <v>-1</v>
      </c>
      <c r="J28" s="158" t="n">
        <f aca="false">H28-G28</f>
        <v>-0.22</v>
      </c>
      <c r="L28" s="158" t="n">
        <f aca="false">ינואר!J28+פברואר!J28+מרץ!J28+אפריל!J28+מאי!J28+יוני!J28+יולי!M28+אוגוסט!M28</f>
        <v>250000</v>
      </c>
      <c r="M28" s="167" t="n">
        <f aca="false">IFERROR(H28/L28-1,"")</f>
        <v>-1</v>
      </c>
      <c r="N28" s="158" t="n">
        <f aca="false">H28-L28</f>
        <v>-250000</v>
      </c>
      <c r="P28" s="166" t="n">
        <v>0</v>
      </c>
      <c r="Q28" s="167" t="str">
        <f aca="false">IFERROR(H28/P28,"-")</f>
        <v>-</v>
      </c>
      <c r="R28" s="166" t="n">
        <f aca="false">H28-P28</f>
        <v>0</v>
      </c>
    </row>
    <row r="29" customFormat="false" ht="13.5" hidden="false" customHeight="true" outlineLevel="0" collapsed="false">
      <c r="A29" s="169" t="n">
        <v>28</v>
      </c>
      <c r="B29" s="85" t="s">
        <v>164</v>
      </c>
      <c r="C29" s="84" t="s">
        <v>76</v>
      </c>
      <c r="D29" s="166" t="s">
        <v>77</v>
      </c>
      <c r="E29" s="26" t="s">
        <v>78</v>
      </c>
      <c r="F29" s="158" t="n">
        <f aca="false">ינואר!E29+פברואר!E29+מרץ!E29+אפריל!E29+מאי!E29+יוני!E29+יולי!F29+אוגוסט!F29</f>
        <v>221411.6</v>
      </c>
      <c r="G29" s="158" t="n">
        <f aca="false">ינואר!F29+פברואר!F29+מרץ!F29+אפריל!F29+מאי!F29+יוני!F29+יולי!G29+אוגוסט!G29</f>
        <v>271585.13</v>
      </c>
      <c r="H29" s="158" t="n">
        <f aca="false">ינואר!G29+פברואר!G29+מרץ!G29+אפריל!G29+מאי!G29+יוני!G29+יולי!H29+אוגוסט!H29</f>
        <v>275404.92</v>
      </c>
      <c r="I29" s="167" t="n">
        <f aca="false">IFERROR(H29/G29-1,"")</f>
        <v>0.0140647980248403</v>
      </c>
      <c r="J29" s="158" t="n">
        <f aca="false">H29-G29</f>
        <v>3819.78999999998</v>
      </c>
      <c r="L29" s="158" t="n">
        <f aca="false">ינואר!J29+פברואר!J29+מרץ!J29+אפריל!J29+מאי!J29+יוני!J29+יולי!M29+אוגוסט!M29</f>
        <v>290939.696</v>
      </c>
      <c r="M29" s="167" t="n">
        <f aca="false">IFERROR(H29/L29-1,"")</f>
        <v>-0.0533951750606078</v>
      </c>
      <c r="N29" s="158" t="n">
        <f aca="false">H29-L29</f>
        <v>-15534.776</v>
      </c>
      <c r="P29" s="166" t="n">
        <v>263207.09</v>
      </c>
      <c r="Q29" s="167" t="n">
        <f aca="false">IFERROR(H29/P29,"-")</f>
        <v>1.04634309052997</v>
      </c>
      <c r="R29" s="166" t="n">
        <f aca="false">H29-P29</f>
        <v>12197.83</v>
      </c>
    </row>
    <row r="30" customFormat="false" ht="14.25" hidden="false" customHeight="true" outlineLevel="0" collapsed="false">
      <c r="A30" s="169" t="n">
        <v>29</v>
      </c>
      <c r="B30" s="85" t="s">
        <v>158</v>
      </c>
      <c r="C30" s="84" t="s">
        <v>79</v>
      </c>
      <c r="D30" s="166" t="s">
        <v>80</v>
      </c>
      <c r="E30" s="26" t="s">
        <v>81</v>
      </c>
      <c r="F30" s="158" t="n">
        <f aca="false">ינואר!E30+פברואר!E30+מרץ!E30+אפריל!E30+מאי!E30+יוני!E30+יולי!F30+אוגוסט!F30</f>
        <v>49617.59</v>
      </c>
      <c r="G30" s="158" t="n">
        <f aca="false">ינואר!F30+פברואר!F30+מרץ!F30+אפריל!F30+מאי!F30+יוני!F30+יולי!G30+אוגוסט!G30</f>
        <v>32010.18</v>
      </c>
      <c r="H30" s="158" t="n">
        <f aca="false">ינואר!G30+פברואר!G30+מרץ!G30+אפריל!G30+מאי!G30+יוני!G30+יולי!H30+אוגוסט!H30</f>
        <v>43116.44</v>
      </c>
      <c r="I30" s="167" t="n">
        <f aca="false">IFERROR(H30/G30-1,"")</f>
        <v>0.346960248271019</v>
      </c>
      <c r="J30" s="158" t="n">
        <f aca="false">H30-G30</f>
        <v>11106.26</v>
      </c>
      <c r="L30" s="158" t="n">
        <f aca="false">ינואר!J30+פברואר!J30+מרץ!J30+אפריל!J30+מאי!J30+יוני!J30+יולי!M30+אוגוסט!M30</f>
        <v>35000</v>
      </c>
      <c r="M30" s="167" t="n">
        <f aca="false">IFERROR(H30/L30-1,"")</f>
        <v>0.231898285714286</v>
      </c>
      <c r="N30" s="158" t="n">
        <f aca="false">H30-L30</f>
        <v>8116.44</v>
      </c>
      <c r="P30" s="166" t="n">
        <v>43116.44</v>
      </c>
      <c r="Q30" s="167" t="n">
        <f aca="false">IFERROR(H30/P30,"-")</f>
        <v>1</v>
      </c>
      <c r="R30" s="166" t="n">
        <f aca="false">H30-P30</f>
        <v>0</v>
      </c>
    </row>
    <row r="31" customFormat="false" ht="14.25" hidden="false" customHeight="true" outlineLevel="0" collapsed="false">
      <c r="A31" s="169" t="n">
        <v>30</v>
      </c>
      <c r="B31" s="85" t="s">
        <v>152</v>
      </c>
      <c r="C31" s="84" t="s">
        <v>82</v>
      </c>
      <c r="D31" s="166" t="s">
        <v>83</v>
      </c>
      <c r="E31" s="26" t="s">
        <v>81</v>
      </c>
      <c r="F31" s="158" t="n">
        <f aca="false">ינואר!E31+פברואר!E31+מרץ!E31+אפריל!E31+מאי!E31+יוני!E31+יולי!F31+אוגוסט!F31</f>
        <v>20354.79</v>
      </c>
      <c r="G31" s="158" t="n">
        <f aca="false">ינואר!F31+פברואר!F31+מרץ!F31+אפריל!F31+מאי!F31+יוני!F31+יולי!G31+אוגוסט!G31</f>
        <v>38733.3</v>
      </c>
      <c r="H31" s="158" t="n">
        <f aca="false">ינואר!G31+פברואר!G31+מרץ!G31+אפריל!G31+מאי!G31+יוני!G31+יולי!H31+אוגוסט!H31</f>
        <v>17809.5</v>
      </c>
      <c r="I31" s="167" t="n">
        <f aca="false">IFERROR(H31/G31-1,"")</f>
        <v>-0.540201841826026</v>
      </c>
      <c r="J31" s="158" t="n">
        <f aca="false">H31-G31</f>
        <v>-20923.8</v>
      </c>
      <c r="L31" s="158" t="n">
        <f aca="false">ינואר!J31+פברואר!J31+מרץ!J31+אפריל!J31+מאי!J31+יוני!J31+יולי!M31+אוגוסט!M31</f>
        <v>40000</v>
      </c>
      <c r="M31" s="167" t="n">
        <f aca="false">IFERROR(H31/L31-1,"")</f>
        <v>-0.5547625</v>
      </c>
      <c r="N31" s="158" t="n">
        <f aca="false">H31-L31</f>
        <v>-22190.5</v>
      </c>
      <c r="P31" s="166" t="n">
        <v>17809.5</v>
      </c>
      <c r="Q31" s="167" t="n">
        <f aca="false">IFERROR(H31/P31,"-")</f>
        <v>1</v>
      </c>
      <c r="R31" s="166" t="n">
        <f aca="false">H31-P31</f>
        <v>0</v>
      </c>
    </row>
    <row r="32" customFormat="false" ht="13.5" hidden="false" customHeight="true" outlineLevel="0" collapsed="false">
      <c r="A32" s="169" t="n">
        <v>31</v>
      </c>
      <c r="B32" s="85" t="s">
        <v>84</v>
      </c>
      <c r="C32" s="85" t="s">
        <v>84</v>
      </c>
      <c r="D32" s="166" t="s">
        <v>85</v>
      </c>
      <c r="E32" s="26" t="s">
        <v>86</v>
      </c>
      <c r="F32" s="158" t="n">
        <f aca="false">ינואר!E32+פברואר!E32+מרץ!E32+אפריל!E32+מאי!E32+יוני!E32+יולי!F32+אוגוסט!F32</f>
        <v>0</v>
      </c>
      <c r="G32" s="158" t="n">
        <f aca="false">ינואר!F32+פברואר!F32+מרץ!F32+אפריל!F32+מאי!F32+יוני!F32+יולי!G32+אוגוסט!G32</f>
        <v>31584.08</v>
      </c>
      <c r="H32" s="158" t="n">
        <f aca="false">ינואר!G32+פברואר!G32+מרץ!G32+אפריל!G32+מאי!G32+יוני!G32+יולי!H32+אוגוסט!H32</f>
        <v>10037.15</v>
      </c>
      <c r="I32" s="167" t="n">
        <f aca="false">IFERROR(H32/G32-1,"")</f>
        <v>-0.682208568367355</v>
      </c>
      <c r="J32" s="158" t="n">
        <f aca="false">H32-G32</f>
        <v>-21546.93</v>
      </c>
      <c r="L32" s="158" t="n">
        <f aca="false">ינואר!J32+פברואר!J32+מרץ!J32+אפריל!J32+מאי!J32+יוני!J32+יולי!M32+אוגוסט!M32</f>
        <v>36000</v>
      </c>
      <c r="M32" s="167" t="n">
        <f aca="false">IFERROR(H32/L32-1,"")</f>
        <v>-0.721190277777778</v>
      </c>
      <c r="N32" s="158" t="n">
        <f aca="false">H32-L32</f>
        <v>-25962.85</v>
      </c>
      <c r="P32" s="166" t="n">
        <v>0</v>
      </c>
      <c r="Q32" s="167" t="str">
        <f aca="false">IFERROR(H32/P32,"-")</f>
        <v>-</v>
      </c>
      <c r="R32" s="166" t="n">
        <f aca="false">H32-P32</f>
        <v>10037.15</v>
      </c>
    </row>
    <row r="33" customFormat="false" ht="13.5" hidden="false" customHeight="true" outlineLevel="0" collapsed="false">
      <c r="A33" s="169"/>
      <c r="C33" s="84"/>
      <c r="D33" s="166" t="s">
        <v>171</v>
      </c>
      <c r="E33" s="26" t="s">
        <v>172</v>
      </c>
      <c r="F33" s="158" t="n">
        <f aca="false">ינואר!E33+פברואר!E33+מרץ!E33+אפריל!E33+מאי!E33+יוני!E33+יולי!F33+אוגוסט!F33</f>
        <v>0</v>
      </c>
      <c r="G33" s="158" t="n">
        <f aca="false">ינואר!F33+פברואר!F33+מרץ!F33+אפריל!F33+מאי!F33+יוני!F33+יולי!G33+אוגוסט!G33</f>
        <v>0</v>
      </c>
      <c r="H33" s="158" t="n">
        <f aca="false">ינואר!G33+פברואר!G33+מרץ!G33+אפריל!G33+מאי!G33+יוני!G33+יולי!H33+אוגוסט!H33</f>
        <v>0</v>
      </c>
      <c r="I33" s="167" t="str">
        <f aca="false">IFERROR(H33/G33-1,"")</f>
        <v/>
      </c>
      <c r="J33" s="158" t="n">
        <f aca="false">H33-G33</f>
        <v>0</v>
      </c>
      <c r="L33" s="158" t="n">
        <f aca="false">ינואר!J33+פברואר!J33+מרץ!J33+אפריל!J33+מאי!J33+יוני!J33+יולי!M33+אוגוסט!M33</f>
        <v>0</v>
      </c>
      <c r="M33" s="167" t="str">
        <f aca="false">IFERROR(H33/L33-1,"")</f>
        <v/>
      </c>
      <c r="N33" s="158" t="n">
        <f aca="false">H33-L33</f>
        <v>0</v>
      </c>
      <c r="P33" s="166" t="n">
        <v>0</v>
      </c>
      <c r="Q33" s="167" t="str">
        <f aca="false">IFERROR(H33/P33,"-")</f>
        <v>-</v>
      </c>
      <c r="R33" s="166" t="n">
        <f aca="false">H33-P33</f>
        <v>0</v>
      </c>
    </row>
    <row r="34" customFormat="false" ht="13.5" hidden="false" customHeight="true" outlineLevel="0" collapsed="false">
      <c r="A34" s="169" t="n">
        <v>32</v>
      </c>
      <c r="B34" s="85" t="s">
        <v>161</v>
      </c>
      <c r="C34" s="84" t="s">
        <v>87</v>
      </c>
      <c r="D34" s="166" t="s">
        <v>88</v>
      </c>
      <c r="E34" s="26" t="s">
        <v>89</v>
      </c>
      <c r="F34" s="158" t="n">
        <f aca="false">ינואר!E34+פברואר!E34+מרץ!E34+אפריל!E34+מאי!E34+יוני!E34+יולי!F34+אוגוסט!F34</f>
        <v>33839.24</v>
      </c>
      <c r="G34" s="158" t="n">
        <f aca="false">ינואר!F34+פברואר!F34+מרץ!F34+אפריל!F34+מאי!F34+יוני!F34+יולי!G34+אוגוסט!G34</f>
        <v>39713.57</v>
      </c>
      <c r="H34" s="158" t="n">
        <f aca="false">ינואר!G34+פברואר!G34+מרץ!G34+אפריל!G34+מאי!G34+יוני!G34+יולי!H34+אוגוסט!H34</f>
        <v>37142.71</v>
      </c>
      <c r="I34" s="167" t="n">
        <f aca="false">IFERROR(H34/G34-1,"")</f>
        <v>-0.0647350515201731</v>
      </c>
      <c r="J34" s="158" t="n">
        <f aca="false">H34-G34</f>
        <v>-2570.86</v>
      </c>
      <c r="L34" s="158" t="n">
        <f aca="false">ינואר!J34+פברואר!J34+מרץ!J34+אפריל!J34+מאי!J34+יוני!J34+יולי!M34+אוגוסט!M34</f>
        <v>40000</v>
      </c>
      <c r="M34" s="167" t="n">
        <f aca="false">IFERROR(H34/L34-1,"")</f>
        <v>-0.07143225</v>
      </c>
      <c r="N34" s="158" t="n">
        <f aca="false">H34-L34</f>
        <v>-2857.29</v>
      </c>
      <c r="P34" s="166" t="n">
        <v>38792.66</v>
      </c>
      <c r="Q34" s="167" t="n">
        <f aca="false">IFERROR(H34/P34,"-")</f>
        <v>0.957467469361472</v>
      </c>
      <c r="R34" s="166" t="n">
        <f aca="false">H34-P34</f>
        <v>-1649.95</v>
      </c>
    </row>
    <row r="35" customFormat="false" ht="13.5" hidden="false" customHeight="true" outlineLevel="0" collapsed="false">
      <c r="A35" s="169" t="n">
        <v>33</v>
      </c>
      <c r="B35" s="85" t="s">
        <v>160</v>
      </c>
      <c r="C35" s="84" t="s">
        <v>90</v>
      </c>
      <c r="D35" s="166" t="s">
        <v>91</v>
      </c>
      <c r="E35" s="26" t="s">
        <v>92</v>
      </c>
      <c r="F35" s="158" t="n">
        <f aca="false">ינואר!E35+פברואר!E35+מרץ!E35+אפריל!E35+מאי!E35+יוני!E35+יולי!F35+אוגוסט!F35</f>
        <v>59175.03</v>
      </c>
      <c r="G35" s="158" t="n">
        <f aca="false">ינואר!F35+פברואר!F35+מרץ!F35+אפריל!F35+מאי!F35+יוני!F35+יולי!G35+אוגוסט!G35</f>
        <v>30531.53</v>
      </c>
      <c r="H35" s="158" t="n">
        <f aca="false">ינואר!G35+פברואר!G35+מרץ!G35+אפריל!G35+מאי!G35+יוני!G35+יולי!H35+אוגוסט!H35</f>
        <v>26105.72</v>
      </c>
      <c r="I35" s="167" t="n">
        <f aca="false">IFERROR(H35/G35-1,"")</f>
        <v>-0.144958670593973</v>
      </c>
      <c r="J35" s="158" t="n">
        <f aca="false">H35-G35</f>
        <v>-4425.81</v>
      </c>
      <c r="L35" s="158" t="n">
        <f aca="false">ינואר!J35+פברואר!J35+מרץ!J35+אפריל!J35+מאי!J35+יוני!J35+יולי!M35+אוגוסט!M35</f>
        <v>40000</v>
      </c>
      <c r="M35" s="167" t="n">
        <f aca="false">IFERROR(H35/L35-1,"")</f>
        <v>-0.347357</v>
      </c>
      <c r="N35" s="158" t="n">
        <f aca="false">H35-L35</f>
        <v>-13894.28</v>
      </c>
      <c r="P35" s="166" t="n">
        <v>0</v>
      </c>
      <c r="Q35" s="167" t="str">
        <f aca="false">IFERROR(H35/P35,"-")</f>
        <v>-</v>
      </c>
      <c r="R35" s="166" t="n">
        <f aca="false">H35-P35</f>
        <v>26105.72</v>
      </c>
    </row>
    <row r="36" customFormat="false" ht="14.25" hidden="false" customHeight="true" outlineLevel="0" collapsed="false">
      <c r="A36" s="169"/>
      <c r="B36" s="85" t="s">
        <v>166</v>
      </c>
      <c r="C36" s="85" t="s">
        <v>166</v>
      </c>
      <c r="D36" s="166" t="s">
        <v>173</v>
      </c>
      <c r="E36" s="26" t="s">
        <v>78</v>
      </c>
      <c r="F36" s="158" t="n">
        <f aca="false">ינואר!E36+פברואר!E36+מרץ!E36+אפריל!E36+מאי!E36+יוני!E36+יולי!F36+אוגוסט!F36</f>
        <v>41531.96</v>
      </c>
      <c r="G36" s="158" t="n">
        <f aca="false">ינואר!F36+פברואר!F36+מרץ!F36+אפריל!F36+מאי!F36+יוני!F36+יולי!G36+אוגוסט!G36</f>
        <v>0</v>
      </c>
      <c r="H36" s="158" t="n">
        <f aca="false">ינואר!G36+פברואר!G36+מרץ!G36+אפריל!G36+מאי!G36+יוני!G36+יולי!H36+אוגוסט!H36</f>
        <v>0</v>
      </c>
      <c r="I36" s="167" t="str">
        <f aca="false">IFERROR(H36/G36-1,"")</f>
        <v/>
      </c>
      <c r="J36" s="158" t="n">
        <f aca="false">H36-G36</f>
        <v>0</v>
      </c>
      <c r="L36" s="158" t="n">
        <f aca="false">ינואר!J36+פברואר!J36+מרץ!J36+אפריל!J36+מאי!J36+יוני!J36+יולי!M36+אוגוסט!M36</f>
        <v>0</v>
      </c>
      <c r="M36" s="167" t="str">
        <f aca="false">IFERROR(H36/L36-1,"")</f>
        <v/>
      </c>
      <c r="N36" s="158" t="n">
        <f aca="false">H36-L36</f>
        <v>0</v>
      </c>
      <c r="P36" s="166" t="n">
        <v>0</v>
      </c>
      <c r="Q36" s="167" t="str">
        <f aca="false">IFERROR(H36/P36,"-")</f>
        <v>-</v>
      </c>
      <c r="R36" s="166" t="n">
        <f aca="false">H36-P36</f>
        <v>0</v>
      </c>
    </row>
    <row r="37" customFormat="false" ht="14.25" hidden="false" customHeight="true" outlineLevel="0" collapsed="false">
      <c r="A37" s="169" t="n">
        <v>34</v>
      </c>
      <c r="B37" s="85" t="s">
        <v>165</v>
      </c>
      <c r="C37" s="85" t="s">
        <v>165</v>
      </c>
      <c r="D37" s="166" t="s">
        <v>93</v>
      </c>
      <c r="E37" s="26" t="s">
        <v>174</v>
      </c>
      <c r="F37" s="158" t="n">
        <f aca="false">ינואר!E37+פברואר!E37+מרץ!E37+אפריל!E37+מאי!E37+יוני!E37+יולי!F37+אוגוסט!F37</f>
        <v>22310.96</v>
      </c>
      <c r="G37" s="158" t="n">
        <f aca="false">ינואר!F37+פברואר!F37+מרץ!F37+אפריל!F37+מאי!F37+יוני!F37+יולי!G37+אוגוסט!G37</f>
        <v>0</v>
      </c>
      <c r="H37" s="158" t="n">
        <f aca="false">ינואר!G37+פברואר!G37+מרץ!G37+אפריל!G37+מאי!G37+יוני!G37+יולי!H37+אוגוסט!H37</f>
        <v>0</v>
      </c>
      <c r="I37" s="167" t="str">
        <f aca="false">IFERROR(H37/G37-1,"")</f>
        <v/>
      </c>
      <c r="J37" s="158" t="n">
        <f aca="false">H37-G37</f>
        <v>0</v>
      </c>
      <c r="L37" s="158" t="n">
        <f aca="false">ינואר!J37+פברואר!J37+מרץ!J37+אפריל!J37+מאי!J37+יוני!J37+יולי!M37+אוגוסט!M37</f>
        <v>0</v>
      </c>
      <c r="M37" s="167" t="str">
        <f aca="false">IFERROR(H37/L37-1,"")</f>
        <v/>
      </c>
      <c r="N37" s="158" t="n">
        <f aca="false">H37-L37</f>
        <v>0</v>
      </c>
      <c r="P37" s="166" t="n">
        <v>0</v>
      </c>
      <c r="Q37" s="167" t="str">
        <f aca="false">IFERROR(H37/P37,"-")</f>
        <v>-</v>
      </c>
      <c r="R37" s="166" t="n">
        <f aca="false">H37-P37</f>
        <v>0</v>
      </c>
    </row>
    <row r="38" customFormat="false" ht="13.5" hidden="false" customHeight="true" outlineLevel="0" collapsed="false">
      <c r="A38" s="169" t="n">
        <v>35</v>
      </c>
      <c r="B38" s="85" t="s">
        <v>94</v>
      </c>
      <c r="C38" s="85" t="s">
        <v>94</v>
      </c>
      <c r="D38" s="166" t="s">
        <v>95</v>
      </c>
      <c r="E38" s="26" t="s">
        <v>51</v>
      </c>
      <c r="F38" s="158" t="n">
        <f aca="false">ינואר!E38+פברואר!E38+מרץ!E38+אפריל!E38+מאי!E38+יוני!E38+יולי!F38+אוגוסט!F38</f>
        <v>0</v>
      </c>
      <c r="G38" s="158" t="n">
        <f aca="false">ינואר!F38+פברואר!F38+מרץ!F38+אפריל!F38+מאי!F38+יוני!F38+יולי!G38+אוגוסט!G38</f>
        <v>248.59</v>
      </c>
      <c r="H38" s="158" t="n">
        <f aca="false">ינואר!G38+פברואר!G38+מרץ!G38+אפריל!G38+מאי!G38+יוני!G38+יולי!H38+אוגוסט!H38</f>
        <v>0</v>
      </c>
      <c r="I38" s="167" t="n">
        <f aca="false">IFERROR(H38/G38-1,"")</f>
        <v>-1</v>
      </c>
      <c r="J38" s="158" t="n">
        <f aca="false">H38-G38</f>
        <v>-248.59</v>
      </c>
      <c r="L38" s="158" t="n">
        <f aca="false">ינואר!J38+פברואר!J38+מרץ!J38+אפריל!J38+מאי!J38+יוני!J38+יולי!M38+אוגוסט!M38</f>
        <v>400000</v>
      </c>
      <c r="M38" s="167" t="n">
        <f aca="false">IFERROR(H38/L38-1,"")</f>
        <v>-1</v>
      </c>
      <c r="N38" s="158" t="n">
        <f aca="false">H38-L38</f>
        <v>-400000</v>
      </c>
      <c r="P38" s="166" t="n">
        <v>0</v>
      </c>
      <c r="Q38" s="167" t="str">
        <f aca="false">IFERROR(H38/P38,"-")</f>
        <v>-</v>
      </c>
      <c r="R38" s="166" t="n">
        <f aca="false">H38-P38</f>
        <v>0</v>
      </c>
    </row>
    <row r="39" customFormat="false" ht="13.5" hidden="false" customHeight="true" outlineLevel="0" collapsed="false">
      <c r="A39" s="169" t="n">
        <v>36</v>
      </c>
      <c r="C39" s="85" t="s">
        <v>97</v>
      </c>
      <c r="D39" s="166" t="s">
        <v>97</v>
      </c>
      <c r="E39" s="26"/>
      <c r="F39" s="158" t="n">
        <f aca="false">ינואר!E39+פברואר!E39+מרץ!E39+אפריל!E39+מאי!E39+יוני!E39+יולי!F39+אוגוסט!F39</f>
        <v>0</v>
      </c>
      <c r="G39" s="158" t="n">
        <f aca="false">ינואר!F39+פברואר!F39+מרץ!F39+אפריל!F39+מאי!F39+יוני!F39+יולי!G39+אוגוסט!G39</f>
        <v>0</v>
      </c>
      <c r="H39" s="158" t="n">
        <f aca="false">ינואר!G39+פברואר!G39+מרץ!G39+אפריל!G39+מאי!G39+יוני!G39+יולי!H39+אוגוסט!H39</f>
        <v>0</v>
      </c>
      <c r="I39" s="167" t="str">
        <f aca="false">IFERROR(H39/G39-1,"")</f>
        <v/>
      </c>
      <c r="J39" s="158" t="n">
        <f aca="false">H39-G39</f>
        <v>0</v>
      </c>
      <c r="L39" s="158" t="n">
        <f aca="false">ינואר!J39+פברואר!J39+מרץ!J39+אפריל!J39+מאי!J39+יוני!J39+יולי!M39+אוגוסט!M39</f>
        <v>200000</v>
      </c>
      <c r="M39" s="167" t="n">
        <f aca="false">IFERROR(H39/L39-1,"")</f>
        <v>-1</v>
      </c>
      <c r="N39" s="158" t="n">
        <f aca="false">H39-L39</f>
        <v>-200000</v>
      </c>
      <c r="P39" s="166" t="n">
        <v>0</v>
      </c>
      <c r="Q39" s="167" t="str">
        <f aca="false">IFERROR(H39/P39,"-")</f>
        <v>-</v>
      </c>
      <c r="R39" s="166" t="n">
        <f aca="false">H39-P39</f>
        <v>0</v>
      </c>
    </row>
    <row r="40" customFormat="false" ht="15" hidden="false" customHeight="true" outlineLevel="0" collapsed="false">
      <c r="A40" s="169"/>
      <c r="C40" s="220" t="s">
        <v>98</v>
      </c>
      <c r="D40" s="173" t="s">
        <v>98</v>
      </c>
      <c r="E40" s="238"/>
      <c r="F40" s="173" t="n">
        <f aca="false">SUM(F20:F39)</f>
        <v>5179930.03</v>
      </c>
      <c r="G40" s="173" t="n">
        <f aca="false">SUM(G20:G39)</f>
        <v>3897862.65</v>
      </c>
      <c r="H40" s="173" t="n">
        <f aca="false">SUM(H20:H39)</f>
        <v>3738438.67</v>
      </c>
      <c r="I40" s="174" t="n">
        <f aca="false">H40/G40-1</f>
        <v>-0.0409003585593247</v>
      </c>
      <c r="J40" s="173" t="n">
        <f aca="false">SUM(J20:J39)</f>
        <v>-159423.98</v>
      </c>
      <c r="L40" s="173" t="n">
        <f aca="false">SUM(L20:L39)</f>
        <v>6416584.6115875</v>
      </c>
      <c r="M40" s="174" t="n">
        <f aca="false">H40/L40-1</f>
        <v>-0.417378730851787</v>
      </c>
      <c r="N40" s="173" t="n">
        <f aca="false">SUM(N20:N39)</f>
        <v>-2678145.9415875</v>
      </c>
      <c r="P40" s="173" t="n">
        <f aca="false">SUM(P20:P39)</f>
        <v>3862193.04</v>
      </c>
      <c r="Q40" s="174" t="n">
        <f aca="false">IFERROR(H40/P40,"-")</f>
        <v>0.967957487179357</v>
      </c>
      <c r="R40" s="173" t="n">
        <f aca="false">H40-P40</f>
        <v>-123754.37</v>
      </c>
    </row>
    <row r="41" customFormat="false" ht="16.5" hidden="false" customHeight="true" outlineLevel="0" collapsed="false">
      <c r="A41" s="169"/>
      <c r="C41" s="239" t="s">
        <v>175</v>
      </c>
      <c r="D41" s="175" t="s">
        <v>175</v>
      </c>
      <c r="E41" s="240"/>
      <c r="F41" s="175" t="n">
        <f aca="false">F40+F19</f>
        <v>16999889.127</v>
      </c>
      <c r="G41" s="175" t="n">
        <f aca="false">G40+G19</f>
        <v>16135216.052</v>
      </c>
      <c r="H41" s="175" t="n">
        <f aca="false">H40+H19</f>
        <v>17262830.909</v>
      </c>
      <c r="I41" s="147" t="n">
        <f aca="false">H41/G41-1</f>
        <v>0.0698853274332341</v>
      </c>
      <c r="J41" s="175" t="n">
        <f aca="false">J40+J19</f>
        <v>1127614.85699999</v>
      </c>
      <c r="L41" s="175" t="n">
        <f aca="false">L40+L19</f>
        <v>25373388.6069924</v>
      </c>
      <c r="M41" s="147" t="n">
        <f aca="false">H41/L41-1</f>
        <v>-0.31964818825016</v>
      </c>
      <c r="N41" s="175" t="n">
        <f aca="false">N40+N19</f>
        <v>-8110557.69799237</v>
      </c>
      <c r="P41" s="175" t="n">
        <f aca="false">P40+P19</f>
        <v>17964287.307</v>
      </c>
      <c r="Q41" s="147" t="n">
        <f aca="false">IFERROR(H41/P41,"-")</f>
        <v>0.960952728821774</v>
      </c>
      <c r="R41" s="175" t="n">
        <f aca="false">H41-P41</f>
        <v>-701456.397999998</v>
      </c>
    </row>
    <row r="42" customFormat="false" ht="15.75" hidden="false" customHeight="true" outlineLevel="0" collapsed="false">
      <c r="C42" s="222" t="s">
        <v>121</v>
      </c>
      <c r="D42" s="176" t="s">
        <v>121</v>
      </c>
      <c r="E42" s="241"/>
      <c r="F42" s="177" t="n">
        <f aca="false">F40/F41</f>
        <v>0.304703753730546</v>
      </c>
      <c r="G42" s="177" t="n">
        <f aca="false">G40/G41</f>
        <v>0.241574865650271</v>
      </c>
      <c r="H42" s="177" t="n">
        <f aca="false">H40/H41</f>
        <v>0.216560000483522</v>
      </c>
      <c r="I42" s="177"/>
      <c r="J42" s="177"/>
      <c r="L42" s="177" t="n">
        <f aca="false">L40-ינואר!J40-פברואר!J40-מרץ!J40-אפריל!J40-מאי!J40-יוני!J40-יולי!M40-אוגוסט!M40</f>
        <v>0</v>
      </c>
      <c r="M42" s="177"/>
      <c r="N42" s="177"/>
      <c r="P42" s="242"/>
      <c r="Q42" s="177" t="str">
        <f aca="false">IFERROR(H42/P42,"-")</f>
        <v>-</v>
      </c>
      <c r="R42" s="2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2" topLeftCell="H16" activePane="bottomRight" state="frozen"/>
      <selection pane="topLeft" activeCell="A1" activeCellId="0" sqref="A1"/>
      <selection pane="topRight" activeCell="H1" activeCellId="0" sqref="H1"/>
      <selection pane="bottomLeft" activeCell="A16" activeCellId="0" sqref="A16"/>
      <selection pane="bottomRight" activeCell="X53" activeCellId="0" sqref="X53"/>
    </sheetView>
  </sheetViews>
  <sheetFormatPr defaultColWidth="8.6171875" defaultRowHeight="14.25" zeroHeight="false" outlineLevelRow="1" outlineLevelCol="0"/>
  <cols>
    <col collapsed="false" customWidth="true" hidden="true" outlineLevel="0" max="1" min="1" style="1" width="2.88"/>
    <col collapsed="false" customWidth="true" hidden="true" outlineLevel="0" max="2" min="2" style="179" width="26"/>
    <col collapsed="false" customWidth="true" hidden="true" outlineLevel="0" max="3" min="3" style="1" width="13.38"/>
    <col collapsed="false" customWidth="true" hidden="false" outlineLevel="0" max="4" min="4" style="179" width="26"/>
    <col collapsed="false" customWidth="true" hidden="true" outlineLevel="0" max="5" min="5" style="1" width="13.38"/>
    <col collapsed="false" customWidth="true" hidden="true" outlineLevel="0" max="7" min="6" style="1" width="9.87"/>
    <col collapsed="false" customWidth="true" hidden="false" outlineLevel="0" max="8" min="8" style="1" width="9.87"/>
    <col collapsed="false" customWidth="true" hidden="false" outlineLevel="0" max="9" min="9" style="1" width="6.88"/>
    <col collapsed="false" customWidth="true" hidden="false" outlineLevel="0" max="11" min="10" style="1" width="11.88"/>
    <col collapsed="false" customWidth="true" hidden="false" outlineLevel="0" max="12" min="12" style="1" width="1.75"/>
    <col collapsed="false" customWidth="true" hidden="false" outlineLevel="0" max="13" min="13" style="1" width="10.26"/>
    <col collapsed="false" customWidth="true" hidden="false" outlineLevel="0" max="14" min="14" style="1" width="11"/>
    <col collapsed="false" customWidth="true" hidden="false" outlineLevel="0" max="15" min="15" style="1" width="6.88"/>
    <col collapsed="false" customWidth="true" hidden="false" outlineLevel="0" max="16" min="16" style="1" width="10.75"/>
    <col collapsed="false" customWidth="true" hidden="false" outlineLevel="0" max="17" min="17" style="1" width="3.5"/>
    <col collapsed="false" customWidth="true" hidden="false" outlineLevel="0" max="18" min="18" style="1" width="10.26"/>
    <col collapsed="false" customWidth="true" hidden="false" outlineLevel="0" max="19" min="19" style="1" width="10.88"/>
    <col collapsed="false" customWidth="true" hidden="false" outlineLevel="0" max="20" min="20" style="1" width="7.62"/>
    <col collapsed="false" customWidth="true" hidden="false" outlineLevel="0" max="21" min="21" style="1" width="13"/>
    <col collapsed="false" customWidth="true" hidden="false" outlineLevel="0" max="23" min="23" style="1" width="9.87"/>
    <col collapsed="false" customWidth="true" hidden="false" outlineLevel="0" max="24" min="24" style="1" width="10.5"/>
    <col collapsed="false" customWidth="true" hidden="false" outlineLevel="0" max="25" min="25" style="180" width="9"/>
  </cols>
  <sheetData>
    <row r="1" customFormat="false" ht="15.75" hidden="false" customHeight="true" outlineLevel="0" collapsed="false">
      <c r="B1" s="181"/>
      <c r="C1" s="7" t="s">
        <v>226</v>
      </c>
      <c r="D1" s="181" t="s">
        <v>226</v>
      </c>
      <c r="E1" s="7"/>
      <c r="F1" s="7"/>
      <c r="G1" s="7"/>
      <c r="H1" s="7"/>
      <c r="I1" s="7"/>
      <c r="J1" s="7"/>
      <c r="K1" s="7"/>
      <c r="M1" s="7"/>
      <c r="N1" s="7"/>
      <c r="O1" s="7"/>
      <c r="P1" s="7"/>
      <c r="R1" s="7"/>
      <c r="S1" s="7"/>
      <c r="T1" s="7"/>
      <c r="U1" s="7"/>
      <c r="W1" s="7"/>
    </row>
    <row r="2" customFormat="false" ht="15" hidden="false" customHeight="true" outlineLevel="0" collapsed="false">
      <c r="A2" s="161" t="s">
        <v>2</v>
      </c>
      <c r="B2" s="38"/>
      <c r="C2" s="163"/>
      <c r="D2" s="38"/>
      <c r="E2" s="163" t="s">
        <v>3</v>
      </c>
      <c r="F2" s="163" t="n">
        <v>9.2024</v>
      </c>
      <c r="G2" s="163" t="n">
        <v>9.2025</v>
      </c>
      <c r="H2" s="163" t="n">
        <v>9.2026</v>
      </c>
      <c r="I2" s="185" t="s">
        <v>211</v>
      </c>
      <c r="J2" s="185" t="s">
        <v>168</v>
      </c>
      <c r="K2" s="163" t="s">
        <v>169</v>
      </c>
      <c r="M2" s="163" t="s">
        <v>170</v>
      </c>
      <c r="N2" s="185" t="s">
        <v>114</v>
      </c>
      <c r="O2" s="185" t="s">
        <v>212</v>
      </c>
      <c r="P2" s="163" t="s">
        <v>115</v>
      </c>
      <c r="R2" s="186" t="s">
        <v>1</v>
      </c>
      <c r="S2" s="185" t="s">
        <v>214</v>
      </c>
      <c r="T2" s="185" t="s">
        <v>212</v>
      </c>
      <c r="U2" s="162" t="s">
        <v>215</v>
      </c>
      <c r="V2" s="187"/>
      <c r="W2" s="163" t="n">
        <v>9.2026</v>
      </c>
      <c r="X2" s="187"/>
    </row>
    <row r="3" customFormat="false" ht="14.25" hidden="true" customHeight="true" outlineLevel="1" collapsed="false">
      <c r="A3" s="165" t="n">
        <v>5</v>
      </c>
      <c r="B3" s="189" t="s">
        <v>143</v>
      </c>
      <c r="C3" s="158" t="s">
        <v>31</v>
      </c>
      <c r="D3" s="189" t="s">
        <v>31</v>
      </c>
      <c r="E3" s="158" t="s">
        <v>32</v>
      </c>
      <c r="F3" s="158" t="n">
        <f aca="false">VLOOKUP(B3,'2024'!$A:$O,10,0)</f>
        <v>124776.4</v>
      </c>
      <c r="G3" s="158" t="n">
        <f aca="false">VLOOKUP($B3,'2025'!$A:$O,10,0)</f>
        <v>157587.19</v>
      </c>
      <c r="H3" s="158" t="n">
        <v>193941.5</v>
      </c>
      <c r="I3" s="190" t="n">
        <f aca="false">IFERROR(H3/$H$19,"")</f>
        <v>0.117735291796584</v>
      </c>
      <c r="J3" s="190" t="n">
        <f aca="false">IFERROR(H3/G3-1,"")</f>
        <v>0.230693306987706</v>
      </c>
      <c r="K3" s="158" t="n">
        <f aca="false">H3-G3</f>
        <v>36354.31</v>
      </c>
      <c r="M3" s="158" t="n">
        <f aca="false">VLOOKUP(C3,'תקציב  '!$B:$S,12,0)*1</f>
        <v>209841.26984127</v>
      </c>
      <c r="N3" s="190" t="n">
        <f aca="false">IFERROR(H3/M3-1,"")</f>
        <v>-0.0757704614220884</v>
      </c>
      <c r="O3" s="190" t="n">
        <f aca="false">IFERROR(H3/M3,"-")</f>
        <v>0.924229538577912</v>
      </c>
      <c r="P3" s="158" t="n">
        <f aca="false">H3-M3</f>
        <v>-15899.76984127</v>
      </c>
      <c r="R3" s="166" t="n">
        <v>200000</v>
      </c>
      <c r="S3" s="190" t="n">
        <f aca="false">IFERROR(H3/R3-1,"-")</f>
        <v>-0.0302925000000001</v>
      </c>
      <c r="T3" s="190" t="n">
        <f aca="false">IFERROR(H3/R3,"-")</f>
        <v>0.9697075</v>
      </c>
      <c r="U3" s="166" t="n">
        <f aca="false">H3-R3</f>
        <v>-6058.5</v>
      </c>
      <c r="W3" s="158" t="n">
        <v>193941.5</v>
      </c>
      <c r="X3" s="5" t="n">
        <f aca="false">H3-W3</f>
        <v>0</v>
      </c>
      <c r="Y3" s="191" t="n">
        <f aca="false">IFERROR((H3/W3)-1,"-")</f>
        <v>0</v>
      </c>
    </row>
    <row r="4" customFormat="false" ht="14.25" hidden="true" customHeight="true" outlineLevel="1" collapsed="false">
      <c r="A4" s="168" t="n">
        <v>1</v>
      </c>
      <c r="B4" s="189" t="s">
        <v>33</v>
      </c>
      <c r="C4" s="158" t="s">
        <v>33</v>
      </c>
      <c r="D4" s="189" t="s">
        <v>33</v>
      </c>
      <c r="E4" s="158" t="s">
        <v>32</v>
      </c>
      <c r="F4" s="158" t="n">
        <f aca="false">VLOOKUP(C4,'2024'!$A:$O,10,0)</f>
        <v>514559.045</v>
      </c>
      <c r="G4" s="158" t="n">
        <f aca="false">VLOOKUP($B4,'2025'!$A:$O,10,0)</f>
        <v>465794.42</v>
      </c>
      <c r="H4" s="158" t="n">
        <v>413784.462</v>
      </c>
      <c r="I4" s="190" t="n">
        <f aca="false">IFERROR(H4/$H$19,"")</f>
        <v>0.251194480678258</v>
      </c>
      <c r="J4" s="190" t="n">
        <f aca="false">IFERROR(H4/G4-1,"")</f>
        <v>-0.111658611110026</v>
      </c>
      <c r="K4" s="158" t="n">
        <f aca="false">H4-G4</f>
        <v>-52009.958</v>
      </c>
      <c r="M4" s="158" t="n">
        <f aca="false">VLOOKUP(C4,'תקציב  '!$B:$S,12,0)*1</f>
        <v>527603.174603175</v>
      </c>
      <c r="N4" s="190" t="n">
        <f aca="false">IFERROR(H4/M4-1,"")</f>
        <v>-0.215727876711093</v>
      </c>
      <c r="O4" s="190" t="n">
        <f aca="false">IFERROR(H4/M4,"-")</f>
        <v>0.784272123288907</v>
      </c>
      <c r="P4" s="158" t="n">
        <f aca="false">H4-M4</f>
        <v>-113818.712603175</v>
      </c>
      <c r="R4" s="166" t="n">
        <v>550000</v>
      </c>
      <c r="S4" s="190" t="n">
        <f aca="false">IFERROR(H4/R4-1,"-")</f>
        <v>-0.247664614545455</v>
      </c>
      <c r="T4" s="190" t="n">
        <f aca="false">IFERROR(H4/R4,"-")</f>
        <v>0.752335385454546</v>
      </c>
      <c r="U4" s="166" t="n">
        <f aca="false">H4-R4</f>
        <v>-136215.538</v>
      </c>
      <c r="W4" s="158" t="n">
        <v>343121.506</v>
      </c>
      <c r="X4" s="5" t="n">
        <f aca="false">H4-W4</f>
        <v>70662.956</v>
      </c>
      <c r="Y4" s="191" t="n">
        <f aca="false">IFERROR((H4/W4)-1,"-")</f>
        <v>0.20594149525562</v>
      </c>
    </row>
    <row r="5" customFormat="false" ht="14.25" hidden="true" customHeight="true" outlineLevel="1" collapsed="false">
      <c r="A5" s="168" t="n">
        <v>7</v>
      </c>
      <c r="B5" s="189" t="s">
        <v>34</v>
      </c>
      <c r="C5" s="158" t="s">
        <v>34</v>
      </c>
      <c r="D5" s="189" t="s">
        <v>34</v>
      </c>
      <c r="E5" s="158" t="s">
        <v>32</v>
      </c>
      <c r="F5" s="158" t="n">
        <f aca="false">VLOOKUP(C5,'2024'!$A:$O,10,0)</f>
        <v>104489.476</v>
      </c>
      <c r="G5" s="158" t="n">
        <f aca="false">VLOOKUP($B5,'2025'!$A:$O,10,0)</f>
        <v>64918.49</v>
      </c>
      <c r="H5" s="158" t="n">
        <v>70795.452</v>
      </c>
      <c r="I5" s="190" t="n">
        <f aca="false">IFERROR(H5/$H$19,"")</f>
        <v>0.0429775122863907</v>
      </c>
      <c r="J5" s="190" t="n">
        <f aca="false">IFERROR(H5/G5-1,"")</f>
        <v>0.0905283225164357</v>
      </c>
      <c r="K5" s="158" t="n">
        <f aca="false">H5-G5</f>
        <v>5876.96200000001</v>
      </c>
      <c r="M5" s="158" t="n">
        <f aca="false">VLOOKUP(C5,'תקציב  '!$B:$S,12,0)*1</f>
        <v>67857.1428571428</v>
      </c>
      <c r="N5" s="190" t="n">
        <f aca="false">IFERROR(H5/M5-1,"")</f>
        <v>0.0433013978947379</v>
      </c>
      <c r="O5" s="190" t="n">
        <f aca="false">IFERROR(H5/M5,"-")</f>
        <v>1.04330139789474</v>
      </c>
      <c r="P5" s="158" t="n">
        <f aca="false">H5-M5</f>
        <v>2938.30914285721</v>
      </c>
      <c r="R5" s="166" t="n">
        <v>100000</v>
      </c>
      <c r="S5" s="190" t="n">
        <f aca="false">IFERROR(H5/R5-1,"-")</f>
        <v>-0.29204548</v>
      </c>
      <c r="T5" s="190" t="n">
        <f aca="false">IFERROR(H5/R5,"-")</f>
        <v>0.70795452</v>
      </c>
      <c r="U5" s="166" t="n">
        <f aca="false">H5-R5</f>
        <v>-29204.548</v>
      </c>
      <c r="W5" s="158" t="n">
        <v>60296.236</v>
      </c>
      <c r="X5" s="5" t="n">
        <f aca="false">H5-W5</f>
        <v>10499.216</v>
      </c>
      <c r="Y5" s="191" t="n">
        <f aca="false">IFERROR((H5/W5)-1,"-")</f>
        <v>0.174127220810268</v>
      </c>
    </row>
    <row r="6" customFormat="false" ht="14.25" hidden="true" customHeight="true" outlineLevel="1" collapsed="false">
      <c r="A6" s="168" t="n">
        <v>4</v>
      </c>
      <c r="B6" s="189" t="s">
        <v>35</v>
      </c>
      <c r="C6" s="158" t="s">
        <v>35</v>
      </c>
      <c r="D6" s="189" t="s">
        <v>35</v>
      </c>
      <c r="E6" s="158" t="s">
        <v>32</v>
      </c>
      <c r="F6" s="158" t="n">
        <f aca="false">VLOOKUP(C6,'2024'!$A:$O,10,0)</f>
        <v>141046.592</v>
      </c>
      <c r="G6" s="158" t="n">
        <f aca="false">VLOOKUP($B6,'2025'!$A:$O,10,0)</f>
        <v>134403.73</v>
      </c>
      <c r="H6" s="158" t="n">
        <v>178661.465</v>
      </c>
      <c r="I6" s="190" t="n">
        <f aca="false">IFERROR(H6/$H$19,"")</f>
        <v>0.108459301978071</v>
      </c>
      <c r="J6" s="190" t="n">
        <f aca="false">IFERROR(H6/G6-1,"")</f>
        <v>0.329289484748675</v>
      </c>
      <c r="K6" s="158" t="n">
        <f aca="false">H6-G6</f>
        <v>44257.735</v>
      </c>
      <c r="M6" s="158" t="n">
        <f aca="false">VLOOKUP(B6,'תקציב  '!$B:$S,12,0)*1</f>
        <v>150253.968253968</v>
      </c>
      <c r="N6" s="190" t="n">
        <f aca="false">IFERROR(H6/M6-1,"")</f>
        <v>0.189063204627088</v>
      </c>
      <c r="O6" s="190" t="n">
        <f aca="false">IFERROR(H6/M6,"-")</f>
        <v>1.18906320462709</v>
      </c>
      <c r="P6" s="158" t="n">
        <f aca="false">H6-M6</f>
        <v>28407.496746032</v>
      </c>
      <c r="R6" s="166" t="n">
        <v>200000</v>
      </c>
      <c r="S6" s="190" t="n">
        <f aca="false">IFERROR(H6/R6-1,"-")</f>
        <v>-0.106692675</v>
      </c>
      <c r="T6" s="190" t="n">
        <f aca="false">IFERROR(H6/R6,"-")</f>
        <v>0.893307325</v>
      </c>
      <c r="U6" s="166" t="n">
        <f aca="false">H6-R6</f>
        <v>-21338.535</v>
      </c>
      <c r="W6" s="158" t="n">
        <v>169016.557</v>
      </c>
      <c r="X6" s="5" t="n">
        <f aca="false">H6-W6</f>
        <v>9644.908</v>
      </c>
      <c r="Y6" s="191" t="n">
        <f aca="false">IFERROR((H6/W6)-1,"-")</f>
        <v>0.0570648708694261</v>
      </c>
    </row>
    <row r="7" customFormat="false" ht="14.25" hidden="true" customHeight="true" outlineLevel="1" collapsed="false">
      <c r="A7" s="168" t="n">
        <v>3</v>
      </c>
      <c r="B7" s="189" t="s">
        <v>148</v>
      </c>
      <c r="C7" s="158" t="s">
        <v>36</v>
      </c>
      <c r="D7" s="189" t="s">
        <v>36</v>
      </c>
      <c r="E7" s="158" t="s">
        <v>32</v>
      </c>
      <c r="F7" s="158" t="n">
        <f aca="false">VLOOKUP(B7,'2024'!$A:$O,10,0)</f>
        <v>309520.8</v>
      </c>
      <c r="G7" s="158" t="n">
        <f aca="false">VLOOKUP($B7,'2025'!$A:$O,10,0)</f>
        <v>337200.15</v>
      </c>
      <c r="H7" s="158" t="n">
        <v>296928.1</v>
      </c>
      <c r="I7" s="190" t="n">
        <f aca="false">IFERROR(H7/$H$19,"")</f>
        <v>0.180254955726883</v>
      </c>
      <c r="J7" s="190" t="n">
        <f aca="false">IFERROR(H7/G7-1,"")</f>
        <v>-0.119430700134623</v>
      </c>
      <c r="K7" s="158" t="n">
        <f aca="false">H7-G7</f>
        <v>-40272.0500000001</v>
      </c>
      <c r="M7" s="158" t="n">
        <f aca="false">VLOOKUP(C7,'תקציב  '!$B:$S,12,0)*1</f>
        <v>365000</v>
      </c>
      <c r="N7" s="190" t="n">
        <f aca="false">IFERROR(H7/M7-1,"")</f>
        <v>-0.186498356164384</v>
      </c>
      <c r="O7" s="190" t="n">
        <f aca="false">IFERROR(H7/M7,"-")</f>
        <v>0.813501643835616</v>
      </c>
      <c r="P7" s="158" t="n">
        <f aca="false">H7-M7</f>
        <v>-68071.9</v>
      </c>
      <c r="R7" s="166" t="n">
        <v>330000</v>
      </c>
      <c r="S7" s="190" t="n">
        <f aca="false">IFERROR(H7/R7-1,"-")</f>
        <v>-0.100217878787879</v>
      </c>
      <c r="T7" s="190" t="n">
        <f aca="false">IFERROR(H7/R7,"-")</f>
        <v>0.899782121212121</v>
      </c>
      <c r="U7" s="166" t="n">
        <f aca="false">H7-R7</f>
        <v>-33071.9</v>
      </c>
      <c r="W7" s="158" t="n">
        <v>224717.2</v>
      </c>
      <c r="X7" s="5" t="n">
        <f aca="false">H7-W7</f>
        <v>72210.9</v>
      </c>
      <c r="Y7" s="191" t="n">
        <f aca="false">IFERROR((H7/W7)-1,"-")</f>
        <v>0.321341223546751</v>
      </c>
    </row>
    <row r="8" customFormat="false" ht="14.25" hidden="true" customHeight="true" outlineLevel="1" collapsed="false">
      <c r="A8" s="168" t="n">
        <v>8</v>
      </c>
      <c r="B8" s="189" t="s">
        <v>147</v>
      </c>
      <c r="C8" s="158" t="s">
        <v>37</v>
      </c>
      <c r="D8" s="189" t="s">
        <v>37</v>
      </c>
      <c r="E8" s="158" t="s">
        <v>32</v>
      </c>
      <c r="F8" s="158" t="n">
        <f aca="false">VLOOKUP(B8,'2024'!$A:$O,10,0)</f>
        <v>65554.73</v>
      </c>
      <c r="G8" s="158" t="n">
        <f aca="false">VLOOKUP($B8,'2025'!$A:$O,10,0)</f>
        <v>89206.99</v>
      </c>
      <c r="H8" s="158" t="n">
        <v>54681.263</v>
      </c>
      <c r="I8" s="190" t="n">
        <f aca="false">IFERROR(H8/$H$19,"")</f>
        <v>0.0331951359307355</v>
      </c>
      <c r="J8" s="190" t="n">
        <f aca="false">IFERROR(H8/G8-1,"")</f>
        <v>-0.387029390858273</v>
      </c>
      <c r="K8" s="158" t="n">
        <f aca="false">H8-G8</f>
        <v>-34525.727</v>
      </c>
      <c r="M8" s="158" t="n">
        <f aca="false">VLOOKUP(C8,'תקציב  '!$B:$S,12,0)*1</f>
        <v>95396.8253968254</v>
      </c>
      <c r="N8" s="190" t="n">
        <f aca="false">IFERROR(H8/M8-1,"")</f>
        <v>-0.426802068386023</v>
      </c>
      <c r="O8" s="190" t="n">
        <f aca="false">IFERROR(H8/M8,"-")</f>
        <v>0.573197931613977</v>
      </c>
      <c r="P8" s="158" t="n">
        <f aca="false">H8-M8</f>
        <v>-40715.5623968254</v>
      </c>
      <c r="R8" s="166" t="n">
        <v>100000</v>
      </c>
      <c r="S8" s="190" t="n">
        <f aca="false">IFERROR(H8/R8-1,"-")</f>
        <v>-0.45318737</v>
      </c>
      <c r="T8" s="190" t="n">
        <f aca="false">IFERROR(H8/R8,"-")</f>
        <v>0.54681263</v>
      </c>
      <c r="U8" s="166" t="n">
        <f aca="false">H8-R8</f>
        <v>-45318.737</v>
      </c>
      <c r="W8" s="158" t="n">
        <v>49516.012</v>
      </c>
      <c r="X8" s="5" t="n">
        <f aca="false">H8-W8</f>
        <v>5165.251</v>
      </c>
      <c r="Y8" s="191" t="n">
        <f aca="false">IFERROR((H8/W8)-1,"-")</f>
        <v>0.104314761859255</v>
      </c>
    </row>
    <row r="9" customFormat="false" ht="14.25" hidden="true" customHeight="true" outlineLevel="1" collapsed="false">
      <c r="A9" s="168" t="n">
        <v>6</v>
      </c>
      <c r="B9" s="189" t="s">
        <v>137</v>
      </c>
      <c r="C9" s="158" t="s">
        <v>38</v>
      </c>
      <c r="D9" s="189" t="s">
        <v>38</v>
      </c>
      <c r="E9" s="158" t="s">
        <v>32</v>
      </c>
      <c r="F9" s="158" t="n">
        <f aca="false">VLOOKUP(B9,'2024'!$A:$O,10,0)</f>
        <v>65856.52</v>
      </c>
      <c r="G9" s="158" t="n">
        <f aca="false">VLOOKUP($B9,'2025'!$A:$O,10,0)</f>
        <v>69988.58</v>
      </c>
      <c r="H9" s="158" t="n">
        <v>60353.17</v>
      </c>
      <c r="I9" s="190" t="n">
        <f aca="false">IFERROR(H9/$H$19,"")</f>
        <v>0.0366383578594516</v>
      </c>
      <c r="J9" s="190" t="n">
        <f aca="false">IFERROR(H9/G9-1,"")</f>
        <v>-0.137671174354445</v>
      </c>
      <c r="K9" s="158" t="n">
        <f aca="false">H9-G9</f>
        <v>-9635.41</v>
      </c>
      <c r="M9" s="158" t="n">
        <f aca="false">VLOOKUP(C9,'תקציב  '!$B:$S,12,0)*1</f>
        <v>166575.396825397</v>
      </c>
      <c r="N9" s="190" t="n">
        <f aca="false">IFERROR(H9/M9-1,"")</f>
        <v>-0.637682568072993</v>
      </c>
      <c r="O9" s="190" t="n">
        <f aca="false">IFERROR(H9/M9,"-")</f>
        <v>0.362317431927007</v>
      </c>
      <c r="P9" s="158" t="n">
        <f aca="false">H9-M9</f>
        <v>-106222.226825397</v>
      </c>
      <c r="R9" s="166" t="n">
        <v>100000</v>
      </c>
      <c r="S9" s="190" t="n">
        <f aca="false">IFERROR(H9/R9-1,"-")</f>
        <v>-0.3964683</v>
      </c>
      <c r="T9" s="190" t="n">
        <f aca="false">IFERROR(H9/R9,"-")</f>
        <v>0.6035317</v>
      </c>
      <c r="U9" s="166" t="n">
        <f aca="false">H9-R9</f>
        <v>-39646.83</v>
      </c>
      <c r="W9" s="158" t="n">
        <v>50664.95</v>
      </c>
      <c r="X9" s="5" t="n">
        <f aca="false">H9-W9</f>
        <v>9688.22</v>
      </c>
      <c r="Y9" s="191" t="n">
        <f aca="false">IFERROR((H9/W9)-1,"-")</f>
        <v>0.191221347302228</v>
      </c>
    </row>
    <row r="10" customFormat="false" ht="14.25" hidden="true" customHeight="true" outlineLevel="1" collapsed="false">
      <c r="A10" s="169" t="n">
        <v>10</v>
      </c>
      <c r="B10" s="193" t="s">
        <v>138</v>
      </c>
      <c r="C10" s="158" t="s">
        <v>39</v>
      </c>
      <c r="D10" s="193" t="s">
        <v>39</v>
      </c>
      <c r="E10" s="158" t="s">
        <v>32</v>
      </c>
      <c r="F10" s="158" t="n">
        <f aca="false">VLOOKUP(B10,'2024'!$A:$O,10,0)</f>
        <v>10468.76</v>
      </c>
      <c r="G10" s="158" t="n">
        <f aca="false">VLOOKUP($B10,'2025'!$A:$O,10,0)</f>
        <v>17490.72</v>
      </c>
      <c r="H10" s="158" t="n">
        <v>8755.86</v>
      </c>
      <c r="I10" s="190" t="n">
        <f aca="false">IFERROR(H10/$H$19,"")</f>
        <v>0.00531538495902133</v>
      </c>
      <c r="J10" s="190" t="n">
        <f aca="false">IFERROR(H10/G10-1,"")</f>
        <v>-0.49939968165976</v>
      </c>
      <c r="K10" s="158" t="n">
        <f aca="false">H10-G10</f>
        <v>-8734.86</v>
      </c>
      <c r="M10" s="158" t="n">
        <f aca="false">VLOOKUP(C10,'תקציב  '!$B:$S,12,0)*1</f>
        <v>14325.3968253968</v>
      </c>
      <c r="N10" s="190" t="n">
        <f aca="false">IFERROR(H10/M10-1,"")</f>
        <v>-0.388787612188365</v>
      </c>
      <c r="O10" s="190" t="n">
        <f aca="false">IFERROR(H10/M10,"-")</f>
        <v>0.611212387811635</v>
      </c>
      <c r="P10" s="158" t="n">
        <f aca="false">H10-M10</f>
        <v>-5569.5368253968</v>
      </c>
      <c r="R10" s="166" t="n">
        <v>15000</v>
      </c>
      <c r="S10" s="190" t="n">
        <f aca="false">IFERROR(H10/R10-1,"-")</f>
        <v>-0.416276</v>
      </c>
      <c r="T10" s="190" t="n">
        <f aca="false">IFERROR(H10/R10,"-")</f>
        <v>0.583724</v>
      </c>
      <c r="U10" s="166" t="n">
        <f aca="false">H10-R10</f>
        <v>-6244.14</v>
      </c>
      <c r="W10" s="158" t="n">
        <v>8922.67</v>
      </c>
      <c r="X10" s="5" t="n">
        <f aca="false">H10-W10</f>
        <v>-166.81</v>
      </c>
      <c r="Y10" s="191" t="n">
        <f aca="false">IFERROR((H10/W10)-1,"-")</f>
        <v>-0.0186950766978942</v>
      </c>
    </row>
    <row r="11" customFormat="false" ht="14.25" hidden="true" customHeight="true" outlineLevel="1" collapsed="false">
      <c r="A11" s="168" t="n">
        <v>11</v>
      </c>
      <c r="B11" s="189" t="s">
        <v>141</v>
      </c>
      <c r="C11" s="158" t="s">
        <v>40</v>
      </c>
      <c r="D11" s="189" t="s">
        <v>40</v>
      </c>
      <c r="E11" s="158" t="s">
        <v>32</v>
      </c>
      <c r="F11" s="158" t="n">
        <f aca="false">VLOOKUP(B11,'2024'!$A:$O,10,0)</f>
        <v>3066.38</v>
      </c>
      <c r="G11" s="158" t="n">
        <f aca="false">VLOOKUP($B11,'2025'!$A:$O,10,0)</f>
        <v>4228.87</v>
      </c>
      <c r="H11" s="158" t="n">
        <v>5091.7</v>
      </c>
      <c r="I11" s="190" t="n">
        <f aca="false">IFERROR(H11/$H$19,"")</f>
        <v>0.00309099798259096</v>
      </c>
      <c r="J11" s="190" t="n">
        <f aca="false">IFERROR(H11/G11-1,"")</f>
        <v>0.204033228734863</v>
      </c>
      <c r="K11" s="158" t="n">
        <f aca="false">H11-G11</f>
        <v>862.83</v>
      </c>
      <c r="M11" s="158" t="n">
        <f aca="false">VLOOKUP(C11,'תקציב  '!$B:$S,12,0)*1</f>
        <v>8539.68253968254</v>
      </c>
      <c r="N11" s="190" t="n">
        <f aca="false">IFERROR(H11/M11-1,"")</f>
        <v>-0.403760037174721</v>
      </c>
      <c r="O11" s="190" t="n">
        <f aca="false">IFERROR(H11/M11,"-")</f>
        <v>0.596239962825279</v>
      </c>
      <c r="P11" s="158" t="n">
        <f aca="false">H11-M11</f>
        <v>-3447.98253968254</v>
      </c>
      <c r="R11" s="166" t="n">
        <v>10000</v>
      </c>
      <c r="S11" s="190" t="n">
        <f aca="false">IFERROR(H11/R11-1,"-")</f>
        <v>-0.49083</v>
      </c>
      <c r="T11" s="190" t="n">
        <f aca="false">IFERROR(H11/R11,"-")</f>
        <v>0.50917</v>
      </c>
      <c r="U11" s="166" t="n">
        <f aca="false">H11-R11</f>
        <v>-4908.3</v>
      </c>
      <c r="W11" s="158" t="n">
        <v>5091.7</v>
      </c>
      <c r="X11" s="5" t="n">
        <f aca="false">H11-W11</f>
        <v>0</v>
      </c>
      <c r="Y11" s="191" t="n">
        <f aca="false">IFERROR((H11/W11)-1,"-")</f>
        <v>0</v>
      </c>
    </row>
    <row r="12" customFormat="false" ht="14.25" hidden="true" customHeight="true" outlineLevel="1" collapsed="false">
      <c r="A12" s="168" t="n">
        <v>14</v>
      </c>
      <c r="B12" s="189" t="s">
        <v>142</v>
      </c>
      <c r="C12" s="158" t="s">
        <v>41</v>
      </c>
      <c r="D12" s="189" t="s">
        <v>41</v>
      </c>
      <c r="E12" s="158" t="s">
        <v>32</v>
      </c>
      <c r="F12" s="158" t="n">
        <f aca="false">VLOOKUP(B12,'2024'!$A:$O,10,0)</f>
        <v>850.4</v>
      </c>
      <c r="G12" s="158" t="n">
        <f aca="false">VLOOKUP($B12,'2025'!$A:$O,10,0)</f>
        <v>0</v>
      </c>
      <c r="H12" s="158" t="n">
        <v>0</v>
      </c>
      <c r="I12" s="190" t="n">
        <f aca="false">IFERROR(H12/$H$19,"")</f>
        <v>0</v>
      </c>
      <c r="J12" s="190" t="str">
        <f aca="false">IFERROR(H12/G12-1,"")</f>
        <v/>
      </c>
      <c r="K12" s="158" t="n">
        <f aca="false">H12-G12</f>
        <v>0</v>
      </c>
      <c r="M12" s="158" t="n">
        <f aca="false">VLOOKUP(C12,'תקציב  '!$B:$S,12,0)*1</f>
        <v>0</v>
      </c>
      <c r="N12" s="190" t="str">
        <f aca="false">IFERROR(H12/M12-1,"")</f>
        <v/>
      </c>
      <c r="O12" s="190" t="str">
        <f aca="false">IFERROR(H12/M12,"-")</f>
        <v>-</v>
      </c>
      <c r="P12" s="158" t="n">
        <f aca="false">H12-M12</f>
        <v>0</v>
      </c>
      <c r="R12" s="166" t="n">
        <v>5000</v>
      </c>
      <c r="S12" s="190" t="n">
        <f aca="false">IFERROR(H12/R12-1,"-")</f>
        <v>-1</v>
      </c>
      <c r="T12" s="190" t="n">
        <f aca="false">IFERROR(H12/R12,"-")</f>
        <v>0</v>
      </c>
      <c r="U12" s="166" t="n">
        <f aca="false">H12-R12</f>
        <v>-5000</v>
      </c>
      <c r="W12" s="158" t="n">
        <v>0</v>
      </c>
      <c r="X12" s="5" t="n">
        <f aca="false">H12-W12</f>
        <v>0</v>
      </c>
      <c r="Y12" s="191" t="str">
        <f aca="false">IFERROR((H12/W12)-1,"-")</f>
        <v>-</v>
      </c>
    </row>
    <row r="13" customFormat="false" ht="14.25" hidden="true" customHeight="true" outlineLevel="1" collapsed="false">
      <c r="A13" s="168" t="n">
        <v>15</v>
      </c>
      <c r="B13" s="189" t="s">
        <v>139</v>
      </c>
      <c r="C13" s="158" t="s">
        <v>47</v>
      </c>
      <c r="D13" s="189" t="s">
        <v>47</v>
      </c>
      <c r="E13" s="158" t="s">
        <v>32</v>
      </c>
      <c r="F13" s="158" t="n">
        <f aca="false">VLOOKUP(B13,'2024'!$A:$O,10,0)</f>
        <v>0</v>
      </c>
      <c r="G13" s="158" t="n">
        <f aca="false">VLOOKUP($B13,'2025'!$A:$O,10,0)</f>
        <v>0</v>
      </c>
      <c r="H13" s="158" t="n">
        <v>0</v>
      </c>
      <c r="I13" s="190" t="n">
        <f aca="false">IFERROR(H13/$H$19,"")</f>
        <v>0</v>
      </c>
      <c r="J13" s="190" t="str">
        <f aca="false">IFERROR(H13/G13-1,"")</f>
        <v/>
      </c>
      <c r="K13" s="158" t="n">
        <f aca="false">H13-G13</f>
        <v>0</v>
      </c>
      <c r="M13" s="158" t="n">
        <f aca="false">VLOOKUP(C13,'תקציב  '!$B:$S,12,0)*1</f>
        <v>0</v>
      </c>
      <c r="N13" s="190" t="str">
        <f aca="false">IFERROR(H13/M13-1,"")</f>
        <v/>
      </c>
      <c r="O13" s="190" t="str">
        <f aca="false">IFERROR(H13/M13,"-")</f>
        <v>-</v>
      </c>
      <c r="P13" s="158" t="n">
        <f aca="false">H13-M13</f>
        <v>0</v>
      </c>
      <c r="R13" s="166" t="n">
        <v>5000</v>
      </c>
      <c r="S13" s="190" t="n">
        <f aca="false">IFERROR(H13/R13-1,"-")</f>
        <v>-1</v>
      </c>
      <c r="T13" s="190" t="n">
        <f aca="false">IFERROR(H13/R13,"-")</f>
        <v>0</v>
      </c>
      <c r="U13" s="166" t="n">
        <f aca="false">H13-R13</f>
        <v>-5000</v>
      </c>
      <c r="W13" s="158" t="n">
        <v>0</v>
      </c>
      <c r="X13" s="5" t="n">
        <f aca="false">H13-W13</f>
        <v>0</v>
      </c>
      <c r="Y13" s="191" t="str">
        <f aca="false">IFERROR((H13/W13)-1,"-")</f>
        <v>-</v>
      </c>
    </row>
    <row r="14" customFormat="false" ht="14.25" hidden="true" customHeight="true" outlineLevel="1" collapsed="false">
      <c r="A14" s="168" t="n">
        <v>13</v>
      </c>
      <c r="B14" s="189" t="s">
        <v>145</v>
      </c>
      <c r="C14" s="158" t="s">
        <v>43</v>
      </c>
      <c r="D14" s="189" t="s">
        <v>43</v>
      </c>
      <c r="E14" s="158" t="s">
        <v>32</v>
      </c>
      <c r="F14" s="158" t="n">
        <f aca="false">VLOOKUP(B14,'2024'!$A:$O,10,0)</f>
        <v>0</v>
      </c>
      <c r="G14" s="158" t="n">
        <f aca="false">VLOOKUP($B14,'2025'!$A:$O,10,0)</f>
        <v>0</v>
      </c>
      <c r="H14" s="158" t="n">
        <v>6726.56</v>
      </c>
      <c r="I14" s="190" t="n">
        <f aca="false">IFERROR(H14/$H$19,"")</f>
        <v>0.004083465913109</v>
      </c>
      <c r="J14" s="190" t="str">
        <f aca="false">IFERROR(H14/G14-1,"")</f>
        <v/>
      </c>
      <c r="K14" s="158" t="n">
        <f aca="false">H14-G14</f>
        <v>6726.56</v>
      </c>
      <c r="M14" s="158" t="n">
        <f aca="false">VLOOKUP(C14,'תקציב  '!$B:$S,12,0)*1</f>
        <v>50000</v>
      </c>
      <c r="N14" s="190" t="n">
        <f aca="false">IFERROR(H14/M14-1,"")</f>
        <v>-0.8654688</v>
      </c>
      <c r="O14" s="190" t="n">
        <f aca="false">IFERROR(H14/M14,"-")</f>
        <v>0.1345312</v>
      </c>
      <c r="P14" s="158" t="n">
        <f aca="false">H14-M14</f>
        <v>-43273.44</v>
      </c>
      <c r="R14" s="166" t="n">
        <v>5000</v>
      </c>
      <c r="S14" s="190" t="n">
        <f aca="false">IFERROR(H14/R14-1,"-")</f>
        <v>0.345312</v>
      </c>
      <c r="T14" s="190" t="n">
        <f aca="false">IFERROR(H14/R14,"-")</f>
        <v>1.345312</v>
      </c>
      <c r="U14" s="166" t="n">
        <f aca="false">H14-R14</f>
        <v>1726.56</v>
      </c>
      <c r="W14" s="158" t="n">
        <v>3512.91</v>
      </c>
      <c r="X14" s="5" t="n">
        <f aca="false">H14-W14</f>
        <v>3213.65</v>
      </c>
      <c r="Y14" s="191" t="n">
        <f aca="false">IFERROR((H14/W14)-1,"-")</f>
        <v>0.914811367214076</v>
      </c>
    </row>
    <row r="15" customFormat="false" ht="14.25" hidden="true" customHeight="true" outlineLevel="1" collapsed="false">
      <c r="A15" s="168" t="n">
        <v>9</v>
      </c>
      <c r="B15" s="189" t="s">
        <v>140</v>
      </c>
      <c r="C15" s="158" t="s">
        <v>44</v>
      </c>
      <c r="D15" s="189" t="s">
        <v>44</v>
      </c>
      <c r="E15" s="158" t="s">
        <v>32</v>
      </c>
      <c r="F15" s="158" t="n">
        <f aca="false">VLOOKUP(B15,'2024'!$A:$O,10,0)</f>
        <v>5902.85</v>
      </c>
      <c r="G15" s="158" t="n">
        <f aca="false">VLOOKUP($B15,'2025'!$A:$O,10,0)</f>
        <v>9679.47</v>
      </c>
      <c r="H15" s="158" t="n">
        <v>9421.74</v>
      </c>
      <c r="I15" s="190" t="n">
        <f aca="false">IFERROR(H15/$H$19,"")</f>
        <v>0.00571961807107579</v>
      </c>
      <c r="J15" s="190" t="n">
        <f aca="false">IFERROR(H15/G15-1,"")</f>
        <v>-0.0266264578535808</v>
      </c>
      <c r="K15" s="158" t="n">
        <f aca="false">H15-G15</f>
        <v>-257.73</v>
      </c>
      <c r="M15" s="158" t="n">
        <f aca="false">VLOOKUP(C15,'תקציב  '!$B:$S,12,0)*1</f>
        <v>15079.3650793651</v>
      </c>
      <c r="N15" s="190" t="n">
        <f aca="false">IFERROR(H15/M15-1,"")</f>
        <v>-0.375189873684211</v>
      </c>
      <c r="O15" s="190" t="n">
        <f aca="false">IFERROR(H15/M15,"-")</f>
        <v>0.624810126315789</v>
      </c>
      <c r="P15" s="158" t="n">
        <f aca="false">H15-M15</f>
        <v>-5657.6250793651</v>
      </c>
      <c r="R15" s="166" t="n">
        <v>25000</v>
      </c>
      <c r="S15" s="190" t="n">
        <f aca="false">IFERROR(H15/R15-1,"-")</f>
        <v>-0.6231304</v>
      </c>
      <c r="T15" s="190" t="n">
        <f aca="false">IFERROR(H15/R15,"-")</f>
        <v>0.3768696</v>
      </c>
      <c r="U15" s="166" t="n">
        <f aca="false">H15-R15</f>
        <v>-15578.26</v>
      </c>
      <c r="W15" s="158" t="n">
        <v>9421.74</v>
      </c>
      <c r="X15" s="5" t="n">
        <f aca="false">H15-W15</f>
        <v>0</v>
      </c>
      <c r="Y15" s="191" t="n">
        <f aca="false">IFERROR((H15/W15)-1,"-")</f>
        <v>0</v>
      </c>
    </row>
    <row r="16" customFormat="false" ht="15" hidden="false" customHeight="true" outlineLevel="0" collapsed="false">
      <c r="A16" s="170"/>
      <c r="B16" s="195"/>
      <c r="C16" s="171" t="s">
        <v>119</v>
      </c>
      <c r="D16" s="195" t="s">
        <v>119</v>
      </c>
      <c r="E16" s="171"/>
      <c r="F16" s="171" t="n">
        <f aca="false">SUM(F3:F15)+F50</f>
        <v>1346091.953</v>
      </c>
      <c r="G16" s="171" t="n">
        <f aca="false">SUM(G3:G15)+G50</f>
        <v>1350498.61</v>
      </c>
      <c r="H16" s="171" t="n">
        <f aca="false">SUM(H3:H15)+H50</f>
        <v>1299141.272</v>
      </c>
      <c r="I16" s="197" t="n">
        <f aca="false">IFERROR(H16/$H$19,"")</f>
        <v>0.788664503182171</v>
      </c>
      <c r="J16" s="197" t="n">
        <f aca="false">H16/G16-1</f>
        <v>-0.0380284271451418</v>
      </c>
      <c r="K16" s="171" t="n">
        <f aca="false">SUM(K3:K15)+K50</f>
        <v>-51357.3380000001</v>
      </c>
      <c r="M16" s="171" t="n">
        <f aca="false">SUM(M3:M15)+M50</f>
        <v>1670472.22222222</v>
      </c>
      <c r="N16" s="197" t="n">
        <f aca="false">H16/M16-1</f>
        <v>-0.222291005670386</v>
      </c>
      <c r="O16" s="197" t="n">
        <f aca="false">IFERROR(H16/M16,"-")</f>
        <v>0.777708994329614</v>
      </c>
      <c r="P16" s="171" t="n">
        <f aca="false">SUM(P3:P15)+P50</f>
        <v>-371330.950222223</v>
      </c>
      <c r="R16" s="171" t="n">
        <f aca="false">SUM(R3:R15)+R50</f>
        <v>1645000</v>
      </c>
      <c r="S16" s="197" t="n">
        <f aca="false">IFERROR(H16/R16-1,"-")</f>
        <v>-0.210248466869301</v>
      </c>
      <c r="T16" s="197" t="n">
        <f aca="false">IFERROR(H16/R16,"-")</f>
        <v>0.789751533130699</v>
      </c>
      <c r="U16" s="171" t="n">
        <f aca="false">H16-R16</f>
        <v>-345858.728</v>
      </c>
      <c r="V16" s="198"/>
      <c r="W16" s="171" t="n">
        <v>1118222.981</v>
      </c>
      <c r="X16" s="199" t="n">
        <f aca="false">H16-W16</f>
        <v>180918.291</v>
      </c>
      <c r="Y16" s="200" t="n">
        <f aca="false">IFERROR((H16/W16)-1,"-")</f>
        <v>0.161790889718801</v>
      </c>
    </row>
    <row r="17" customFormat="false" ht="14.25" hidden="true" customHeight="true" outlineLevel="1" collapsed="false">
      <c r="A17" s="168" t="n">
        <v>2</v>
      </c>
      <c r="B17" s="189" t="s">
        <v>149</v>
      </c>
      <c r="C17" s="158" t="s">
        <v>45</v>
      </c>
      <c r="D17" s="189" t="s">
        <v>45</v>
      </c>
      <c r="E17" s="158" t="s">
        <v>32</v>
      </c>
      <c r="F17" s="158" t="n">
        <f aca="false">VLOOKUP(B17,'2024'!$A:$O,10,0)</f>
        <v>56193.1900000001</v>
      </c>
      <c r="G17" s="158" t="n">
        <f aca="false">VLOOKUP($B17,'2025'!$A:$O,10,0)</f>
        <v>143120.649999998</v>
      </c>
      <c r="H17" s="158" t="n">
        <v>347579.04</v>
      </c>
      <c r="I17" s="190" t="n">
        <f aca="false">IFERROR(H17/$H$19,"")</f>
        <v>0.211003419571244</v>
      </c>
      <c r="J17" s="190" t="n">
        <f aca="false">IFERROR(H17/G17-1,"")</f>
        <v>1.42857365446569</v>
      </c>
      <c r="K17" s="158" t="n">
        <f aca="false">H17-G17</f>
        <v>204458.390000002</v>
      </c>
      <c r="M17" s="158" t="n">
        <f aca="false">VLOOKUP(C17,'תקציב  '!$B:$S,12,0)*1</f>
        <v>1012800</v>
      </c>
      <c r="N17" s="190" t="n">
        <f aca="false">IFERROR(H17/M17-1,"")</f>
        <v>-0.65681374407583</v>
      </c>
      <c r="O17" s="190" t="n">
        <f aca="false">IFERROR(H17/M17,"-")</f>
        <v>0.343186255924171</v>
      </c>
      <c r="P17" s="158" t="n">
        <f aca="false">H17-M17</f>
        <v>-665220.96</v>
      </c>
      <c r="R17" s="166" t="n">
        <v>977100.847457627</v>
      </c>
      <c r="S17" s="190" t="n">
        <f aca="false">IFERROR(H17/R17-1,"-")</f>
        <v>-0.644275162687265</v>
      </c>
      <c r="T17" s="190" t="n">
        <f aca="false">IFERROR(H17/R17,"-")</f>
        <v>0.355724837312735</v>
      </c>
      <c r="U17" s="166" t="n">
        <f aca="false">H17-R17</f>
        <v>-629521.807457627</v>
      </c>
      <c r="W17" s="158" t="n">
        <v>327556.57</v>
      </c>
      <c r="X17" s="5" t="n">
        <f aca="false">H17-W17</f>
        <v>20022.47</v>
      </c>
      <c r="Y17" s="191" t="n">
        <f aca="false">IFERROR((H17/W17)-1,"-")</f>
        <v>0.061126754380167</v>
      </c>
    </row>
    <row r="18" customFormat="false" ht="14.25" hidden="true" customHeight="true" outlineLevel="1" collapsed="false">
      <c r="A18" s="168" t="n">
        <v>12</v>
      </c>
      <c r="B18" s="189" t="s">
        <v>150</v>
      </c>
      <c r="C18" s="158" t="s">
        <v>46</v>
      </c>
      <c r="D18" s="189" t="s">
        <v>46</v>
      </c>
      <c r="E18" s="158" t="s">
        <v>32</v>
      </c>
      <c r="F18" s="158" t="n">
        <f aca="false">VLOOKUP(B18,'2024'!$A:$O,10,0)</f>
        <v>3358.59</v>
      </c>
      <c r="G18" s="158" t="n">
        <f aca="false">VLOOKUP($B18,'2025'!$A:$O,10,0)</f>
        <v>1798.35</v>
      </c>
      <c r="H18" s="158" t="n">
        <v>547.02</v>
      </c>
      <c r="I18" s="190" t="n">
        <f aca="false">IFERROR(H18/$H$19,"")</f>
        <v>0.000332077246585013</v>
      </c>
      <c r="J18" s="190" t="n">
        <f aca="false">IFERROR(H18/G18-1,"")</f>
        <v>-0.695821169405288</v>
      </c>
      <c r="K18" s="158" t="n">
        <f aca="false">H18-G18</f>
        <v>-1251.33</v>
      </c>
      <c r="M18" s="158" t="n">
        <f aca="false">VLOOKUP(C18,'תקציב  '!$B:$S,12,0)*1</f>
        <v>2536.92833333333</v>
      </c>
      <c r="N18" s="190" t="n">
        <f aca="false">IFERROR(H18/M18-1,"")</f>
        <v>-0.784377038636619</v>
      </c>
      <c r="O18" s="190" t="n">
        <f aca="false">IFERROR(H18/M18,"-")</f>
        <v>0.215622961363381</v>
      </c>
      <c r="P18" s="158" t="n">
        <f aca="false">H18-M18</f>
        <v>-1989.90833333333</v>
      </c>
      <c r="R18" s="166" t="n">
        <v>5000</v>
      </c>
      <c r="S18" s="190" t="n">
        <f aca="false">IFERROR(H18/R18-1,"-")</f>
        <v>-0.890596</v>
      </c>
      <c r="T18" s="190" t="n">
        <f aca="false">IFERROR(H18/R18,"-")</f>
        <v>0.109404</v>
      </c>
      <c r="U18" s="166" t="n">
        <f aca="false">H18-R18</f>
        <v>-4452.98</v>
      </c>
      <c r="W18" s="158" t="n">
        <v>547.02</v>
      </c>
      <c r="X18" s="5" t="n">
        <f aca="false">H18-W18</f>
        <v>0</v>
      </c>
      <c r="Y18" s="191" t="n">
        <f aca="false">IFERROR((H18/W18)-1,"-")</f>
        <v>0</v>
      </c>
    </row>
    <row r="19" customFormat="false" ht="15" hidden="false" customHeight="true" outlineLevel="0" collapsed="false">
      <c r="A19" s="169"/>
      <c r="B19" s="202"/>
      <c r="C19" s="171" t="s">
        <v>48</v>
      </c>
      <c r="D19" s="202" t="s">
        <v>48</v>
      </c>
      <c r="E19" s="171"/>
      <c r="F19" s="171" t="n">
        <f aca="false">F16+F17+F18</f>
        <v>1405643.733</v>
      </c>
      <c r="G19" s="171" t="n">
        <f aca="false">G16+G17+G18</f>
        <v>1495417.61</v>
      </c>
      <c r="H19" s="171" t="n">
        <f aca="false">H16+H17+H18</f>
        <v>1647267.332</v>
      </c>
      <c r="I19" s="197" t="n">
        <f aca="false">IFERROR(H19/$H$19,"")</f>
        <v>1</v>
      </c>
      <c r="J19" s="197" t="n">
        <f aca="false">H19/G19-1</f>
        <v>0.101543355504555</v>
      </c>
      <c r="K19" s="171" t="n">
        <f aca="false">K16+K17+K18</f>
        <v>151849.722000002</v>
      </c>
      <c r="M19" s="171" t="n">
        <f aca="false">M16+M17+M18</f>
        <v>2685809.15055556</v>
      </c>
      <c r="N19" s="197" t="n">
        <f aca="false">H19/M19-1</f>
        <v>-0.386677444427031</v>
      </c>
      <c r="O19" s="197" t="n">
        <f aca="false">IFERROR(H19/M19,"-")</f>
        <v>0.613322555572969</v>
      </c>
      <c r="P19" s="171" t="n">
        <f aca="false">P16+P17+P18</f>
        <v>-1038541.81855556</v>
      </c>
      <c r="R19" s="171" t="n">
        <f aca="false">R16+R17+R18</f>
        <v>2627100.84745763</v>
      </c>
      <c r="S19" s="197" t="n">
        <f aca="false">IFERROR(H19/R19-1,"-")</f>
        <v>-0.372971413109573</v>
      </c>
      <c r="T19" s="197" t="n">
        <f aca="false">IFERROR(H19/R19,"-")</f>
        <v>0.627028586890427</v>
      </c>
      <c r="U19" s="171" t="n">
        <f aca="false">H19-R19</f>
        <v>-979833.515457627</v>
      </c>
      <c r="V19" s="198"/>
      <c r="W19" s="171" t="n">
        <v>1446326.571</v>
      </c>
      <c r="X19" s="199" t="n">
        <f aca="false">H19-W19</f>
        <v>200940.761</v>
      </c>
      <c r="Y19" s="200" t="n">
        <f aca="false">IFERROR((H19/W19)-1,"-")</f>
        <v>0.138931804911161</v>
      </c>
    </row>
    <row r="20" customFormat="false" ht="14.25" hidden="true" customHeight="true" outlineLevel="1" collapsed="false">
      <c r="A20" s="169" t="n">
        <v>50</v>
      </c>
      <c r="B20" s="193" t="s">
        <v>155</v>
      </c>
      <c r="C20" s="158" t="s">
        <v>49</v>
      </c>
      <c r="D20" s="193" t="s">
        <v>50</v>
      </c>
      <c r="E20" s="158" t="s">
        <v>51</v>
      </c>
      <c r="F20" s="158" t="n">
        <f aca="false">VLOOKUP(B20,'2024'!$A:$O,10,0)</f>
        <v>258929.86</v>
      </c>
      <c r="G20" s="158" t="n">
        <f aca="false">VLOOKUP($B20,'2025'!$A:$O,10,0)</f>
        <v>247434.35</v>
      </c>
      <c r="H20" s="158" t="n">
        <v>198718.53</v>
      </c>
      <c r="I20" s="190" t="n">
        <f aca="false">IFERROR(H20/$H$19,"")</f>
        <v>0.120635264319077</v>
      </c>
      <c r="J20" s="190" t="n">
        <f aca="false">IFERROR(H20/G20-1,"")</f>
        <v>-0.196883819890003</v>
      </c>
      <c r="K20" s="158" t="n">
        <f aca="false">H20-G20</f>
        <v>-48715.82</v>
      </c>
      <c r="M20" s="158" t="n">
        <f aca="false">VLOOKUP(C20,'תקציב  '!$B:$S,12,0)*1</f>
        <v>477395.46855</v>
      </c>
      <c r="N20" s="190" t="n">
        <f aca="false">IFERROR(H20/M20-1,"")</f>
        <v>-0.583744415078822</v>
      </c>
      <c r="O20" s="190" t="n">
        <f aca="false">IFERROR(H20/M20,"-")</f>
        <v>0.416255584921178</v>
      </c>
      <c r="P20" s="158" t="n">
        <f aca="false">H20-M20</f>
        <v>-278676.93855</v>
      </c>
      <c r="R20" s="166" t="n">
        <v>327115.8</v>
      </c>
      <c r="S20" s="190" t="n">
        <f aca="false">IFERROR(H20/R20-1,"-")</f>
        <v>-0.392513201746904</v>
      </c>
      <c r="T20" s="190" t="n">
        <f aca="false">IFERROR(H20/R20,"-")</f>
        <v>0.607486798253096</v>
      </c>
      <c r="U20" s="166" t="n">
        <f aca="false">H20-R20</f>
        <v>-128397.27</v>
      </c>
      <c r="W20" s="158" t="n">
        <v>183052.05</v>
      </c>
      <c r="X20" s="5" t="n">
        <f aca="false">H20-W20</f>
        <v>15666.48</v>
      </c>
      <c r="Y20" s="191" t="n">
        <f aca="false">IFERROR((H20/W20)-1,"-")</f>
        <v>0.0855848377551631</v>
      </c>
    </row>
    <row r="21" customFormat="false" ht="14.25" hidden="true" customHeight="true" outlineLevel="1" collapsed="false">
      <c r="A21" s="169" t="n">
        <v>20</v>
      </c>
      <c r="B21" s="193" t="s">
        <v>151</v>
      </c>
      <c r="C21" s="158" t="s">
        <v>52</v>
      </c>
      <c r="D21" s="193" t="s">
        <v>53</v>
      </c>
      <c r="E21" s="158" t="s">
        <v>54</v>
      </c>
      <c r="F21" s="158" t="n">
        <f aca="false">VLOOKUP(B21,'2024'!$A:$O,10,0)</f>
        <v>159908.54</v>
      </c>
      <c r="G21" s="158" t="n">
        <f aca="false">VLOOKUP($B21,'2025'!$A:$O,10,0)</f>
        <v>0</v>
      </c>
      <c r="H21" s="158" t="n">
        <v>0</v>
      </c>
      <c r="I21" s="190" t="n">
        <f aca="false">IFERROR(H21/$H$19,"")</f>
        <v>0</v>
      </c>
      <c r="J21" s="190" t="str">
        <f aca="false">IFERROR(H21/G21-1,"")</f>
        <v/>
      </c>
      <c r="K21" s="158" t="n">
        <f aca="false">H21-G21</f>
        <v>0</v>
      </c>
      <c r="M21" s="158" t="n">
        <f aca="false">VLOOKUP(C21,'תקציב  '!$B:$S,12,0)*1</f>
        <v>0</v>
      </c>
      <c r="N21" s="190" t="str">
        <f aca="false">IFERROR(H21/M21-1,"")</f>
        <v/>
      </c>
      <c r="O21" s="190" t="str">
        <f aca="false">IFERROR(H21/M21,"-")</f>
        <v>-</v>
      </c>
      <c r="P21" s="158" t="n">
        <f aca="false">H21-M21</f>
        <v>0</v>
      </c>
      <c r="R21" s="166" t="n">
        <v>0</v>
      </c>
      <c r="S21" s="190" t="str">
        <f aca="false">IFERROR(H21/R21-1,"-")</f>
        <v>-</v>
      </c>
      <c r="T21" s="190" t="str">
        <f aca="false">IFERROR(H21/R21,"-")</f>
        <v>-</v>
      </c>
      <c r="U21" s="166" t="n">
        <f aca="false">H21-R21</f>
        <v>0</v>
      </c>
      <c r="W21" s="158" t="n">
        <v>0</v>
      </c>
      <c r="X21" s="5" t="n">
        <f aca="false">H21-W21</f>
        <v>0</v>
      </c>
      <c r="Y21" s="191" t="str">
        <f aca="false">IFERROR((H21/W21)-1,"-")</f>
        <v>-</v>
      </c>
    </row>
    <row r="22" customFormat="false" ht="14.25" hidden="true" customHeight="true" outlineLevel="1" collapsed="false">
      <c r="A22" s="169" t="n">
        <v>21</v>
      </c>
      <c r="B22" s="193" t="s">
        <v>157</v>
      </c>
      <c r="C22" s="158" t="s">
        <v>55</v>
      </c>
      <c r="D22" s="193" t="s">
        <v>56</v>
      </c>
      <c r="E22" s="158" t="s">
        <v>57</v>
      </c>
      <c r="F22" s="158" t="n">
        <f aca="false">VLOOKUP(B22,'2024'!$A:$O,10,0)</f>
        <v>16422.81</v>
      </c>
      <c r="G22" s="158" t="n">
        <f aca="false">VLOOKUP($B22,'2025'!$A:$O,10,0)</f>
        <v>10281.02</v>
      </c>
      <c r="H22" s="158" t="n">
        <v>0</v>
      </c>
      <c r="I22" s="190" t="n">
        <f aca="false">IFERROR(H22/$H$19,"")</f>
        <v>0</v>
      </c>
      <c r="J22" s="190" t="n">
        <f aca="false">IFERROR(H22/G22-1,"")</f>
        <v>-1</v>
      </c>
      <c r="K22" s="158" t="n">
        <f aca="false">H22-G22</f>
        <v>-10281.02</v>
      </c>
      <c r="M22" s="158" t="n">
        <f aca="false">VLOOKUP(C22,'תקציב  '!$B:$S,12,0)*1</f>
        <v>15000</v>
      </c>
      <c r="N22" s="190" t="n">
        <f aca="false">IFERROR(H22/M22-1,"")</f>
        <v>-1</v>
      </c>
      <c r="O22" s="190" t="n">
        <f aca="false">IFERROR(H22/M22,"-")</f>
        <v>0</v>
      </c>
      <c r="P22" s="158" t="n">
        <f aca="false">H22-M22</f>
        <v>-15000</v>
      </c>
      <c r="R22" s="166" t="n">
        <v>40000</v>
      </c>
      <c r="S22" s="190" t="n">
        <f aca="false">IFERROR(H22/R22-1,"-")</f>
        <v>-1</v>
      </c>
      <c r="T22" s="190" t="n">
        <f aca="false">IFERROR(H22/R22,"-")</f>
        <v>0</v>
      </c>
      <c r="U22" s="166" t="n">
        <f aca="false">H22-R22</f>
        <v>-40000</v>
      </c>
      <c r="W22" s="158" t="n">
        <v>0</v>
      </c>
      <c r="X22" s="5" t="n">
        <f aca="false">H22-W22</f>
        <v>0</v>
      </c>
      <c r="Y22" s="191" t="str">
        <f aca="false">IFERROR((H22/W22)-1,"-")</f>
        <v>-</v>
      </c>
    </row>
    <row r="23" customFormat="false" ht="14.25" hidden="true" customHeight="true" outlineLevel="1" collapsed="false">
      <c r="A23" s="169" t="n">
        <v>22</v>
      </c>
      <c r="B23" s="193" t="s">
        <v>159</v>
      </c>
      <c r="C23" s="158" t="s">
        <v>58</v>
      </c>
      <c r="D23" s="193" t="s">
        <v>59</v>
      </c>
      <c r="E23" s="158" t="s">
        <v>60</v>
      </c>
      <c r="F23" s="158" t="n">
        <f aca="false">VLOOKUP(B23,'2024'!$A:$O,10,0)</f>
        <v>-4343.69</v>
      </c>
      <c r="G23" s="158" t="n">
        <f aca="false">VLOOKUP($B23,'2025'!$A:$O,10,0)</f>
        <v>0</v>
      </c>
      <c r="H23" s="158" t="n">
        <v>51223.23</v>
      </c>
      <c r="I23" s="190" t="n">
        <f aca="false">IFERROR(H23/$H$19,"")</f>
        <v>0.0310958816489174</v>
      </c>
      <c r="J23" s="190" t="str">
        <f aca="false">IFERROR(H23/G23-1,"")</f>
        <v/>
      </c>
      <c r="K23" s="158" t="n">
        <f aca="false">H23-G23</f>
        <v>51223.23</v>
      </c>
      <c r="M23" s="158" t="n">
        <f aca="false">VLOOKUP(C23,'תקציב  '!$B:$S,12,0)*1</f>
        <v>85000</v>
      </c>
      <c r="N23" s="190" t="n">
        <f aca="false">IFERROR(H23/M23-1,"")</f>
        <v>-0.397373764705882</v>
      </c>
      <c r="O23" s="190" t="n">
        <f aca="false">IFERROR(H23/M23,"-")</f>
        <v>0.602626235294118</v>
      </c>
      <c r="P23" s="158" t="n">
        <f aca="false">H23-M23</f>
        <v>-33776.77</v>
      </c>
      <c r="R23" s="166" t="n">
        <v>75000</v>
      </c>
      <c r="S23" s="190" t="n">
        <f aca="false">IFERROR(H23/R23-1,"-")</f>
        <v>-0.3170236</v>
      </c>
      <c r="T23" s="190" t="n">
        <f aca="false">IFERROR(H23/R23,"-")</f>
        <v>0.6829764</v>
      </c>
      <c r="U23" s="166" t="n">
        <f aca="false">H23-R23</f>
        <v>-23776.77</v>
      </c>
      <c r="W23" s="158" t="n">
        <v>51223.23</v>
      </c>
      <c r="X23" s="5" t="n">
        <f aca="false">H23-W23</f>
        <v>0</v>
      </c>
      <c r="Y23" s="191" t="n">
        <f aca="false">IFERROR((H23/W23)-1,"-")</f>
        <v>0</v>
      </c>
    </row>
    <row r="24" customFormat="false" ht="14.25" hidden="true" customHeight="true" outlineLevel="1" collapsed="false">
      <c r="A24" s="169" t="n">
        <v>23</v>
      </c>
      <c r="B24" s="193" t="s">
        <v>154</v>
      </c>
      <c r="C24" s="158" t="s">
        <v>61</v>
      </c>
      <c r="D24" s="193" t="s">
        <v>62</v>
      </c>
      <c r="E24" s="158" t="s">
        <v>63</v>
      </c>
      <c r="F24" s="158" t="n">
        <f aca="false">VLOOKUP(B24,'2024'!$A:$O,10,0)</f>
        <v>11239.03</v>
      </c>
      <c r="G24" s="158" t="n">
        <f aca="false">VLOOKUP($B24,'2025'!$A:$O,10,0)</f>
        <v>0</v>
      </c>
      <c r="H24" s="158" t="n">
        <v>15160.58</v>
      </c>
      <c r="I24" s="190" t="n">
        <f aca="false">IFERROR(H24/$H$19,"")</f>
        <v>0.00920347274876936</v>
      </c>
      <c r="J24" s="190" t="str">
        <f aca="false">IFERROR(H24/G24-1,"")</f>
        <v/>
      </c>
      <c r="K24" s="158" t="n">
        <f aca="false">H24-G24</f>
        <v>15160.58</v>
      </c>
      <c r="M24" s="158" t="n">
        <f aca="false">VLOOKUP(C24,'תקציב  '!$B:$S,12,0)*1</f>
        <v>17000</v>
      </c>
      <c r="N24" s="190" t="n">
        <f aca="false">IFERROR(H24/M24-1,"")</f>
        <v>-0.108201176470588</v>
      </c>
      <c r="O24" s="190" t="n">
        <f aca="false">IFERROR(H24/M24,"-")</f>
        <v>0.891798823529412</v>
      </c>
      <c r="P24" s="158" t="n">
        <f aca="false">H24-M24</f>
        <v>-1839.42</v>
      </c>
      <c r="R24" s="166" t="n">
        <v>15000</v>
      </c>
      <c r="S24" s="190" t="n">
        <f aca="false">IFERROR(H24/R24-1,"-")</f>
        <v>0.0107053333333333</v>
      </c>
      <c r="T24" s="190" t="n">
        <f aca="false">IFERROR(H24/R24,"-")</f>
        <v>1.01070533333333</v>
      </c>
      <c r="U24" s="166" t="n">
        <f aca="false">H24-R24</f>
        <v>160.58</v>
      </c>
      <c r="W24" s="158" t="n">
        <v>15160.58</v>
      </c>
      <c r="X24" s="5" t="n">
        <f aca="false">H24-W24</f>
        <v>0</v>
      </c>
      <c r="Y24" s="191" t="n">
        <f aca="false">IFERROR((H24/W24)-1,"-")</f>
        <v>0</v>
      </c>
    </row>
    <row r="25" customFormat="false" ht="14.25" hidden="true" customHeight="true" outlineLevel="1" collapsed="false">
      <c r="A25" s="169" t="n">
        <v>24</v>
      </c>
      <c r="B25" s="193" t="s">
        <v>156</v>
      </c>
      <c r="C25" s="158" t="s">
        <v>64</v>
      </c>
      <c r="D25" s="193" t="s">
        <v>65</v>
      </c>
      <c r="E25" s="158" t="s">
        <v>66</v>
      </c>
      <c r="F25" s="158" t="n">
        <f aca="false">VLOOKUP(B25,'2024'!$A:$O,10,0)</f>
        <v>0</v>
      </c>
      <c r="G25" s="158" t="n">
        <f aca="false">VLOOKUP($B25,'2025'!$A:$O,10,0)</f>
        <v>0</v>
      </c>
      <c r="H25" s="158" t="n">
        <v>0</v>
      </c>
      <c r="I25" s="190" t="n">
        <f aca="false">IFERROR(H25/$H$19,"")</f>
        <v>0</v>
      </c>
      <c r="J25" s="190" t="str">
        <f aca="false">IFERROR(H25/G25-1,"")</f>
        <v/>
      </c>
      <c r="K25" s="158" t="n">
        <f aca="false">H25-G25</f>
        <v>0</v>
      </c>
      <c r="M25" s="158" t="n">
        <f aca="false">VLOOKUP(C25,'תקציב  '!$B:$S,12,0)*1</f>
        <v>5000</v>
      </c>
      <c r="N25" s="190" t="n">
        <f aca="false">IFERROR(H25/M25-1,"")</f>
        <v>-1</v>
      </c>
      <c r="O25" s="190" t="n">
        <f aca="false">IFERROR(H25/M25,"-")</f>
        <v>0</v>
      </c>
      <c r="P25" s="158" t="n">
        <f aca="false">H25-M25</f>
        <v>-5000</v>
      </c>
      <c r="R25" s="166" t="n">
        <v>0</v>
      </c>
      <c r="S25" s="190" t="str">
        <f aca="false">IFERROR(H25/R25-1,"-")</f>
        <v>-</v>
      </c>
      <c r="T25" s="190" t="str">
        <f aca="false">IFERROR(H25/R25,"-")</f>
        <v>-</v>
      </c>
      <c r="U25" s="166" t="n">
        <f aca="false">H25-R25</f>
        <v>0</v>
      </c>
      <c r="W25" s="158" t="n">
        <v>0</v>
      </c>
      <c r="X25" s="5" t="n">
        <f aca="false">H25-W25</f>
        <v>0</v>
      </c>
      <c r="Y25" s="191" t="str">
        <f aca="false">IFERROR((H25/W25)-1,"-")</f>
        <v>-</v>
      </c>
    </row>
    <row r="26" customFormat="false" ht="13.5" hidden="true" customHeight="true" outlineLevel="1" collapsed="false">
      <c r="A26" s="169" t="n">
        <v>25</v>
      </c>
      <c r="B26" s="193" t="s">
        <v>162</v>
      </c>
      <c r="C26" s="158" t="s">
        <v>67</v>
      </c>
      <c r="D26" s="193" t="s">
        <v>68</v>
      </c>
      <c r="E26" s="158" t="s">
        <v>69</v>
      </c>
      <c r="F26" s="158" t="n">
        <f aca="false">VLOOKUP(B26,'2024'!$A:$O,10,0)</f>
        <v>0</v>
      </c>
      <c r="G26" s="158" t="n">
        <f aca="false">VLOOKUP($B26,'2025'!$A:$O,10,0)</f>
        <v>0</v>
      </c>
      <c r="H26" s="158" t="n">
        <v>0</v>
      </c>
      <c r="I26" s="190" t="n">
        <f aca="false">IFERROR(H26/$H$19,"")</f>
        <v>0</v>
      </c>
      <c r="J26" s="190" t="str">
        <f aca="false">IFERROR(H26/G26-1,"")</f>
        <v/>
      </c>
      <c r="K26" s="158" t="n">
        <f aca="false">H26-G26</f>
        <v>0</v>
      </c>
      <c r="M26" s="158" t="n">
        <f aca="false">VLOOKUP(C26,'תקציב  '!$B:$S,12,0)*1</f>
        <v>0</v>
      </c>
      <c r="N26" s="190" t="str">
        <f aca="false">IFERROR(H26/M26-1,"")</f>
        <v/>
      </c>
      <c r="O26" s="190" t="str">
        <f aca="false">IFERROR(H26/M26,"-")</f>
        <v>-</v>
      </c>
      <c r="P26" s="158" t="n">
        <f aca="false">H26-M26</f>
        <v>0</v>
      </c>
      <c r="R26" s="166" t="n">
        <v>70000</v>
      </c>
      <c r="S26" s="190" t="n">
        <f aca="false">IFERROR(H26/R26-1,"-")</f>
        <v>-1</v>
      </c>
      <c r="T26" s="190" t="n">
        <f aca="false">IFERROR(H26/R26,"-")</f>
        <v>0</v>
      </c>
      <c r="U26" s="166" t="n">
        <f aca="false">H26-R26</f>
        <v>-70000</v>
      </c>
      <c r="W26" s="158" t="n">
        <v>0</v>
      </c>
      <c r="X26" s="5" t="n">
        <f aca="false">H26-W26</f>
        <v>0</v>
      </c>
      <c r="Y26" s="191" t="str">
        <f aca="false">IFERROR((H26/W26)-1,"-")</f>
        <v>-</v>
      </c>
    </row>
    <row r="27" customFormat="false" ht="14.25" hidden="true" customHeight="true" outlineLevel="1" collapsed="false">
      <c r="A27" s="169" t="n">
        <v>26</v>
      </c>
      <c r="B27" s="193" t="s">
        <v>153</v>
      </c>
      <c r="C27" s="158" t="s">
        <v>70</v>
      </c>
      <c r="D27" s="193" t="s">
        <v>71</v>
      </c>
      <c r="E27" s="158" t="s">
        <v>72</v>
      </c>
      <c r="F27" s="158" t="n">
        <f aca="false">VLOOKUP(B27,'2024'!$A:$O,10,0)</f>
        <v>0</v>
      </c>
      <c r="G27" s="158" t="n">
        <f aca="false">VLOOKUP($B27,'2025'!$A:$O,10,0)</f>
        <v>0</v>
      </c>
      <c r="H27" s="158" t="n">
        <v>0</v>
      </c>
      <c r="I27" s="190" t="n">
        <f aca="false">IFERROR(H27/$H$19,"")</f>
        <v>0</v>
      </c>
      <c r="J27" s="190" t="str">
        <f aca="false">IFERROR(H27/G27-1,"")</f>
        <v/>
      </c>
      <c r="K27" s="158" t="n">
        <f aca="false">H27-G27</f>
        <v>0</v>
      </c>
      <c r="M27" s="158" t="n">
        <f aca="false">VLOOKUP(C27,'תקציב  '!$B:$S,12,0)*1</f>
        <v>0</v>
      </c>
      <c r="N27" s="190" t="str">
        <f aca="false">IFERROR(H27/M27-1,"")</f>
        <v/>
      </c>
      <c r="O27" s="190" t="str">
        <f aca="false">IFERROR(H27/M27,"-")</f>
        <v>-</v>
      </c>
      <c r="P27" s="158" t="n">
        <f aca="false">H27-M27</f>
        <v>0</v>
      </c>
      <c r="R27" s="166" t="n">
        <v>20000</v>
      </c>
      <c r="S27" s="190" t="n">
        <f aca="false">IFERROR(H27/R27-1,"-")</f>
        <v>-1</v>
      </c>
      <c r="T27" s="190" t="n">
        <f aca="false">IFERROR(H27/R27,"-")</f>
        <v>0</v>
      </c>
      <c r="U27" s="166" t="n">
        <f aca="false">H27-R27</f>
        <v>-20000</v>
      </c>
      <c r="W27" s="158" t="n">
        <v>0</v>
      </c>
      <c r="X27" s="5" t="n">
        <f aca="false">H27-W27</f>
        <v>0</v>
      </c>
      <c r="Y27" s="191" t="str">
        <f aca="false">IFERROR((H27/W27)-1,"-")</f>
        <v>-</v>
      </c>
    </row>
    <row r="28" customFormat="false" ht="13.5" hidden="true" customHeight="true" outlineLevel="1" collapsed="false">
      <c r="A28" s="169" t="n">
        <v>27</v>
      </c>
      <c r="B28" s="193" t="s">
        <v>163</v>
      </c>
      <c r="C28" s="158" t="s">
        <v>73</v>
      </c>
      <c r="D28" s="193" t="s">
        <v>74</v>
      </c>
      <c r="E28" s="158" t="s">
        <v>75</v>
      </c>
      <c r="F28" s="158" t="n">
        <f aca="false">VLOOKUP(B28,'2024'!$A:$O,10,0)</f>
        <v>0</v>
      </c>
      <c r="G28" s="158" t="n">
        <f aca="false">VLOOKUP($B28,'2025'!$A:$O,10,0)</f>
        <v>0</v>
      </c>
      <c r="H28" s="158" t="n">
        <v>0</v>
      </c>
      <c r="I28" s="190" t="n">
        <f aca="false">IFERROR(H28/$H$19,"")</f>
        <v>0</v>
      </c>
      <c r="J28" s="190" t="str">
        <f aca="false">IFERROR(H28/G28-1,"")</f>
        <v/>
      </c>
      <c r="K28" s="158" t="n">
        <f aca="false">H28-G28</f>
        <v>0</v>
      </c>
      <c r="M28" s="158" t="n">
        <f aca="false">VLOOKUP(C28,'תקציב  '!$B:$S,12,0)*1</f>
        <v>0</v>
      </c>
      <c r="N28" s="190" t="str">
        <f aca="false">IFERROR(H28/M28-1,"")</f>
        <v/>
      </c>
      <c r="O28" s="190" t="str">
        <f aca="false">IFERROR(H28/M28,"-")</f>
        <v>-</v>
      </c>
      <c r="P28" s="158" t="n">
        <f aca="false">H28-M28</f>
        <v>0</v>
      </c>
      <c r="R28" s="166" t="n">
        <v>150000</v>
      </c>
      <c r="S28" s="190" t="n">
        <f aca="false">IFERROR(H28/R28-1,"-")</f>
        <v>-1</v>
      </c>
      <c r="T28" s="190" t="n">
        <f aca="false">IFERROR(H28/R28,"-")</f>
        <v>0</v>
      </c>
      <c r="U28" s="166" t="n">
        <f aca="false">H28-R28</f>
        <v>-150000</v>
      </c>
      <c r="W28" s="158" t="n">
        <v>0</v>
      </c>
      <c r="X28" s="5" t="n">
        <f aca="false">H28-W28</f>
        <v>0</v>
      </c>
      <c r="Y28" s="191" t="str">
        <f aca="false">IFERROR((H28/W28)-1,"-")</f>
        <v>-</v>
      </c>
    </row>
    <row r="29" customFormat="false" ht="13.5" hidden="true" customHeight="true" outlineLevel="1" collapsed="false">
      <c r="A29" s="169" t="n">
        <v>28</v>
      </c>
      <c r="B29" s="193" t="s">
        <v>164</v>
      </c>
      <c r="C29" s="158" t="s">
        <v>76</v>
      </c>
      <c r="D29" s="193" t="s">
        <v>77</v>
      </c>
      <c r="E29" s="158" t="s">
        <v>78</v>
      </c>
      <c r="F29" s="158" t="n">
        <f aca="false">VLOOKUP(B29,'2024'!$A:$O,10,0)</f>
        <v>64828.58</v>
      </c>
      <c r="G29" s="158" t="n">
        <f aca="false">VLOOKUP($B29,'2025'!$A:$O,10,0)</f>
        <v>27485.96</v>
      </c>
      <c r="H29" s="158" t="n">
        <v>25430.19</v>
      </c>
      <c r="I29" s="190" t="n">
        <f aca="false">IFERROR(H29/$H$19,"")</f>
        <v>0.0154378038743258</v>
      </c>
      <c r="J29" s="190" t="n">
        <f aca="false">IFERROR(H29/G29-1,"")</f>
        <v>-0.07479345818738</v>
      </c>
      <c r="K29" s="158" t="n">
        <f aca="false">H29-G29</f>
        <v>-2055.77</v>
      </c>
      <c r="M29" s="158" t="n">
        <f aca="false">VLOOKUP(C29,'תקציב  '!$B:$S,12,0)*1</f>
        <v>39765.076</v>
      </c>
      <c r="N29" s="190" t="n">
        <f aca="false">IFERROR(H29/M29-1,"")</f>
        <v>-0.360489339942416</v>
      </c>
      <c r="O29" s="190" t="n">
        <f aca="false">IFERROR(H29/M29,"-")</f>
        <v>0.639510660057584</v>
      </c>
      <c r="P29" s="158" t="n">
        <f aca="false">H29-M29</f>
        <v>-14334.886</v>
      </c>
      <c r="R29" s="166" t="n">
        <v>40000</v>
      </c>
      <c r="S29" s="190" t="n">
        <f aca="false">IFERROR(H29/R29-1,"-")</f>
        <v>-0.36424525</v>
      </c>
      <c r="T29" s="190" t="n">
        <f aca="false">IFERROR(H29/R29,"-")</f>
        <v>0.63575475</v>
      </c>
      <c r="U29" s="166" t="n">
        <f aca="false">H29-R29</f>
        <v>-14569.81</v>
      </c>
      <c r="W29" s="158" t="n">
        <v>25430.19</v>
      </c>
      <c r="X29" s="5" t="n">
        <f aca="false">H29-W29</f>
        <v>0</v>
      </c>
      <c r="Y29" s="191" t="n">
        <f aca="false">IFERROR((H29/W29)-1,"-")</f>
        <v>0</v>
      </c>
    </row>
    <row r="30" customFormat="false" ht="14.25" hidden="true" customHeight="true" outlineLevel="1" collapsed="false">
      <c r="A30" s="169" t="n">
        <v>29</v>
      </c>
      <c r="B30" s="193" t="s">
        <v>158</v>
      </c>
      <c r="C30" s="158" t="s">
        <v>79</v>
      </c>
      <c r="D30" s="193" t="s">
        <v>80</v>
      </c>
      <c r="E30" s="158" t="s">
        <v>81</v>
      </c>
      <c r="F30" s="158" t="n">
        <f aca="false">VLOOKUP(B30,'2024'!$A:$O,10,0)</f>
        <v>54153.1</v>
      </c>
      <c r="G30" s="158" t="n">
        <f aca="false">VLOOKUP($B30,'2025'!$A:$O,10,0)</f>
        <v>0</v>
      </c>
      <c r="H30" s="158" t="n">
        <v>0</v>
      </c>
      <c r="I30" s="190" t="n">
        <f aca="false">IFERROR(H30/$H$19,"")</f>
        <v>0</v>
      </c>
      <c r="J30" s="190" t="str">
        <f aca="false">IFERROR(H30/G30-1,"")</f>
        <v/>
      </c>
      <c r="K30" s="158" t="n">
        <f aca="false">H30-G30</f>
        <v>0</v>
      </c>
      <c r="M30" s="158" t="n">
        <f aca="false">VLOOKUP(C30,'תקציב  '!$B:$S,12,0)*1</f>
        <v>0</v>
      </c>
      <c r="N30" s="190" t="str">
        <f aca="false">IFERROR(H30/M30-1,"")</f>
        <v/>
      </c>
      <c r="O30" s="190" t="str">
        <f aca="false">IFERROR(H30/M30,"-")</f>
        <v>-</v>
      </c>
      <c r="P30" s="158" t="n">
        <f aca="false">H30-M30</f>
        <v>0</v>
      </c>
      <c r="R30" s="166" t="n">
        <v>0</v>
      </c>
      <c r="S30" s="190" t="str">
        <f aca="false">IFERROR(H30/R30-1,"-")</f>
        <v>-</v>
      </c>
      <c r="T30" s="190" t="str">
        <f aca="false">IFERROR(H30/R30,"-")</f>
        <v>-</v>
      </c>
      <c r="U30" s="166" t="n">
        <f aca="false">H30-R30</f>
        <v>0</v>
      </c>
      <c r="W30" s="158" t="n">
        <v>0</v>
      </c>
      <c r="X30" s="5" t="n">
        <f aca="false">H30-W30</f>
        <v>0</v>
      </c>
      <c r="Y30" s="191" t="str">
        <f aca="false">IFERROR((H30/W30)-1,"-")</f>
        <v>-</v>
      </c>
    </row>
    <row r="31" customFormat="false" ht="14.25" hidden="true" customHeight="true" outlineLevel="1" collapsed="false">
      <c r="A31" s="169" t="n">
        <v>30</v>
      </c>
      <c r="B31" s="193" t="s">
        <v>152</v>
      </c>
      <c r="C31" s="158" t="s">
        <v>82</v>
      </c>
      <c r="D31" s="193" t="s">
        <v>83</v>
      </c>
      <c r="E31" s="158" t="s">
        <v>81</v>
      </c>
      <c r="F31" s="158" t="n">
        <f aca="false">VLOOKUP(B31,'2024'!$A:$O,10,0)</f>
        <v>20673.57</v>
      </c>
      <c r="G31" s="158" t="n">
        <f aca="false">VLOOKUP($B31,'2025'!$A:$O,10,0)</f>
        <v>0</v>
      </c>
      <c r="H31" s="158" t="n">
        <v>21590.63</v>
      </c>
      <c r="I31" s="190" t="n">
        <f aca="false">IFERROR(H31/$H$19,"")</f>
        <v>0.0131069375204486</v>
      </c>
      <c r="J31" s="190" t="str">
        <f aca="false">IFERROR(H31/G31-1,"")</f>
        <v/>
      </c>
      <c r="K31" s="158" t="n">
        <f aca="false">H31-G31</f>
        <v>21590.63</v>
      </c>
      <c r="M31" s="158" t="n">
        <f aca="false">VLOOKUP(C31,'תקציב  '!$B:$S,12,0)*1</f>
        <v>0</v>
      </c>
      <c r="N31" s="190" t="str">
        <f aca="false">IFERROR(H31/M31-1,"")</f>
        <v/>
      </c>
      <c r="O31" s="190" t="str">
        <f aca="false">IFERROR(H31/M31,"-")</f>
        <v>-</v>
      </c>
      <c r="P31" s="158" t="n">
        <f aca="false">H31-M31</f>
        <v>21590.63</v>
      </c>
      <c r="R31" s="166" t="n">
        <v>25000</v>
      </c>
      <c r="S31" s="190" t="n">
        <f aca="false">IFERROR(H31/R31-1,"-")</f>
        <v>-0.1363748</v>
      </c>
      <c r="T31" s="190" t="n">
        <f aca="false">IFERROR(H31/R31,"-")</f>
        <v>0.8636252</v>
      </c>
      <c r="U31" s="166" t="n">
        <f aca="false">H31-R31</f>
        <v>-3409.37</v>
      </c>
      <c r="W31" s="158" t="n">
        <v>21590.63</v>
      </c>
      <c r="X31" s="5" t="n">
        <f aca="false">H31-W31</f>
        <v>0</v>
      </c>
      <c r="Y31" s="191" t="n">
        <f aca="false">IFERROR((H31/W31)-1,"-")</f>
        <v>0</v>
      </c>
    </row>
    <row r="32" customFormat="false" ht="13.5" hidden="true" customHeight="true" outlineLevel="1" collapsed="false">
      <c r="A32" s="169" t="n">
        <v>31</v>
      </c>
      <c r="B32" s="193" t="s">
        <v>84</v>
      </c>
      <c r="C32" s="158" t="s">
        <v>84</v>
      </c>
      <c r="D32" s="193" t="s">
        <v>85</v>
      </c>
      <c r="E32" s="158" t="s">
        <v>86</v>
      </c>
      <c r="F32" s="158" t="n">
        <f aca="false">VLOOKUP(B32,'2024'!$A:$O,10,0)</f>
        <v>31722.98</v>
      </c>
      <c r="G32" s="158" t="n">
        <f aca="false">VLOOKUP($B32,'2025'!$A:$O,10,0)</f>
        <v>50202.49</v>
      </c>
      <c r="H32" s="158" t="n">
        <v>0</v>
      </c>
      <c r="I32" s="190" t="n">
        <f aca="false">IFERROR(H32/$H$19,"")</f>
        <v>0</v>
      </c>
      <c r="J32" s="190" t="n">
        <f aca="false">IFERROR(H32/G32-1,"")</f>
        <v>-1</v>
      </c>
      <c r="K32" s="158" t="n">
        <f aca="false">H32-G32</f>
        <v>-50202.49</v>
      </c>
      <c r="M32" s="158" t="n">
        <f aca="false">VLOOKUP(C32,'תקציב  '!$B:$S,12,0)*1</f>
        <v>49000</v>
      </c>
      <c r="N32" s="190" t="n">
        <f aca="false">IFERROR(H32/M32-1,"")</f>
        <v>-1</v>
      </c>
      <c r="O32" s="190" t="n">
        <f aca="false">IFERROR(H32/M32,"-")</f>
        <v>0</v>
      </c>
      <c r="P32" s="158" t="n">
        <f aca="false">H32-M32</f>
        <v>-49000</v>
      </c>
      <c r="R32" s="166" t="n">
        <v>17500</v>
      </c>
      <c r="S32" s="190" t="n">
        <f aca="false">IFERROR(H32/R32-1,"-")</f>
        <v>-1</v>
      </c>
      <c r="T32" s="190" t="n">
        <f aca="false">IFERROR(H32/R32,"-")</f>
        <v>0</v>
      </c>
      <c r="U32" s="166" t="n">
        <f aca="false">H32-R32</f>
        <v>-17500</v>
      </c>
      <c r="W32" s="158" t="n">
        <v>0</v>
      </c>
      <c r="X32" s="5" t="n">
        <f aca="false">H32-W32</f>
        <v>0</v>
      </c>
      <c r="Y32" s="191" t="str">
        <f aca="false">IFERROR((H32/W32)-1,"-")</f>
        <v>-</v>
      </c>
    </row>
    <row r="33" customFormat="false" ht="13.5" hidden="true" customHeight="true" outlineLevel="1" collapsed="false">
      <c r="A33" s="169"/>
      <c r="B33" s="193"/>
      <c r="C33" s="158"/>
      <c r="D33" s="193" t="s">
        <v>171</v>
      </c>
      <c r="E33" s="158" t="s">
        <v>172</v>
      </c>
      <c r="F33" s="158"/>
      <c r="G33" s="158"/>
      <c r="H33" s="158" t="n">
        <v>0</v>
      </c>
      <c r="I33" s="190" t="n">
        <f aca="false">IFERROR(H33/$H$19,"")</f>
        <v>0</v>
      </c>
      <c r="J33" s="190" t="str">
        <f aca="false">IFERROR(H33/G33-1,"")</f>
        <v/>
      </c>
      <c r="K33" s="158" t="n">
        <f aca="false">H33-G33</f>
        <v>0</v>
      </c>
      <c r="M33" s="158"/>
      <c r="N33" s="190" t="str">
        <f aca="false">IFERROR(H33/M33-1,"")</f>
        <v/>
      </c>
      <c r="O33" s="190" t="str">
        <f aca="false">IFERROR(H33/M33,"-")</f>
        <v>-</v>
      </c>
      <c r="P33" s="158" t="n">
        <f aca="false">H33-M33</f>
        <v>0</v>
      </c>
      <c r="R33" s="166" t="n">
        <v>0</v>
      </c>
      <c r="S33" s="190" t="str">
        <f aca="false">IFERROR(H33/R33-1,"-")</f>
        <v>-</v>
      </c>
      <c r="T33" s="190" t="str">
        <f aca="false">IFERROR(H33/R33,"-")</f>
        <v>-</v>
      </c>
      <c r="U33" s="166" t="n">
        <f aca="false">H33-R33</f>
        <v>0</v>
      </c>
      <c r="W33" s="158" t="n">
        <v>0</v>
      </c>
      <c r="X33" s="5" t="n">
        <f aca="false">H33-W33</f>
        <v>0</v>
      </c>
      <c r="Y33" s="191" t="str">
        <f aca="false">IFERROR((H33/W33)-1,"-")</f>
        <v>-</v>
      </c>
    </row>
    <row r="34" customFormat="false" ht="13.5" hidden="true" customHeight="true" outlineLevel="1" collapsed="false">
      <c r="A34" s="169" t="n">
        <v>32</v>
      </c>
      <c r="B34" s="193" t="s">
        <v>161</v>
      </c>
      <c r="C34" s="158" t="s">
        <v>87</v>
      </c>
      <c r="D34" s="193" t="s">
        <v>88</v>
      </c>
      <c r="E34" s="158" t="s">
        <v>89</v>
      </c>
      <c r="F34" s="158" t="n">
        <f aca="false">VLOOKUP(B34,'2024'!$A:$O,10,0)</f>
        <v>1987.54</v>
      </c>
      <c r="G34" s="158" t="n">
        <f aca="false">VLOOKUP($B34,'2025'!$A:$O,10,0)</f>
        <v>0</v>
      </c>
      <c r="H34" s="158" t="n">
        <v>0</v>
      </c>
      <c r="I34" s="190" t="n">
        <f aca="false">IFERROR(H34/$H$19,"")</f>
        <v>0</v>
      </c>
      <c r="J34" s="190" t="str">
        <f aca="false">IFERROR(H34/G34-1,"")</f>
        <v/>
      </c>
      <c r="K34" s="158" t="n">
        <f aca="false">H34-G34</f>
        <v>0</v>
      </c>
      <c r="M34" s="158" t="n">
        <f aca="false">VLOOKUP(C34,'תקציב  '!$B:$S,12,0)*1</f>
        <v>0</v>
      </c>
      <c r="N34" s="190" t="str">
        <f aca="false">IFERROR(H34/M34-1,"")</f>
        <v/>
      </c>
      <c r="O34" s="190" t="str">
        <f aca="false">IFERROR(H34/M34,"-")</f>
        <v>-</v>
      </c>
      <c r="P34" s="158" t="n">
        <f aca="false">H34-M34</f>
        <v>0</v>
      </c>
      <c r="R34" s="166" t="n">
        <v>0</v>
      </c>
      <c r="S34" s="190" t="str">
        <f aca="false">IFERROR(H34/R34-1,"-")</f>
        <v>-</v>
      </c>
      <c r="T34" s="190" t="str">
        <f aca="false">IFERROR(H34/R34,"-")</f>
        <v>-</v>
      </c>
      <c r="U34" s="166" t="n">
        <f aca="false">H34-R34</f>
        <v>0</v>
      </c>
      <c r="W34" s="158" t="n">
        <v>0</v>
      </c>
      <c r="X34" s="5" t="n">
        <f aca="false">H34-W34</f>
        <v>0</v>
      </c>
      <c r="Y34" s="191" t="str">
        <f aca="false">IFERROR((H34/W34)-1,"-")</f>
        <v>-</v>
      </c>
    </row>
    <row r="35" customFormat="false" ht="13.5" hidden="true" customHeight="true" outlineLevel="1" collapsed="false">
      <c r="A35" s="169" t="n">
        <v>33</v>
      </c>
      <c r="B35" s="193" t="s">
        <v>160</v>
      </c>
      <c r="C35" s="158" t="s">
        <v>90</v>
      </c>
      <c r="D35" s="193" t="s">
        <v>91</v>
      </c>
      <c r="E35" s="158" t="s">
        <v>92</v>
      </c>
      <c r="F35" s="158" t="n">
        <f aca="false">VLOOKUP(B35,'2024'!$A:$O,10,0)</f>
        <v>0</v>
      </c>
      <c r="G35" s="158" t="n">
        <f aca="false">VLOOKUP($B35,'2025'!$A:$O,10,0)</f>
        <v>0</v>
      </c>
      <c r="H35" s="158" t="n">
        <v>0</v>
      </c>
      <c r="I35" s="190" t="n">
        <f aca="false">IFERROR(H35/$H$19,"")</f>
        <v>0</v>
      </c>
      <c r="J35" s="190" t="str">
        <f aca="false">IFERROR(H35/G35-1,"")</f>
        <v/>
      </c>
      <c r="K35" s="158" t="n">
        <f aca="false">H35-G35</f>
        <v>0</v>
      </c>
      <c r="M35" s="158" t="n">
        <f aca="false">VLOOKUP(C35,'תקציב  '!$B:$S,12,0)*1</f>
        <v>0</v>
      </c>
      <c r="N35" s="190" t="str">
        <f aca="false">IFERROR(H35/M35-1,"")</f>
        <v/>
      </c>
      <c r="O35" s="190" t="str">
        <f aca="false">IFERROR(H35/M35,"-")</f>
        <v>-</v>
      </c>
      <c r="P35" s="158" t="n">
        <f aca="false">H35-M35</f>
        <v>0</v>
      </c>
      <c r="R35" s="166" t="n">
        <v>0</v>
      </c>
      <c r="S35" s="190" t="str">
        <f aca="false">IFERROR(H35/R35-1,"-")</f>
        <v>-</v>
      </c>
      <c r="T35" s="190" t="str">
        <f aca="false">IFERROR(H35/R35,"-")</f>
        <v>-</v>
      </c>
      <c r="U35" s="166" t="n">
        <f aca="false">H35-R35</f>
        <v>0</v>
      </c>
      <c r="W35" s="158" t="n">
        <v>0</v>
      </c>
      <c r="X35" s="5" t="n">
        <f aca="false">H35-W35</f>
        <v>0</v>
      </c>
      <c r="Y35" s="191" t="str">
        <f aca="false">IFERROR((H35/W35)-1,"-")</f>
        <v>-</v>
      </c>
    </row>
    <row r="36" customFormat="false" ht="14.25" hidden="true" customHeight="true" outlineLevel="1" collapsed="false">
      <c r="A36" s="169"/>
      <c r="B36" s="193" t="s">
        <v>166</v>
      </c>
      <c r="C36" s="158" t="s">
        <v>166</v>
      </c>
      <c r="D36" s="193" t="s">
        <v>173</v>
      </c>
      <c r="E36" s="158" t="s">
        <v>78</v>
      </c>
      <c r="F36" s="158" t="n">
        <f aca="false">VLOOKUP(B36,'2024'!$A:$O,10,0)</f>
        <v>0</v>
      </c>
      <c r="G36" s="158" t="n">
        <f aca="false">VLOOKUP($B36,'2025'!$A:$O,10,0)</f>
        <v>0</v>
      </c>
      <c r="H36" s="158" t="n">
        <v>0</v>
      </c>
      <c r="I36" s="190" t="n">
        <f aca="false">IFERROR(H36/$H$19,"")</f>
        <v>0</v>
      </c>
      <c r="J36" s="190" t="str">
        <f aca="false">IFERROR(H36/G36-1,"")</f>
        <v/>
      </c>
      <c r="K36" s="158" t="n">
        <f aca="false">H36-G36</f>
        <v>0</v>
      </c>
      <c r="M36" s="158"/>
      <c r="N36" s="190" t="str">
        <f aca="false">IFERROR(H36/M36-1,"")</f>
        <v/>
      </c>
      <c r="O36" s="190" t="str">
        <f aca="false">IFERROR(H36/M36,"-")</f>
        <v>-</v>
      </c>
      <c r="P36" s="158" t="n">
        <f aca="false">H36-M36</f>
        <v>0</v>
      </c>
      <c r="R36" s="166" t="n">
        <v>0</v>
      </c>
      <c r="S36" s="190" t="str">
        <f aca="false">IFERROR(H36/R36-1,"-")</f>
        <v>-</v>
      </c>
      <c r="T36" s="190" t="str">
        <f aca="false">IFERROR(H36/R36,"-")</f>
        <v>-</v>
      </c>
      <c r="U36" s="166" t="n">
        <f aca="false">H36-R36</f>
        <v>0</v>
      </c>
      <c r="W36" s="158" t="n">
        <v>0</v>
      </c>
      <c r="X36" s="5" t="n">
        <f aca="false">H36-W36</f>
        <v>0</v>
      </c>
      <c r="Y36" s="191" t="str">
        <f aca="false">IFERROR((H36/W36)-1,"-")</f>
        <v>-</v>
      </c>
    </row>
    <row r="37" customFormat="false" ht="14.25" hidden="true" customHeight="true" outlineLevel="1" collapsed="false">
      <c r="A37" s="169" t="n">
        <v>34</v>
      </c>
      <c r="B37" s="193" t="s">
        <v>165</v>
      </c>
      <c r="C37" s="158" t="s">
        <v>165</v>
      </c>
      <c r="D37" s="193" t="s">
        <v>93</v>
      </c>
      <c r="E37" s="158" t="s">
        <v>174</v>
      </c>
      <c r="F37" s="158" t="n">
        <f aca="false">VLOOKUP(B37,'2024'!$A:$O,10,0)</f>
        <v>0</v>
      </c>
      <c r="G37" s="158" t="n">
        <f aca="false">VLOOKUP($B37,'2025'!$A:$O,10,0)</f>
        <v>0</v>
      </c>
      <c r="H37" s="158" t="n">
        <v>0</v>
      </c>
      <c r="I37" s="190" t="n">
        <f aca="false">IFERROR(H37/$H$19,"")</f>
        <v>0</v>
      </c>
      <c r="J37" s="190" t="str">
        <f aca="false">IFERROR(H37/G37-1,"")</f>
        <v/>
      </c>
      <c r="K37" s="158" t="n">
        <f aca="false">H37-G37</f>
        <v>0</v>
      </c>
      <c r="M37" s="158"/>
      <c r="N37" s="190" t="str">
        <f aca="false">IFERROR(H37/M37-1,"")</f>
        <v/>
      </c>
      <c r="O37" s="190" t="str">
        <f aca="false">IFERROR(H37/M37,"-")</f>
        <v>-</v>
      </c>
      <c r="P37" s="158" t="n">
        <f aca="false">H37-M37</f>
        <v>0</v>
      </c>
      <c r="R37" s="166" t="n">
        <v>0</v>
      </c>
      <c r="S37" s="190" t="str">
        <f aca="false">IFERROR(H37/R37-1,"-")</f>
        <v>-</v>
      </c>
      <c r="T37" s="190" t="str">
        <f aca="false">IFERROR(H37/R37,"-")</f>
        <v>-</v>
      </c>
      <c r="U37" s="166" t="n">
        <f aca="false">H37-R37</f>
        <v>0</v>
      </c>
      <c r="W37" s="158" t="n">
        <v>0</v>
      </c>
      <c r="X37" s="5" t="n">
        <f aca="false">H37-W37</f>
        <v>0</v>
      </c>
      <c r="Y37" s="191" t="str">
        <f aca="false">IFERROR((H37/W37)-1,"-")</f>
        <v>-</v>
      </c>
    </row>
    <row r="38" customFormat="false" ht="13.5" hidden="true" customHeight="true" outlineLevel="1" collapsed="false">
      <c r="A38" s="169" t="n">
        <v>35</v>
      </c>
      <c r="B38" s="193" t="s">
        <v>94</v>
      </c>
      <c r="C38" s="158" t="s">
        <v>94</v>
      </c>
      <c r="D38" s="193" t="s">
        <v>95</v>
      </c>
      <c r="E38" s="158" t="s">
        <v>51</v>
      </c>
      <c r="F38" s="158" t="n">
        <f aca="false">VLOOKUP(B38,'2024'!$A:$O,10,0)</f>
        <v>-1.37</v>
      </c>
      <c r="G38" s="158" t="n">
        <f aca="false">VLOOKUP($B38,'2025'!$A:$O,10,0)</f>
        <v>0</v>
      </c>
      <c r="H38" s="158" t="n">
        <v>0</v>
      </c>
      <c r="I38" s="190" t="n">
        <f aca="false">IFERROR(H38/$H$19,"")</f>
        <v>0</v>
      </c>
      <c r="J38" s="190" t="str">
        <f aca="false">IFERROR(H38/G38-1,"")</f>
        <v/>
      </c>
      <c r="K38" s="158" t="n">
        <f aca="false">H38-G38</f>
        <v>0</v>
      </c>
      <c r="M38" s="158" t="n">
        <f aca="false">VLOOKUP(C38,'תקציב  '!$B:$S,12,0)*1</f>
        <v>0</v>
      </c>
      <c r="N38" s="190" t="str">
        <f aca="false">IFERROR(H38/M38-1,"")</f>
        <v/>
      </c>
      <c r="O38" s="190" t="str">
        <f aca="false">IFERROR(H38/M38,"-")</f>
        <v>-</v>
      </c>
      <c r="P38" s="158" t="n">
        <f aca="false">H38-M38</f>
        <v>0</v>
      </c>
      <c r="R38" s="166" t="n">
        <v>0</v>
      </c>
      <c r="S38" s="190" t="str">
        <f aca="false">IFERROR(H38/R38-1,"-")</f>
        <v>-</v>
      </c>
      <c r="T38" s="190" t="str">
        <f aca="false">IFERROR(H38/R38,"-")</f>
        <v>-</v>
      </c>
      <c r="U38" s="166" t="n">
        <f aca="false">H38-R38</f>
        <v>0</v>
      </c>
      <c r="W38" s="158" t="n">
        <v>0</v>
      </c>
      <c r="X38" s="5" t="n">
        <f aca="false">H38-W38</f>
        <v>0</v>
      </c>
      <c r="Y38" s="191" t="str">
        <f aca="false">IFERROR((H38/W38)-1,"-")</f>
        <v>-</v>
      </c>
    </row>
    <row r="39" customFormat="false" ht="13.5" hidden="true" customHeight="true" outlineLevel="1" collapsed="false">
      <c r="A39" s="226" t="n">
        <v>36</v>
      </c>
      <c r="B39" s="227"/>
      <c r="C39" s="228" t="s">
        <v>97</v>
      </c>
      <c r="D39" s="227" t="s">
        <v>97</v>
      </c>
      <c r="E39" s="228"/>
      <c r="F39" s="158"/>
      <c r="G39" s="158"/>
      <c r="H39" s="158" t="n">
        <v>0</v>
      </c>
      <c r="I39" s="229" t="n">
        <f aca="false">IFERROR(H39/$H$19,"")</f>
        <v>0</v>
      </c>
      <c r="J39" s="190" t="str">
        <f aca="false">IFERROR(H39/G39-1,"")</f>
        <v/>
      </c>
      <c r="K39" s="158" t="n">
        <f aca="false">H39-G39</f>
        <v>0</v>
      </c>
      <c r="M39" s="158" t="n">
        <f aca="false">VLOOKUP(C39,'תקציב  '!$B:$S,12,0)*1</f>
        <v>0</v>
      </c>
      <c r="N39" s="190" t="str">
        <f aca="false">IFERROR(H39/M39-1,"")</f>
        <v/>
      </c>
      <c r="O39" s="229" t="str">
        <f aca="false">IFERROR(H39/M39,"-")</f>
        <v>-</v>
      </c>
      <c r="P39" s="158" t="n">
        <f aca="false">H39-M39</f>
        <v>0</v>
      </c>
      <c r="R39" s="166" t="n">
        <v>0</v>
      </c>
      <c r="S39" s="190" t="str">
        <f aca="false">IFERROR(H39/R39-1,"-")</f>
        <v>-</v>
      </c>
      <c r="T39" s="190" t="str">
        <f aca="false">IFERROR(H39/R39,"-")</f>
        <v>-</v>
      </c>
      <c r="U39" s="166" t="n">
        <f aca="false">H39-R39</f>
        <v>0</v>
      </c>
      <c r="W39" s="158" t="n">
        <v>0</v>
      </c>
      <c r="X39" s="5" t="n">
        <f aca="false">H39-W39</f>
        <v>0</v>
      </c>
      <c r="Y39" s="191" t="str">
        <f aca="false">IFERROR((H39/W39)-1,"-")</f>
        <v>-</v>
      </c>
    </row>
    <row r="40" customFormat="false" ht="15" hidden="false" customHeight="true" outlineLevel="0" collapsed="false">
      <c r="A40" s="169"/>
      <c r="B40" s="206"/>
      <c r="C40" s="173" t="s">
        <v>98</v>
      </c>
      <c r="D40" s="206" t="s">
        <v>98</v>
      </c>
      <c r="E40" s="173"/>
      <c r="F40" s="173" t="n">
        <f aca="false">SUM(F20:F39)+F51+F52</f>
        <v>615520.95</v>
      </c>
      <c r="G40" s="173" t="n">
        <f aca="false">SUM(G20:G39)+G51+G52</f>
        <v>335403.82</v>
      </c>
      <c r="H40" s="173" t="n">
        <f aca="false">SUM(H20:H39)+H51+H52</f>
        <v>312123.16</v>
      </c>
      <c r="I40" s="174" t="n">
        <f aca="false">IFERROR(H40/$H$19,"")</f>
        <v>0.189479360111538</v>
      </c>
      <c r="J40" s="174" t="n">
        <f aca="false">H40/G40-1</f>
        <v>-0.0694108373601708</v>
      </c>
      <c r="K40" s="173" t="n">
        <f aca="false">SUM(K20:K39)+K51+K52</f>
        <v>-23280.66</v>
      </c>
      <c r="M40" s="173" t="n">
        <f aca="false">SUM(M20:M39)+M51+M52</f>
        <v>688160.54455</v>
      </c>
      <c r="N40" s="174" t="n">
        <f aca="false">H40/M40-1</f>
        <v>-0.546438454700854</v>
      </c>
      <c r="O40" s="174" t="n">
        <f aca="false">IFERROR(H40/M40,"-")</f>
        <v>0.453561545299146</v>
      </c>
      <c r="P40" s="173" t="n">
        <f aca="false">SUM(P20:P39)+P51+P52</f>
        <v>-376037.38455</v>
      </c>
      <c r="R40" s="173" t="n">
        <f aca="false">SUM(R20:R39)+R51+R52</f>
        <v>779615.8</v>
      </c>
      <c r="S40" s="174" t="n">
        <f aca="false">IFERROR(H40/R40-1,"-")</f>
        <v>-0.599644902014556</v>
      </c>
      <c r="T40" s="174" t="n">
        <f aca="false">IFERROR(H40/R40,"-")</f>
        <v>0.400355097985444</v>
      </c>
      <c r="U40" s="173" t="n">
        <f aca="false">H40-R40</f>
        <v>-467492.64</v>
      </c>
      <c r="V40" s="198"/>
      <c r="W40" s="173" t="n">
        <v>296456.68</v>
      </c>
      <c r="X40" s="199" t="n">
        <f aca="false">H40-W40</f>
        <v>15666.48</v>
      </c>
      <c r="Y40" s="200" t="n">
        <f aca="false">IFERROR((H40/W40)-1,"-")</f>
        <v>0.0528457648517144</v>
      </c>
    </row>
    <row r="41" customFormat="false" ht="15" hidden="false" customHeight="true" outlineLevel="0" collapsed="false">
      <c r="A41" s="169"/>
      <c r="B41" s="207"/>
      <c r="C41" s="175" t="s">
        <v>175</v>
      </c>
      <c r="D41" s="207" t="s">
        <v>175</v>
      </c>
      <c r="E41" s="175"/>
      <c r="F41" s="175" t="n">
        <f aca="false">F40+F19</f>
        <v>2021164.683</v>
      </c>
      <c r="G41" s="175" t="n">
        <f aca="false">G40+G19</f>
        <v>1830821.43</v>
      </c>
      <c r="H41" s="175" t="n">
        <f aca="false">H40+H19</f>
        <v>1959390.492</v>
      </c>
      <c r="I41" s="147" t="n">
        <f aca="false">IFERROR(H41/$H$19,"")</f>
        <v>1.18947936011154</v>
      </c>
      <c r="J41" s="147" t="n">
        <f aca="false">H41/G41-1</f>
        <v>0.0702247963090543</v>
      </c>
      <c r="K41" s="175" t="n">
        <f aca="false">K40+K19</f>
        <v>128569.062000002</v>
      </c>
      <c r="M41" s="175" t="n">
        <f aca="false">M40+M19</f>
        <v>3373969.69510556</v>
      </c>
      <c r="N41" s="147" t="n">
        <f aca="false">H41/M41-1</f>
        <v>-0.419262569298596</v>
      </c>
      <c r="O41" s="147" t="n">
        <f aca="false">IFERROR(H41/M41,"-")</f>
        <v>0.580737430701404</v>
      </c>
      <c r="P41" s="175" t="n">
        <f aca="false">P40+P19</f>
        <v>-1414579.20310556</v>
      </c>
      <c r="R41" s="175" t="n">
        <f aca="false">R40+R19</f>
        <v>3406716.64745763</v>
      </c>
      <c r="S41" s="147" t="n">
        <f aca="false">IFERROR(H41/R41-1,"-")</f>
        <v>-0.424844888857352</v>
      </c>
      <c r="T41" s="147" t="n">
        <f aca="false">IFERROR(H41/R41,"-")</f>
        <v>0.575155111142648</v>
      </c>
      <c r="U41" s="175" t="n">
        <f aca="false">H41-R41</f>
        <v>-1447326.15545763</v>
      </c>
      <c r="V41" s="198"/>
      <c r="W41" s="175" t="n">
        <v>1742783.251</v>
      </c>
      <c r="X41" s="199" t="n">
        <f aca="false">H41-W41</f>
        <v>216607.241</v>
      </c>
      <c r="Y41" s="200" t="n">
        <f aca="false">IFERROR((H41/W41)-1,"-")</f>
        <v>0.124288112635758</v>
      </c>
    </row>
    <row r="42" customFormat="false" ht="14.25" hidden="false" customHeight="true" outlineLevel="0" collapsed="false">
      <c r="C42" s="157"/>
      <c r="E42" s="157"/>
      <c r="F42" s="1" t="n">
        <f aca="false">F41-'2024'!J38</f>
        <v>0</v>
      </c>
    </row>
    <row r="50" customFormat="false" ht="14.25" hidden="false" customHeight="true" outlineLevel="0" collapsed="false">
      <c r="A50" s="165"/>
      <c r="B50" s="189"/>
      <c r="C50" s="158" t="s">
        <v>176</v>
      </c>
      <c r="D50" s="189" t="s">
        <v>176</v>
      </c>
      <c r="E50" s="158" t="s">
        <v>32</v>
      </c>
      <c r="F50" s="158"/>
      <c r="G50" s="158"/>
      <c r="H50" s="158" t="n">
        <v>0</v>
      </c>
      <c r="I50" s="190" t="n">
        <f aca="false">IFERROR(H50/$H$19,"")</f>
        <v>0</v>
      </c>
      <c r="J50" s="190" t="str">
        <f aca="false">IFERROR(H50/G50-1,"-")</f>
        <v>-</v>
      </c>
      <c r="K50" s="158" t="n">
        <f aca="false">H50-G50</f>
        <v>0</v>
      </c>
      <c r="M50" s="158"/>
      <c r="N50" s="190" t="str">
        <f aca="false">IFERROR(H50/M50-1,"-")</f>
        <v>-</v>
      </c>
      <c r="O50" s="190" t="str">
        <f aca="false">IFERROR(H50/M50,"-")</f>
        <v>-</v>
      </c>
      <c r="P50" s="158" t="n">
        <f aca="false">H50-M50</f>
        <v>0</v>
      </c>
    </row>
    <row r="51" customFormat="false" ht="14.25" hidden="false" customHeight="true" outlineLevel="0" collapsed="false">
      <c r="A51" s="169"/>
      <c r="B51" s="193"/>
      <c r="C51" s="158" t="s">
        <v>177</v>
      </c>
      <c r="D51" s="193" t="s">
        <v>177</v>
      </c>
      <c r="E51" s="158" t="s">
        <v>178</v>
      </c>
      <c r="F51" s="158"/>
      <c r="G51" s="158"/>
      <c r="H51" s="158" t="n">
        <v>0</v>
      </c>
      <c r="I51" s="190" t="n">
        <f aca="false">IFERROR(H51/$H$19,"")</f>
        <v>0</v>
      </c>
      <c r="J51" s="190" t="str">
        <f aca="false">IFERROR(H51/G51-1,"-")</f>
        <v>-</v>
      </c>
      <c r="K51" s="158" t="n">
        <f aca="false">H51-G51</f>
        <v>0</v>
      </c>
      <c r="M51" s="158"/>
      <c r="N51" s="190" t="str">
        <f aca="false">IFERROR(H51/M51-1,"-")</f>
        <v>-</v>
      </c>
      <c r="O51" s="190" t="str">
        <f aca="false">IFERROR(H51/M51,"-")</f>
        <v>-</v>
      </c>
      <c r="P51" s="158" t="n">
        <f aca="false">H51-M51</f>
        <v>0</v>
      </c>
    </row>
    <row r="52" customFormat="false" ht="14.25" hidden="false" customHeight="true" outlineLevel="0" collapsed="false">
      <c r="A52" s="169"/>
      <c r="B52" s="193"/>
      <c r="C52" s="158" t="s">
        <v>179</v>
      </c>
      <c r="D52" s="193" t="s">
        <v>179</v>
      </c>
      <c r="E52" s="158" t="s">
        <v>179</v>
      </c>
      <c r="F52" s="158"/>
      <c r="G52" s="158"/>
      <c r="H52" s="158" t="n">
        <v>0</v>
      </c>
      <c r="I52" s="190" t="n">
        <f aca="false">IFERROR(H52/$H$19,"")</f>
        <v>0</v>
      </c>
      <c r="J52" s="190" t="str">
        <f aca="false">IFERROR(H52/G52-1,"-")</f>
        <v>-</v>
      </c>
      <c r="K52" s="158" t="n">
        <f aca="false">H52-G52</f>
        <v>0</v>
      </c>
      <c r="M52" s="158"/>
      <c r="N52" s="190" t="str">
        <f aca="false">IFERROR(H52/M52-1,"-")</f>
        <v>-</v>
      </c>
      <c r="O52" s="190" t="str">
        <f aca="false">IFERROR(H52/M52,"-")</f>
        <v>-</v>
      </c>
      <c r="P52" s="158" t="n">
        <f aca="false">H52-M52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L16" activeCellId="0" sqref="L16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1" width="28"/>
    <col collapsed="false" customWidth="true" hidden="false" outlineLevel="0" max="4" min="4" style="1" width="28"/>
    <col collapsed="false" customWidth="true" hidden="false" outlineLevel="0" max="5" min="5" style="2" width="12.5"/>
    <col collapsed="false" customWidth="true" hidden="false" outlineLevel="0" max="8" min="6" style="1" width="10.88"/>
    <col collapsed="false" customWidth="true" hidden="false" outlineLevel="0" max="9" min="9" style="111" width="10.75"/>
    <col collapsed="false" customWidth="true" hidden="false" outlineLevel="0" max="10" min="10" style="1" width="11.88"/>
    <col collapsed="false" customWidth="true" hidden="false" outlineLevel="0" max="12" min="12" style="1" width="10.88"/>
    <col collapsed="false" customWidth="true" hidden="false" outlineLevel="0" max="13" min="13" style="111" width="10.75"/>
    <col collapsed="false" customWidth="true" hidden="false" outlineLevel="0" max="14" min="14" style="1" width="11.5"/>
    <col collapsed="false" customWidth="true" hidden="false" outlineLevel="0" max="16" min="16" style="1" width="10.88"/>
    <col collapsed="false" customWidth="true" hidden="false" outlineLevel="0" max="17" min="17" style="111" width="6.75"/>
    <col collapsed="false" customWidth="true" hidden="false" outlineLevel="0" max="18" min="18" style="1" width="13"/>
  </cols>
  <sheetData>
    <row r="1" customFormat="false" ht="15.75" hidden="false" customHeight="true" outlineLevel="0" collapsed="false">
      <c r="B1" s="7"/>
      <c r="C1" s="7" t="s">
        <v>227</v>
      </c>
      <c r="D1" s="7" t="s">
        <v>227</v>
      </c>
      <c r="E1" s="159"/>
      <c r="F1" s="159"/>
      <c r="G1" s="159"/>
      <c r="H1" s="159"/>
      <c r="I1" s="160"/>
      <c r="J1" s="159"/>
      <c r="L1" s="159"/>
      <c r="M1" s="160"/>
      <c r="N1" s="159"/>
      <c r="P1" s="7"/>
      <c r="Q1" s="160"/>
      <c r="R1" s="7"/>
    </row>
    <row r="2" customFormat="false" ht="15" hidden="false" customHeight="true" outlineLevel="0" collapsed="false">
      <c r="A2" s="161" t="s">
        <v>2</v>
      </c>
      <c r="B2" s="162"/>
      <c r="C2" s="162"/>
      <c r="D2" s="162"/>
      <c r="E2" s="163" t="s">
        <v>3</v>
      </c>
      <c r="F2" s="163" t="s">
        <v>228</v>
      </c>
      <c r="G2" s="163" t="s">
        <v>229</v>
      </c>
      <c r="H2" s="163" t="s">
        <v>230</v>
      </c>
      <c r="I2" s="164" t="s">
        <v>168</v>
      </c>
      <c r="J2" s="163" t="s">
        <v>169</v>
      </c>
      <c r="L2" s="163" t="s">
        <v>170</v>
      </c>
      <c r="M2" s="164" t="s">
        <v>114</v>
      </c>
      <c r="N2" s="163" t="s">
        <v>115</v>
      </c>
      <c r="P2" s="186" t="s">
        <v>1</v>
      </c>
      <c r="Q2" s="164" t="s">
        <v>212</v>
      </c>
      <c r="R2" s="162" t="s">
        <v>215</v>
      </c>
    </row>
    <row r="3" customFormat="false" ht="14.25" hidden="false" customHeight="true" outlineLevel="0" collapsed="false">
      <c r="A3" s="165" t="n">
        <v>5</v>
      </c>
      <c r="B3" s="166" t="s">
        <v>143</v>
      </c>
      <c r="C3" s="166" t="s">
        <v>31</v>
      </c>
      <c r="D3" s="166" t="s">
        <v>31</v>
      </c>
      <c r="E3" s="26" t="s">
        <v>32</v>
      </c>
      <c r="F3" s="158" t="n">
        <f aca="false">ינואר!E3+פברואר!E3+מרץ!E3+אפריל!E3+מאי!E3+יוני!E3+יולי!F3+אוגוסט!F3+ספטמבר!F3</f>
        <v>1550839.86</v>
      </c>
      <c r="G3" s="158" t="n">
        <f aca="false">ינואר!F3+פברואר!F3+מרץ!F3+אפריל!F3+מאי!F3+יוני!F3+יולי!G3+אוגוסט!G3+ספטמבר!G3</f>
        <v>1311421.69</v>
      </c>
      <c r="H3" s="158" t="n">
        <f aca="false">ינואר!G3+פברואר!G3+מרץ!G3+אפריל!G3+מאי!G3+יוני!G3+יולי!H3+אוגוסט!H3+ספטמבר!H3</f>
        <v>1307775.35</v>
      </c>
      <c r="I3" s="167" t="n">
        <f aca="false">IFERROR(H3/G3-1,"")</f>
        <v>-0.002780448140979</v>
      </c>
      <c r="J3" s="158" t="n">
        <f aca="false">H3-G3</f>
        <v>-3646.34000000008</v>
      </c>
      <c r="L3" s="158" t="n">
        <f aca="false">ינואר!J3+פברואר!J3+מרץ!J3+אפריל!J3+מאי!J3+יוני!J3+יולי!M3+אוגוסט!M3+ספטמבר!M3</f>
        <v>1814761.90476191</v>
      </c>
      <c r="M3" s="167" t="n">
        <f aca="false">H3/L3-1</f>
        <v>-0.279368083180268</v>
      </c>
      <c r="N3" s="158" t="n">
        <f aca="false">H3-L3</f>
        <v>-506986.554761905</v>
      </c>
      <c r="P3" s="166" t="n">
        <v>1340443.3</v>
      </c>
      <c r="Q3" s="167" t="n">
        <f aca="false">IFERROR(H3/P3,"-")</f>
        <v>0.975628995273429</v>
      </c>
      <c r="R3" s="166" t="n">
        <f aca="false">H3-P3</f>
        <v>-32667.9500000002</v>
      </c>
    </row>
    <row r="4" customFormat="false" ht="14.25" hidden="false" customHeight="true" outlineLevel="0" collapsed="false">
      <c r="A4" s="168" t="n">
        <v>1</v>
      </c>
      <c r="B4" s="166" t="s">
        <v>33</v>
      </c>
      <c r="C4" s="166" t="s">
        <v>33</v>
      </c>
      <c r="D4" s="166" t="s">
        <v>33</v>
      </c>
      <c r="E4" s="26" t="s">
        <v>32</v>
      </c>
      <c r="F4" s="158" t="n">
        <f aca="false">ינואר!E4+פברואר!E4+מרץ!E4+אפריל!E4+מאי!E4+יוני!E4+יולי!F4+אוגוסט!F4+ספטמבר!F4</f>
        <v>4225823.329</v>
      </c>
      <c r="G4" s="158" t="n">
        <f aca="false">ינואר!F4+פברואר!F4+מרץ!F4+אפריל!F4+מאי!F4+יוני!F4+יולי!G4+אוגוסט!G4+ספטמבר!G4</f>
        <v>4693830.14260004</v>
      </c>
      <c r="H4" s="158" t="n">
        <f aca="false">ינואר!G4+פברואר!G4+מרץ!G4+אפריל!G4+מאי!G4+יוני!G4+יולי!H4+אוגוסט!H4+ספטמבר!H4</f>
        <v>4231396.26</v>
      </c>
      <c r="I4" s="167" t="n">
        <f aca="false">IFERROR(H4/G4-1,"")</f>
        <v>-0.0985195178673174</v>
      </c>
      <c r="J4" s="158" t="n">
        <f aca="false">H4-G4</f>
        <v>-462433.882600037</v>
      </c>
      <c r="L4" s="158" t="n">
        <f aca="false">ינואר!J4+פברואר!J4+מרץ!J4+אפריל!J4+מאי!J4+יוני!J4+יולי!M4+אוגוסט!M4+ספטמבר!M4</f>
        <v>5058904.76190477</v>
      </c>
      <c r="M4" s="167" t="n">
        <f aca="false">H4/L4-1</f>
        <v>-0.163574635390684</v>
      </c>
      <c r="N4" s="158" t="n">
        <f aca="false">H4-L4</f>
        <v>-827508.501904765</v>
      </c>
      <c r="P4" s="166" t="n">
        <v>4424937.893</v>
      </c>
      <c r="Q4" s="167" t="n">
        <f aca="false">IFERROR(H4/P4,"-")</f>
        <v>0.956261163957539</v>
      </c>
      <c r="R4" s="166" t="n">
        <f aca="false">H4-P4</f>
        <v>-193541.632999999</v>
      </c>
    </row>
    <row r="5" customFormat="false" ht="14.25" hidden="false" customHeight="true" outlineLevel="0" collapsed="false">
      <c r="A5" s="168" t="n">
        <v>7</v>
      </c>
      <c r="B5" s="166" t="s">
        <v>34</v>
      </c>
      <c r="C5" s="166" t="s">
        <v>34</v>
      </c>
      <c r="D5" s="166" t="s">
        <v>34</v>
      </c>
      <c r="E5" s="26" t="s">
        <v>32</v>
      </c>
      <c r="F5" s="158" t="n">
        <f aca="false">ינואר!E5+פברואר!E5+מרץ!E5+אפריל!E5+מאי!E5+יוני!E5+יולי!F5+אוגוסט!F5+ספטמבר!F5</f>
        <v>840253.869</v>
      </c>
      <c r="G5" s="158" t="n">
        <f aca="false">ינואר!F5+פברואר!F5+מרץ!F5+אפריל!F5+מאי!F5+יוני!F5+יולי!G5+אוגוסט!G5+ספטמבר!G5</f>
        <v>620118.77</v>
      </c>
      <c r="H5" s="158" t="n">
        <f aca="false">ינואר!G5+פברואר!G5+מרץ!G5+אפריל!G5+מאי!G5+יוני!G5+יולי!H5+אוגוסט!H5+ספטמבר!H5</f>
        <v>651059.045</v>
      </c>
      <c r="I5" s="167" t="n">
        <f aca="false">IFERROR(H5/G5-1,"")</f>
        <v>0.0498941114135281</v>
      </c>
      <c r="J5" s="158" t="n">
        <f aca="false">H5-G5</f>
        <v>30940.275</v>
      </c>
      <c r="L5" s="158" t="n">
        <f aca="false">ינואר!J5+פברואר!J5+מרץ!J5+אפריל!J5+מאי!J5+יוני!J5+יולי!M5+אוגוסט!M5+ספטמבר!M5</f>
        <v>664285.714285714</v>
      </c>
      <c r="M5" s="167" t="n">
        <f aca="false">H5/L5-1</f>
        <v>-0.0199111150537633</v>
      </c>
      <c r="N5" s="158" t="n">
        <f aca="false">H5-L5</f>
        <v>-13226.6692857142</v>
      </c>
      <c r="P5" s="166" t="n">
        <v>737274.565</v>
      </c>
      <c r="Q5" s="167" t="n">
        <f aca="false">IFERROR(H5/P5,"-")</f>
        <v>0.883061854982072</v>
      </c>
      <c r="R5" s="166" t="n">
        <f aca="false">H5-P5</f>
        <v>-86215.5199999999</v>
      </c>
    </row>
    <row r="6" customFormat="false" ht="14.25" hidden="false" customHeight="true" outlineLevel="0" collapsed="false">
      <c r="A6" s="168" t="n">
        <v>4</v>
      </c>
      <c r="B6" s="166" t="s">
        <v>35</v>
      </c>
      <c r="C6" s="166" t="s">
        <v>35</v>
      </c>
      <c r="D6" s="166" t="s">
        <v>35</v>
      </c>
      <c r="E6" s="26" t="s">
        <v>32</v>
      </c>
      <c r="F6" s="158" t="n">
        <f aca="false">ינואר!E6+פברואר!E6+מרץ!E6+אפריל!E6+מאי!E6+יוני!E6+יולי!F6+אוגוסט!F6+ספטמבר!F6</f>
        <v>1412930.042</v>
      </c>
      <c r="G6" s="158" t="n">
        <f aca="false">ינואר!F6+פברואר!F6+מרץ!F6+אפריל!F6+מאי!F6+יוני!F6+יולי!G6+אוגוסט!G6+ספטמבר!G6</f>
        <v>1478563.5894</v>
      </c>
      <c r="H6" s="158" t="n">
        <f aca="false">ינואר!G6+פברואר!G6+מרץ!G6+אפריל!G6+מאי!G6+יוני!G6+יולי!H6+אוגוסט!H6+ספטמבר!H6</f>
        <v>1409547.845</v>
      </c>
      <c r="I6" s="167" t="n">
        <f aca="false">IFERROR(H6/G6-1,"")</f>
        <v>-0.0466775625308128</v>
      </c>
      <c r="J6" s="158" t="n">
        <f aca="false">H6-G6</f>
        <v>-69015.7444000016</v>
      </c>
      <c r="L6" s="158" t="n">
        <f aca="false">ינואר!J6+פברואר!J6+מרץ!J6+אפריל!J6+מאי!J6+יוני!J6+יולי!M6+אוגוסט!M6+ספטמבר!M6</f>
        <v>1440380.95238095</v>
      </c>
      <c r="M6" s="167" t="n">
        <f aca="false">IFERROR(H6/L6-1,"")</f>
        <v>-0.0214062171052629</v>
      </c>
      <c r="N6" s="158" t="n">
        <f aca="false">H6-L6</f>
        <v>-30833.107380952</v>
      </c>
      <c r="P6" s="166" t="n">
        <v>1518523.978</v>
      </c>
      <c r="Q6" s="167" t="n">
        <f aca="false">IFERROR(H6/P6,"-")</f>
        <v>0.928235487500482</v>
      </c>
      <c r="R6" s="166" t="n">
        <f aca="false">H6-P6</f>
        <v>-108976.133</v>
      </c>
    </row>
    <row r="7" customFormat="false" ht="14.25" hidden="false" customHeight="true" outlineLevel="0" collapsed="false">
      <c r="A7" s="168" t="n">
        <v>3</v>
      </c>
      <c r="B7" s="166" t="s">
        <v>148</v>
      </c>
      <c r="C7" s="166" t="s">
        <v>36</v>
      </c>
      <c r="D7" s="166" t="s">
        <v>36</v>
      </c>
      <c r="E7" s="26" t="s">
        <v>32</v>
      </c>
      <c r="F7" s="158" t="n">
        <f aca="false">ינואר!E7+פברואר!E7+מרץ!E7+אפריל!E7+מאי!E7+יוני!E7+יולי!F7+אוגוסט!F7+ספטמבר!F7</f>
        <v>3129635.8</v>
      </c>
      <c r="G7" s="158" t="n">
        <f aca="false">ינואר!F7+פברואר!F7+מרץ!F7+אפריל!F7+מאי!F7+יוני!F7+יולי!G7+אוגוסט!G7+ספטמבר!G7</f>
        <v>2948891.75</v>
      </c>
      <c r="H7" s="158" t="n">
        <f aca="false">ינואר!G7+פברואר!G7+מרץ!G7+אפריל!G7+מאי!G7+יוני!G7+יולי!H7+אוגוסט!H7+ספטמבר!H7</f>
        <v>2727663.25</v>
      </c>
      <c r="I7" s="167" t="n">
        <f aca="false">IFERROR(H7/G7-1,"")</f>
        <v>-0.0750208955618666</v>
      </c>
      <c r="J7" s="158" t="n">
        <f aca="false">H7-G7</f>
        <v>-221228.5</v>
      </c>
      <c r="L7" s="158" t="n">
        <f aca="false">ינואר!J7+פברואר!J7+מרץ!J7+אפריל!J7+מאי!J7+יוני!J7+יולי!M7+אוגוסט!M7+ספטמבר!M7</f>
        <v>3285000</v>
      </c>
      <c r="M7" s="167" t="n">
        <f aca="false">IFERROR(H7/L7-1,"")</f>
        <v>-0.169661111111111</v>
      </c>
      <c r="N7" s="158" t="n">
        <f aca="false">H7-L7</f>
        <v>-557336.75</v>
      </c>
      <c r="P7" s="166" t="n">
        <v>2732410.85</v>
      </c>
      <c r="Q7" s="167" t="n">
        <f aca="false">IFERROR(H7/P7,"-")</f>
        <v>0.998262486770611</v>
      </c>
      <c r="R7" s="166" t="n">
        <f aca="false">H7-P7</f>
        <v>-4747.60000000009</v>
      </c>
    </row>
    <row r="8" customFormat="false" ht="14.25" hidden="false" customHeight="true" outlineLevel="0" collapsed="false">
      <c r="A8" s="168" t="n">
        <v>8</v>
      </c>
      <c r="B8" s="166" t="s">
        <v>147</v>
      </c>
      <c r="C8" s="166" t="s">
        <v>37</v>
      </c>
      <c r="D8" s="166" t="s">
        <v>37</v>
      </c>
      <c r="E8" s="26" t="s">
        <v>32</v>
      </c>
      <c r="F8" s="158" t="n">
        <f aca="false">ינואר!E8+פברואר!E8+מרץ!E8+אפריל!E8+מאי!E8+יוני!E8+יולי!F8+אוגוסט!F8+ספטמבר!F8</f>
        <v>622235.07</v>
      </c>
      <c r="G8" s="158" t="n">
        <f aca="false">ינואר!F8+פברואר!F8+מרץ!F8+אפריל!F8+מאי!F8+יוני!F8+יולי!G8+אוגוסט!G8+ספטמבר!G8</f>
        <v>693798.13</v>
      </c>
      <c r="H8" s="158" t="n">
        <f aca="false">ינואר!G8+פברואר!G8+מרץ!G8+אפריל!G8+מאי!G8+יוני!G8+יולי!H8+אוגוסט!H8+ספטמבר!H8</f>
        <v>520254.741</v>
      </c>
      <c r="I8" s="167" t="n">
        <f aca="false">IFERROR(H8/G8-1,"")</f>
        <v>-0.250135279263437</v>
      </c>
      <c r="J8" s="158" t="n">
        <f aca="false">H8-G8</f>
        <v>-173543.389</v>
      </c>
      <c r="L8" s="158" t="n">
        <f aca="false">ינואר!J8+פברואר!J8+מרץ!J8+אפריל!J8+מאי!J8+יוני!J8+יולי!M8+אוגוסט!M8+ספטמבר!M8</f>
        <v>918095.238095237</v>
      </c>
      <c r="M8" s="167" t="n">
        <f aca="false">IFERROR(H8/L8-1,"")</f>
        <v>-0.433332491649377</v>
      </c>
      <c r="N8" s="158" t="n">
        <f aca="false">H8-L8</f>
        <v>-397840.497095237</v>
      </c>
      <c r="P8" s="166" t="n">
        <v>643097.611</v>
      </c>
      <c r="Q8" s="167" t="n">
        <f aca="false">IFERROR(H8/P8,"-")</f>
        <v>0.808982543398066</v>
      </c>
      <c r="R8" s="166" t="n">
        <f aca="false">H8-P8</f>
        <v>-122842.87</v>
      </c>
    </row>
    <row r="9" customFormat="false" ht="14.25" hidden="false" customHeight="true" outlineLevel="0" collapsed="false">
      <c r="A9" s="168" t="n">
        <v>6</v>
      </c>
      <c r="B9" s="166" t="s">
        <v>137</v>
      </c>
      <c r="C9" s="166" t="s">
        <v>38</v>
      </c>
      <c r="D9" s="166" t="s">
        <v>38</v>
      </c>
      <c r="E9" s="26" t="s">
        <v>32</v>
      </c>
      <c r="F9" s="158" t="n">
        <f aca="false">ינואר!E9+פברואר!E9+מרץ!E9+אפריל!E9+מאי!E9+יוני!E9+יולי!F9+אוגוסט!F9+ספטמבר!F9</f>
        <v>716219.17</v>
      </c>
      <c r="G9" s="158" t="n">
        <f aca="false">ינואר!F9+פברואר!F9+מרץ!F9+אפריל!F9+מאי!F9+יוני!F9+יולי!G9+אוגוסט!G9+ספטמבר!G9</f>
        <v>631237.26</v>
      </c>
      <c r="H9" s="158" t="n">
        <f aca="false">ינואר!G9+פברואר!G9+מרץ!G9+אפריל!G9+מאי!G9+יוני!G9+יולי!H9+אוגוסט!H9+ספטמבר!H9</f>
        <v>678114.16</v>
      </c>
      <c r="I9" s="167" t="n">
        <f aca="false">IFERROR(H9/G9-1,"")</f>
        <v>0.0742619344111595</v>
      </c>
      <c r="J9" s="158" t="n">
        <f aca="false">H9-G9</f>
        <v>46876.9</v>
      </c>
      <c r="L9" s="158" t="n">
        <f aca="false">ינואר!J9+פברואר!J9+מרץ!J9+אפריל!J9+מאי!J9+יוני!J9+יולי!M9+אוגוסט!M9+ספטמבר!M9</f>
        <v>1450738.0952381</v>
      </c>
      <c r="M9" s="167" t="n">
        <f aca="false">IFERROR(H9/L9-1,"")</f>
        <v>-0.532572996996603</v>
      </c>
      <c r="N9" s="158" t="n">
        <f aca="false">H9-L9</f>
        <v>-772623.935238096</v>
      </c>
      <c r="P9" s="166" t="n">
        <v>775277.57</v>
      </c>
      <c r="Q9" s="167" t="n">
        <f aca="false">IFERROR(H9/P9,"-")</f>
        <v>0.87467274462745</v>
      </c>
      <c r="R9" s="166" t="n">
        <f aca="false">H9-P9</f>
        <v>-97163.4099999999</v>
      </c>
    </row>
    <row r="10" customFormat="false" ht="14.25" hidden="false" customHeight="true" outlineLevel="0" collapsed="false">
      <c r="A10" s="169" t="n">
        <v>10</v>
      </c>
      <c r="B10" s="166" t="s">
        <v>138</v>
      </c>
      <c r="C10" s="166" t="s">
        <v>39</v>
      </c>
      <c r="D10" s="166" t="s">
        <v>39</v>
      </c>
      <c r="E10" s="26" t="s">
        <v>32</v>
      </c>
      <c r="F10" s="158" t="n">
        <f aca="false">ינואר!E10+פברואר!E10+מרץ!E10+אפריל!E10+מאי!E10+יוני!E10+יולי!F10+אוגוסט!F10+ספטמבר!F10</f>
        <v>148594.22</v>
      </c>
      <c r="G10" s="158" t="n">
        <f aca="false">ינואר!F10+פברואר!F10+מרץ!F10+אפריל!F10+מאי!F10+יוני!F10+יולי!G10+אוגוסט!G10+ספטמבר!G10</f>
        <v>136440.48</v>
      </c>
      <c r="H10" s="158" t="n">
        <f aca="false">ינואר!G10+פברואר!G10+מרץ!G10+אפריל!G10+מאי!G10+יוני!G10+יולי!H10+אוגוסט!H10+ספטמבר!H10</f>
        <v>79418.59</v>
      </c>
      <c r="I10" s="167" t="n">
        <f aca="false">IFERROR(H10/G10-1,"")</f>
        <v>-0.417925017560771</v>
      </c>
      <c r="J10" s="158" t="n">
        <f aca="false">H10-G10</f>
        <v>-57021.89</v>
      </c>
      <c r="L10" s="158" t="n">
        <f aca="false">ינואר!J10+פברואר!J10+מרץ!J10+אפריל!J10+מאי!J10+יוני!J10+יולי!M10+אוגוסט!M10+ספטמבר!M10</f>
        <v>140238.095238095</v>
      </c>
      <c r="M10" s="167" t="n">
        <f aca="false">IFERROR(H10/L10-1,"")</f>
        <v>-0.43368747368421</v>
      </c>
      <c r="N10" s="158" t="n">
        <f aca="false">H10-L10</f>
        <v>-60819.5052380952</v>
      </c>
      <c r="P10" s="166" t="n">
        <v>106235.08</v>
      </c>
      <c r="Q10" s="167" t="n">
        <f aca="false">IFERROR(H10/P10,"-")</f>
        <v>0.747574059340851</v>
      </c>
      <c r="R10" s="166" t="n">
        <f aca="false">H10-P10</f>
        <v>-26816.49</v>
      </c>
    </row>
    <row r="11" customFormat="false" ht="14.25" hidden="false" customHeight="true" outlineLevel="0" collapsed="false">
      <c r="A11" s="168" t="n">
        <v>11</v>
      </c>
      <c r="B11" s="166" t="s">
        <v>141</v>
      </c>
      <c r="C11" s="166" t="s">
        <v>40</v>
      </c>
      <c r="D11" s="166" t="s">
        <v>40</v>
      </c>
      <c r="E11" s="26" t="s">
        <v>32</v>
      </c>
      <c r="F11" s="158" t="n">
        <f aca="false">ינואר!E11+פברואר!E11+מרץ!E11+אפריל!E11+מאי!E11+יוני!E11+יולי!F11+אוגוסט!F11+ספטמבר!F11</f>
        <v>53025.06</v>
      </c>
      <c r="G11" s="158" t="n">
        <f aca="false">ינואר!F11+פברואר!F11+מרץ!F11+אפריל!F11+מאי!F11+יוני!F11+יולי!G11+אוגוסט!G11+ספטמבר!G11</f>
        <v>46316.38</v>
      </c>
      <c r="H11" s="158" t="n">
        <f aca="false">ינואר!G11+פברואר!G11+מרץ!G11+אפריל!G11+מאי!G11+יוני!G11+יולי!H11+אוגוסט!H11+ספטמבר!H11</f>
        <v>45013.96</v>
      </c>
      <c r="I11" s="167" t="n">
        <f aca="false">IFERROR(H11/G11-1,"")</f>
        <v>-0.0281200732872474</v>
      </c>
      <c r="J11" s="158" t="n">
        <f aca="false">H11-G11</f>
        <v>-1302.42</v>
      </c>
      <c r="L11" s="158" t="n">
        <f aca="false">ינואר!J11+פברואר!J11+מרץ!J11+אפריל!J11+מאי!J11+יוני!J11+יולי!M11+אוגוסט!M11+ספטמבר!M11</f>
        <v>72809.5238095238</v>
      </c>
      <c r="M11" s="167" t="n">
        <f aca="false">IFERROR(H11/L11-1,"")</f>
        <v>-0.381757253106606</v>
      </c>
      <c r="N11" s="158" t="n">
        <f aca="false">H11-L11</f>
        <v>-27795.5638095238</v>
      </c>
      <c r="P11" s="166" t="n">
        <v>64015.41</v>
      </c>
      <c r="Q11" s="167" t="n">
        <f aca="false">IFERROR(H11/P11,"-")</f>
        <v>0.703173813930115</v>
      </c>
      <c r="R11" s="166" t="n">
        <f aca="false">H11-P11</f>
        <v>-19001.45</v>
      </c>
    </row>
    <row r="12" customFormat="false" ht="14.25" hidden="false" customHeight="true" outlineLevel="0" collapsed="false">
      <c r="A12" s="168" t="n">
        <v>14</v>
      </c>
      <c r="B12" s="166" t="s">
        <v>142</v>
      </c>
      <c r="C12" s="166" t="s">
        <v>41</v>
      </c>
      <c r="D12" s="166" t="s">
        <v>41</v>
      </c>
      <c r="E12" s="26" t="s">
        <v>32</v>
      </c>
      <c r="F12" s="158" t="n">
        <f aca="false">ינואר!E12+פברואר!E12+מרץ!E12+אפריל!E12+מאי!E12+יוני!E12+יולי!F12+אוגוסט!F12+ספטמבר!F12</f>
        <v>2380.1</v>
      </c>
      <c r="G12" s="158" t="n">
        <f aca="false">ינואר!F12+פברואר!F12+מרץ!F12+אפריל!F12+מאי!F12+יוני!F12+יולי!G12+אוגוסט!G12+ספטמבר!G12</f>
        <v>2977.14</v>
      </c>
      <c r="H12" s="158" t="n">
        <f aca="false">ינואר!G12+פברואר!G12+מרץ!G12+אפריל!G12+מאי!G12+יוני!G12+יולי!H12+אוגוסט!H12+ספטמבר!H12</f>
        <v>4305.02</v>
      </c>
      <c r="I12" s="167" t="n">
        <f aca="false">IFERROR(H12/G12-1,"")</f>
        <v>0.446025380062745</v>
      </c>
      <c r="J12" s="158" t="n">
        <f aca="false">H12-G12</f>
        <v>1327.88</v>
      </c>
      <c r="L12" s="158" t="n">
        <f aca="false">ינואר!J12+פברואר!J12+מרץ!J12+אפריל!J12+מאי!J12+יוני!J12+יולי!M12+אוגוסט!M12+ספטמבר!M12</f>
        <v>0</v>
      </c>
      <c r="M12" s="167" t="str">
        <f aca="false">IFERROR(H12/L12-1,"")</f>
        <v/>
      </c>
      <c r="N12" s="158" t="n">
        <f aca="false">H12-L12</f>
        <v>4305.02</v>
      </c>
      <c r="P12" s="166" t="n">
        <v>18576.15</v>
      </c>
      <c r="Q12" s="167" t="n">
        <f aca="false">IFERROR(H12/P12,"-")</f>
        <v>0.231749851287807</v>
      </c>
      <c r="R12" s="166" t="n">
        <f aca="false">H12-P12</f>
        <v>-14271.13</v>
      </c>
    </row>
    <row r="13" customFormat="false" ht="14.25" hidden="false" customHeight="true" outlineLevel="0" collapsed="false">
      <c r="A13" s="168" t="n">
        <v>15</v>
      </c>
      <c r="B13" s="166" t="s">
        <v>139</v>
      </c>
      <c r="C13" s="166" t="s">
        <v>47</v>
      </c>
      <c r="D13" s="166" t="s">
        <v>47</v>
      </c>
      <c r="E13" s="26" t="s">
        <v>32</v>
      </c>
      <c r="F13" s="158" t="n">
        <f aca="false">ינואר!E13+פברואר!E13+מרץ!E13+אפריל!E13+מאי!E13+יוני!E13+יולי!F13+אוגוסט!F13+ספטמבר!F13</f>
        <v>1597.46</v>
      </c>
      <c r="G13" s="158" t="n">
        <f aca="false">ינואר!F13+פברואר!F13+מרץ!F13+אפריל!F13+מאי!F13+יוני!F13+יולי!G13+אוגוסט!G13+ספטמבר!G13</f>
        <v>0</v>
      </c>
      <c r="H13" s="158" t="n">
        <f aca="false">ינואר!G13+פברואר!G13+מרץ!G13+אפריל!G13+מאי!G13+יוני!G13+יולי!H13+אוגוסט!H13+ספטמבר!H13</f>
        <v>1896.82</v>
      </c>
      <c r="I13" s="167" t="str">
        <f aca="false">IFERROR(H13/G13-1,"")</f>
        <v/>
      </c>
      <c r="J13" s="158" t="n">
        <f aca="false">H13-G13</f>
        <v>1896.82</v>
      </c>
      <c r="L13" s="158" t="n">
        <f aca="false">ינואר!J13+פברואר!J13+מרץ!J13+אפריל!J13+מאי!J13+יוני!J13+יולי!M13+אוגוסט!M13+ספטמבר!M13</f>
        <v>12500</v>
      </c>
      <c r="M13" s="167" t="n">
        <f aca="false">IFERROR(H13/L13-1,"")</f>
        <v>-0.8482544</v>
      </c>
      <c r="N13" s="158" t="n">
        <f aca="false">H13-L13</f>
        <v>-10603.18</v>
      </c>
      <c r="P13" s="166" t="n">
        <v>16896.82</v>
      </c>
      <c r="Q13" s="167" t="n">
        <f aca="false">IFERROR(H13/P13,"-")</f>
        <v>0.112258993112313</v>
      </c>
      <c r="R13" s="166" t="n">
        <f aca="false">H13-P13</f>
        <v>-15000</v>
      </c>
    </row>
    <row r="14" customFormat="false" ht="14.25" hidden="false" customHeight="true" outlineLevel="0" collapsed="false">
      <c r="A14" s="168" t="n">
        <v>13</v>
      </c>
      <c r="B14" s="166" t="s">
        <v>145</v>
      </c>
      <c r="C14" s="166" t="s">
        <v>43</v>
      </c>
      <c r="D14" s="166" t="s">
        <v>43</v>
      </c>
      <c r="E14" s="26" t="s">
        <v>32</v>
      </c>
      <c r="F14" s="158" t="n">
        <f aca="false">ינואר!E14+פברואר!E14+מרץ!E14+אפריל!E14+מאי!E14+יוני!E14+יולי!F14+אוגוסט!F14+ספטמבר!F14</f>
        <v>5854.85</v>
      </c>
      <c r="G14" s="158" t="n">
        <f aca="false">ינואר!F14+פברואר!F14+מרץ!F14+אפריל!F14+מאי!F14+יוני!F14+יולי!G14+אוגוסט!G14+ספטמבר!G14</f>
        <v>11718.66</v>
      </c>
      <c r="H14" s="158" t="n">
        <f aca="false">ינואר!G14+פברואר!G14+מרץ!G14+אפריל!G14+מאי!G14+יוני!G14+יולי!H14+אוגוסט!H14+ספטמבר!H14</f>
        <v>14953.48</v>
      </c>
      <c r="I14" s="167" t="n">
        <f aca="false">IFERROR(H14/G14-1,"")</f>
        <v>0.27604009332125</v>
      </c>
      <c r="J14" s="158" t="n">
        <f aca="false">H14-G14</f>
        <v>3234.82</v>
      </c>
      <c r="L14" s="158" t="n">
        <f aca="false">ינואר!J14+פברואר!J14+מרץ!J14+אפריל!J14+מאי!J14+יוני!J14+יולי!M14+אוגוסט!M14+ספטמבר!M14</f>
        <v>300000</v>
      </c>
      <c r="M14" s="167" t="n">
        <f aca="false">IFERROR(H14/L14-1,"")</f>
        <v>-0.950155066666667</v>
      </c>
      <c r="N14" s="158" t="n">
        <f aca="false">H14-L14</f>
        <v>-285046.52</v>
      </c>
      <c r="P14" s="166" t="n">
        <v>22748.72</v>
      </c>
      <c r="Q14" s="167" t="n">
        <f aca="false">IFERROR(H14/P14,"-")</f>
        <v>0.657332808175581</v>
      </c>
      <c r="R14" s="166" t="n">
        <f aca="false">H14-P14</f>
        <v>-7795.24</v>
      </c>
    </row>
    <row r="15" customFormat="false" ht="14.25" hidden="false" customHeight="true" outlineLevel="0" collapsed="false">
      <c r="A15" s="168" t="n">
        <v>9</v>
      </c>
      <c r="B15" s="166" t="s">
        <v>140</v>
      </c>
      <c r="C15" s="166" t="s">
        <v>44</v>
      </c>
      <c r="D15" s="166" t="s">
        <v>44</v>
      </c>
      <c r="E15" s="26" t="s">
        <v>32</v>
      </c>
      <c r="F15" s="158" t="n">
        <f aca="false">ינואר!E15+פברואר!E15+מרץ!E15+אפריל!E15+מאי!E15+יוני!E15+יולי!F15+אוגוסט!F15+ספטמבר!F15</f>
        <v>61289.16</v>
      </c>
      <c r="G15" s="158" t="n">
        <f aca="false">ינואר!F15+פברואר!F15+מרץ!F15+אפריל!F15+מאי!F15+יוני!F15+יולי!G15+אוגוסט!G15+ספטמבר!G15</f>
        <v>77370.67</v>
      </c>
      <c r="H15" s="158" t="n">
        <f aca="false">ינואר!G15+פברואר!G15+מרץ!G15+אפריל!G15+מאי!G15+יוני!G15+יולי!H15+אוגוסט!H15+ספטמבר!H15</f>
        <v>118677.26</v>
      </c>
      <c r="I15" s="167" t="n">
        <f aca="false">IFERROR(H15/G15-1,"")</f>
        <v>0.533879181865686</v>
      </c>
      <c r="J15" s="158" t="n">
        <f aca="false">H15-G15</f>
        <v>41306.59</v>
      </c>
      <c r="L15" s="158" t="n">
        <f aca="false">ינואר!J15+פברואר!J15+מרץ!J15+אפריל!J15+מאי!J15+יוני!J15+יולי!M15+אוגוסט!M15+ספטמבר!M15</f>
        <v>147619.047619048</v>
      </c>
      <c r="M15" s="167" t="n">
        <f aca="false">IFERROR(H15/L15-1,"")</f>
        <v>-0.196057270967743</v>
      </c>
      <c r="N15" s="158" t="n">
        <f aca="false">H15-L15</f>
        <v>-28941.7876190479</v>
      </c>
      <c r="P15" s="166" t="n">
        <v>164111.1</v>
      </c>
      <c r="Q15" s="167" t="n">
        <f aca="false">IFERROR(H15/P15,"-")</f>
        <v>0.723151937924979</v>
      </c>
      <c r="R15" s="166" t="n">
        <f aca="false">H15-P15</f>
        <v>-45433.84</v>
      </c>
    </row>
    <row r="16" customFormat="false" ht="15" hidden="false" customHeight="true" outlineLevel="0" collapsed="false">
      <c r="A16" s="170"/>
      <c r="B16" s="171"/>
      <c r="C16" s="171" t="s">
        <v>119</v>
      </c>
      <c r="D16" s="171" t="s">
        <v>119</v>
      </c>
      <c r="E16" s="171"/>
      <c r="F16" s="171" t="n">
        <f aca="false">SUM(F3:F15)</f>
        <v>12770677.99</v>
      </c>
      <c r="G16" s="171" t="n">
        <f aca="false">SUM(G3:G15)</f>
        <v>12652684.662</v>
      </c>
      <c r="H16" s="171" t="n">
        <f aca="false">SUM(H3:H15)</f>
        <v>11790075.781</v>
      </c>
      <c r="I16" s="172" t="n">
        <f aca="false">IFERROR(H16/G16-1,"")</f>
        <v>-0.0681759566482141</v>
      </c>
      <c r="J16" s="171" t="n">
        <f aca="false">SUM(J3:J15)</f>
        <v>-862608.881000039</v>
      </c>
      <c r="L16" s="171" t="n">
        <f aca="false">SUM(L3:L15)</f>
        <v>15305333.3333333</v>
      </c>
      <c r="M16" s="172" t="n">
        <f aca="false">IFERROR(H16/L16-1,"")</f>
        <v>-0.229675334458577</v>
      </c>
      <c r="N16" s="171" t="n">
        <f aca="false">SUM(N3:N15)</f>
        <v>-3515257.55233334</v>
      </c>
      <c r="P16" s="171" t="n">
        <f aca="false">SUM(P3:P15)</f>
        <v>12564549.047</v>
      </c>
      <c r="Q16" s="172" t="n">
        <f aca="false">IFERROR(H16/P16,"-")</f>
        <v>0.938360440704801</v>
      </c>
      <c r="R16" s="171" t="n">
        <f aca="false">E16-P16</f>
        <v>-12564549.047</v>
      </c>
    </row>
    <row r="17" customFormat="false" ht="14.25" hidden="false" customHeight="true" outlineLevel="0" collapsed="false">
      <c r="A17" s="168" t="n">
        <v>2</v>
      </c>
      <c r="B17" s="166" t="s">
        <v>149</v>
      </c>
      <c r="C17" s="166" t="s">
        <v>45</v>
      </c>
      <c r="D17" s="166" t="s">
        <v>45</v>
      </c>
      <c r="E17" s="26" t="s">
        <v>32</v>
      </c>
      <c r="F17" s="158" t="n">
        <f aca="false">ינואר!E17+פברואר!E17+מרץ!E17+אפריל!E17+מאי!E17+יוני!E17+יולי!F17+אוגוסט!F17+ספטמבר!F17</f>
        <v>429620.91</v>
      </c>
      <c r="G17" s="158" t="n">
        <f aca="false">ינואר!F17+פברואר!F17+מרץ!F17+אפריל!F17+מאי!F17+יוני!F17+יולי!G17+אוגוסט!G17+ספטמבר!G17</f>
        <v>1057143.21</v>
      </c>
      <c r="H17" s="158" t="n">
        <f aca="false">ינואר!G17+פברואר!G17+מרץ!G17+אפריל!G17+מאי!G17+יוני!G17+יולי!H17+אוגוסט!H17+ספטמבר!H17</f>
        <v>3368003.31000003</v>
      </c>
      <c r="I17" s="167" t="n">
        <f aca="false">IFERROR(H17/G17-1,"")</f>
        <v>2.18594801360928</v>
      </c>
      <c r="J17" s="158" t="n">
        <f aca="false">H17-G17</f>
        <v>2310860.10000003</v>
      </c>
      <c r="L17" s="158" t="n">
        <f aca="false">ינואר!J17+פברואר!J17+מרץ!J17+אפריל!J17+מאי!J17+יוני!J17+יולי!M17+אוגוסט!M17+ספטמבר!M17</f>
        <v>6314447.45762712</v>
      </c>
      <c r="M17" s="167" t="n">
        <f aca="false">IFERROR(H17/L17-1,"")</f>
        <v>-0.466619473421721</v>
      </c>
      <c r="N17" s="158" t="n">
        <f aca="false">H17-L17</f>
        <v>-2946444.14762709</v>
      </c>
      <c r="P17" s="166" t="n">
        <v>4139839.04745766</v>
      </c>
      <c r="Q17" s="167" t="n">
        <f aca="false">IFERROR(H17/P17,"-")</f>
        <v>0.813558998644735</v>
      </c>
      <c r="R17" s="166" t="n">
        <f aca="false">H17-P17</f>
        <v>-771835.737457632</v>
      </c>
    </row>
    <row r="18" customFormat="false" ht="14.25" hidden="false" customHeight="true" outlineLevel="0" collapsed="false">
      <c r="A18" s="168" t="n">
        <v>12</v>
      </c>
      <c r="B18" s="166" t="s">
        <v>150</v>
      </c>
      <c r="C18" s="166" t="s">
        <v>46</v>
      </c>
      <c r="D18" s="166" t="s">
        <v>46</v>
      </c>
      <c r="E18" s="26" t="s">
        <v>32</v>
      </c>
      <c r="F18" s="158" t="n">
        <f aca="false">ינואר!E18+פברואר!E18+מרץ!E18+אפריל!E18+מאי!E18+יוני!E18+יולי!F18+אוגוסט!F18+ספטמבר!F18</f>
        <v>25303.93</v>
      </c>
      <c r="G18" s="158" t="n">
        <f aca="false">ינואר!F18+פברואר!F18+מרץ!F18+אפריל!F18+מאי!F18+יוני!F18+יולי!G18+אוגוסט!G18+ספטמבר!G18</f>
        <v>22943.14</v>
      </c>
      <c r="H18" s="158" t="n">
        <f aca="false">ינואר!G18+פברואר!G18+מרץ!G18+אפריל!G18+מאי!G18+יוני!G18+יולי!H18+אוגוסט!H18+ספטמבר!H18</f>
        <v>13580.48</v>
      </c>
      <c r="I18" s="167" t="n">
        <f aca="false">IFERROR(H18/G18-1,"")</f>
        <v>-0.408081021167983</v>
      </c>
      <c r="J18" s="158" t="n">
        <f aca="false">H18-G18</f>
        <v>-9362.66</v>
      </c>
      <c r="L18" s="158" t="n">
        <f aca="false">ינואר!J18+פברואר!J18+מרץ!J18+אפריל!J18+מאי!J18+יוני!J18+יולי!M18+אוגוסט!M18+ספטמבר!M18</f>
        <v>22832.355</v>
      </c>
      <c r="M18" s="167" t="n">
        <f aca="false">IFERROR(H18/L18-1,"")</f>
        <v>-0.405208967712703</v>
      </c>
      <c r="N18" s="158" t="n">
        <f aca="false">H18-L18</f>
        <v>-9251.87499999997</v>
      </c>
      <c r="P18" s="166" t="n">
        <v>24807.02</v>
      </c>
      <c r="Q18" s="167" t="n">
        <f aca="false">IFERROR(H18/P18,"-")</f>
        <v>0.547445037735286</v>
      </c>
      <c r="R18" s="166" t="n">
        <f aca="false">H18-P18</f>
        <v>-11226.54</v>
      </c>
    </row>
    <row r="19" customFormat="false" ht="15" hidden="false" customHeight="true" outlineLevel="0" collapsed="false">
      <c r="A19" s="169"/>
      <c r="B19" s="171"/>
      <c r="C19" s="171" t="s">
        <v>48</v>
      </c>
      <c r="D19" s="171" t="s">
        <v>48</v>
      </c>
      <c r="E19" s="171"/>
      <c r="F19" s="171" t="n">
        <f aca="false">F16+F17+F18</f>
        <v>13225602.83</v>
      </c>
      <c r="G19" s="171" t="n">
        <f aca="false">G16+G17+G18</f>
        <v>13732771.012</v>
      </c>
      <c r="H19" s="171" t="n">
        <f aca="false">H16+H17+H18</f>
        <v>15171659.571</v>
      </c>
      <c r="I19" s="172" t="n">
        <f aca="false">IFERROR(H19/G19-1,"")</f>
        <v>0.104777728962542</v>
      </c>
      <c r="J19" s="171" t="n">
        <f aca="false">J16+J17+J18</f>
        <v>1438888.55899999</v>
      </c>
      <c r="L19" s="171" t="n">
        <f aca="false">L16+L17+L18</f>
        <v>21642613.1459605</v>
      </c>
      <c r="M19" s="172" t="n">
        <f aca="false">IFERROR(H19/L19-1,"")</f>
        <v>-0.298991324722182</v>
      </c>
      <c r="N19" s="171" t="n">
        <f aca="false">N16+N17+N18</f>
        <v>-6470953.57496043</v>
      </c>
      <c r="P19" s="171" t="n">
        <f aca="false">P16+P17+P18</f>
        <v>16729195.1144577</v>
      </c>
      <c r="Q19" s="172" t="n">
        <f aca="false">IFERROR(H19/P19,"-")</f>
        <v>0.906897161949437</v>
      </c>
      <c r="R19" s="171" t="n">
        <f aca="false">E19-P19</f>
        <v>-16729195.1144577</v>
      </c>
    </row>
    <row r="20" customFormat="false" ht="14.25" hidden="false" customHeight="true" outlineLevel="0" collapsed="false">
      <c r="A20" s="169" t="n">
        <v>50</v>
      </c>
      <c r="B20" s="166" t="s">
        <v>155</v>
      </c>
      <c r="C20" s="166" t="s">
        <v>49</v>
      </c>
      <c r="D20" s="166" t="s">
        <v>50</v>
      </c>
      <c r="E20" s="26" t="s">
        <v>51</v>
      </c>
      <c r="F20" s="158" t="n">
        <f aca="false">ינואר!E20+פברואר!E20+מרץ!E20+אפריל!E20+מאי!E20+יוני!E20+יולי!F20+אוגוסט!F20+ספטמבר!F20</f>
        <v>2906580.68</v>
      </c>
      <c r="G20" s="158" t="n">
        <f aca="false">ינואר!F20+פברואר!F20+מרץ!F20+אפריל!F20+מאי!F20+יוני!F20+יולי!G20+אוגוסט!G20+ספטמבר!G20</f>
        <v>2028417.51</v>
      </c>
      <c r="H20" s="158" t="n">
        <f aca="false">ינואר!G20+פברואר!G20+מרץ!G20+אפריל!G20+מאי!G20+יוני!G20+יולי!H20+אוגוסט!H20+ספטמבר!H20</f>
        <v>1879662.74</v>
      </c>
      <c r="I20" s="167" t="n">
        <f aca="false">IFERROR(H20/G20-1,"")</f>
        <v>-0.0733353805450044</v>
      </c>
      <c r="J20" s="158" t="n">
        <f aca="false">H20-G20</f>
        <v>-148754.77</v>
      </c>
      <c r="L20" s="158" t="n">
        <f aca="false">ינואר!J20+פברואר!J20+מרץ!J20+אפריל!J20+מאי!J20+יוני!J20+יולי!M20+אוגוסט!M20+ספטמבר!M20</f>
        <v>3531906.2241375</v>
      </c>
      <c r="M20" s="167" t="n">
        <f aca="false">IFERROR(H20/L20-1,"")</f>
        <v>-0.467805026318608</v>
      </c>
      <c r="N20" s="158" t="n">
        <f aca="false">H20-L20</f>
        <v>-1652243.4841375</v>
      </c>
      <c r="P20" s="166" t="n">
        <v>2152452.41</v>
      </c>
      <c r="Q20" s="167" t="n">
        <f aca="false">IFERROR(H20/P20,"-")</f>
        <v>0.873265644000928</v>
      </c>
      <c r="R20" s="166" t="n">
        <f aca="false">H20-P20</f>
        <v>-272789.67</v>
      </c>
    </row>
    <row r="21" customFormat="false" ht="14.25" hidden="false" customHeight="true" outlineLevel="0" collapsed="false">
      <c r="A21" s="169" t="n">
        <v>20</v>
      </c>
      <c r="B21" s="166" t="s">
        <v>151</v>
      </c>
      <c r="C21" s="166" t="s">
        <v>52</v>
      </c>
      <c r="D21" s="166" t="s">
        <v>53</v>
      </c>
      <c r="E21" s="26" t="s">
        <v>54</v>
      </c>
      <c r="F21" s="158" t="n">
        <f aca="false">ינואר!E21+פברואר!E21+מרץ!E21+אפריל!E21+מאי!E21+יוני!E21+יולי!F21+אוגוסט!F21+ספטמבר!F21</f>
        <v>741409.27</v>
      </c>
      <c r="G21" s="158" t="n">
        <f aca="false">ינואר!F21+פברואר!F21+מרץ!F21+אפריל!F21+מאי!F21+יוני!F21+יולי!G21+אוגוסט!G21+ספטמבר!G21</f>
        <v>617670.46</v>
      </c>
      <c r="H21" s="158" t="n">
        <f aca="false">ינואר!G21+פברואר!G21+מרץ!G21+אפריל!G21+מאי!G21+יוני!G21+יולי!H21+אוגוסט!H21+ספטמבר!H21</f>
        <v>474182.59</v>
      </c>
      <c r="I21" s="167" t="n">
        <f aca="false">IFERROR(H21/G21-1,"")</f>
        <v>-0.232304892806433</v>
      </c>
      <c r="J21" s="158" t="n">
        <f aca="false">H21-G21</f>
        <v>-143487.87</v>
      </c>
      <c r="L21" s="158" t="n">
        <f aca="false">ינואר!J21+פברואר!J21+מרץ!J21+אפריל!J21+מאי!J21+יוני!J21+יולי!M21+אוגוסט!M21+ספטמבר!M21</f>
        <v>676200</v>
      </c>
      <c r="M21" s="167" t="n">
        <f aca="false">IFERROR(H21/L21-1,"")</f>
        <v>-0.298753933747412</v>
      </c>
      <c r="N21" s="158" t="n">
        <f aca="false">H21-L21</f>
        <v>-202017.41</v>
      </c>
      <c r="P21" s="166" t="n">
        <v>472081.02</v>
      </c>
      <c r="Q21" s="167" t="n">
        <f aca="false">IFERROR(H21/P21,"-")</f>
        <v>1.00445171466542</v>
      </c>
      <c r="R21" s="166" t="n">
        <f aca="false">H21-P21</f>
        <v>2101.57000000001</v>
      </c>
    </row>
    <row r="22" customFormat="false" ht="14.25" hidden="false" customHeight="true" outlineLevel="0" collapsed="false">
      <c r="A22" s="169" t="n">
        <v>21</v>
      </c>
      <c r="B22" s="166" t="s">
        <v>157</v>
      </c>
      <c r="C22" s="166" t="s">
        <v>55</v>
      </c>
      <c r="D22" s="166" t="s">
        <v>56</v>
      </c>
      <c r="E22" s="26" t="s">
        <v>57</v>
      </c>
      <c r="F22" s="158" t="n">
        <f aca="false">ינואר!E22+פברואר!E22+מרץ!E22+אפריל!E22+מאי!E22+יוני!E22+יולי!F22+אוגוסט!F22+ספטמבר!F22</f>
        <v>412922.25</v>
      </c>
      <c r="G22" s="158" t="n">
        <f aca="false">ינואר!F22+פברואר!F22+מרץ!F22+אפריל!F22+מאי!F22+יוני!F22+יולי!G22+אוגוסט!G22+ספטמבר!G22</f>
        <v>351270.78</v>
      </c>
      <c r="H22" s="158" t="n">
        <f aca="false">ינואר!G22+פברואר!G22+מרץ!G22+אפריל!G22+מאי!G22+יוני!G22+יולי!H22+אוגוסט!H22+ספטמבר!H22</f>
        <v>344263.09</v>
      </c>
      <c r="I22" s="167" t="n">
        <f aca="false">IFERROR(H22/G22-1,"")</f>
        <v>-0.019949538643664</v>
      </c>
      <c r="J22" s="158" t="n">
        <f aca="false">H22-G22</f>
        <v>-7007.69</v>
      </c>
      <c r="L22" s="158" t="n">
        <f aca="false">ינואר!J22+פברואר!J22+מרץ!J22+אפריל!J22+מאי!J22+יוני!J22+יולי!M22+אוגוסט!M22+ספטמבר!M22</f>
        <v>450000.27</v>
      </c>
      <c r="M22" s="167" t="n">
        <f aca="false">IFERROR(H22/L22-1,"")</f>
        <v>-0.234971370128289</v>
      </c>
      <c r="N22" s="158" t="n">
        <f aca="false">H22-L22</f>
        <v>-105737.18</v>
      </c>
      <c r="P22" s="166" t="n">
        <v>393276.52</v>
      </c>
      <c r="Q22" s="167" t="n">
        <f aca="false">IFERROR(H22/P22,"-")</f>
        <v>0.875371583332765</v>
      </c>
      <c r="R22" s="166" t="n">
        <f aca="false">H22-P22</f>
        <v>-49013.43</v>
      </c>
    </row>
    <row r="23" customFormat="false" ht="14.25" hidden="false" customHeight="true" outlineLevel="0" collapsed="false">
      <c r="A23" s="169" t="n">
        <v>22</v>
      </c>
      <c r="B23" s="166" t="s">
        <v>159</v>
      </c>
      <c r="C23" s="166" t="s">
        <v>58</v>
      </c>
      <c r="D23" s="166" t="s">
        <v>59</v>
      </c>
      <c r="E23" s="26" t="s">
        <v>60</v>
      </c>
      <c r="F23" s="158" t="n">
        <f aca="false">ינואר!E23+פברואר!E23+מרץ!E23+אפריל!E23+מאי!E23+יוני!E23+יולי!F23+אוגוסט!F23+ספטמבר!F23</f>
        <v>322584.47</v>
      </c>
      <c r="G23" s="158" t="n">
        <f aca="false">ינואר!F23+פברואר!F23+מרץ!F23+אפריל!F23+מאי!F23+יוני!F23+יולי!G23+אוגוסט!G23+ספטמבר!G23</f>
        <v>330674.85</v>
      </c>
      <c r="H23" s="158" t="n">
        <f aca="false">ינואר!G23+פברואר!G23+מרץ!G23+אפריל!G23+מאי!G23+יוני!G23+יולי!H23+אוגוסט!H23+ספטמבר!H23</f>
        <v>358276.36</v>
      </c>
      <c r="I23" s="167" t="n">
        <f aca="false">IFERROR(H23/G23-1,"")</f>
        <v>0.0834702427475207</v>
      </c>
      <c r="J23" s="158" t="n">
        <f aca="false">H23-G23</f>
        <v>27601.51</v>
      </c>
      <c r="L23" s="158" t="n">
        <f aca="false">ינואר!J23+פברואר!J23+מרץ!J23+אפריל!J23+מאי!J23+יוני!J23+יולי!M23+אוגוסט!M23+ספטמבר!M23</f>
        <v>417158.97</v>
      </c>
      <c r="M23" s="167" t="n">
        <f aca="false">IFERROR(H23/L23-1,"")</f>
        <v>-0.14115148956284</v>
      </c>
      <c r="N23" s="158" t="n">
        <f aca="false">H23-L23</f>
        <v>-58882.61</v>
      </c>
      <c r="P23" s="166" t="n">
        <v>382053.13</v>
      </c>
      <c r="Q23" s="167" t="n">
        <f aca="false">IFERROR(H23/P23,"-")</f>
        <v>0.937765802363666</v>
      </c>
      <c r="R23" s="166" t="n">
        <f aca="false">H23-P23</f>
        <v>-23776.77</v>
      </c>
    </row>
    <row r="24" customFormat="false" ht="14.25" hidden="false" customHeight="true" outlineLevel="0" collapsed="false">
      <c r="A24" s="169" t="n">
        <v>23</v>
      </c>
      <c r="B24" s="166" t="s">
        <v>154</v>
      </c>
      <c r="C24" s="166" t="s">
        <v>61</v>
      </c>
      <c r="D24" s="166" t="s">
        <v>62</v>
      </c>
      <c r="E24" s="26" t="s">
        <v>63</v>
      </c>
      <c r="F24" s="158" t="n">
        <f aca="false">ינואר!E24+פברואר!E24+מרץ!E24+אפריל!E24+מאי!E24+יוני!E24+יולי!F24+אוגוסט!F24+ספטמבר!F24</f>
        <v>110944.93</v>
      </c>
      <c r="G24" s="158" t="n">
        <f aca="false">ינואר!F24+פברואר!F24+מרץ!F24+אפריל!F24+מאי!F24+יוני!F24+יולי!G24+אוגוסט!G24+ספטמבר!G24</f>
        <v>91180.65</v>
      </c>
      <c r="H24" s="158" t="n">
        <f aca="false">ינואר!G24+פברואר!G24+מרץ!G24+אפריל!G24+מאי!G24+יוני!G24+יולי!H24+אוגוסט!H24+ספטמבר!H24</f>
        <v>111290.53</v>
      </c>
      <c r="I24" s="167" t="n">
        <f aca="false">IFERROR(H24/G24-1,"")</f>
        <v>0.220549864472342</v>
      </c>
      <c r="J24" s="158" t="n">
        <f aca="false">H24-G24</f>
        <v>20109.88</v>
      </c>
      <c r="L24" s="158" t="n">
        <f aca="false">ינואר!J24+פברואר!J24+מרץ!J24+אפריל!J24+מאי!J24+יוני!J24+יולי!M24+אוגוסט!M24+ספטמבר!M24</f>
        <v>113774.92</v>
      </c>
      <c r="M24" s="167" t="n">
        <f aca="false">IFERROR(H24/L24-1,"")</f>
        <v>-0.0218360074434683</v>
      </c>
      <c r="N24" s="158" t="n">
        <f aca="false">H24-L24</f>
        <v>-2484.39</v>
      </c>
      <c r="P24" s="166" t="n">
        <v>111678.59</v>
      </c>
      <c r="Q24" s="167" t="n">
        <f aca="false">IFERROR(H24/P24,"-")</f>
        <v>0.996525206845824</v>
      </c>
      <c r="R24" s="166" t="n">
        <f aca="false">H24-P24</f>
        <v>-388.059999999998</v>
      </c>
    </row>
    <row r="25" customFormat="false" ht="14.25" hidden="false" customHeight="true" outlineLevel="0" collapsed="false">
      <c r="A25" s="169" t="n">
        <v>24</v>
      </c>
      <c r="B25" s="166" t="s">
        <v>156</v>
      </c>
      <c r="C25" s="166" t="s">
        <v>64</v>
      </c>
      <c r="D25" s="166" t="s">
        <v>65</v>
      </c>
      <c r="E25" s="26" t="s">
        <v>66</v>
      </c>
      <c r="F25" s="158" t="n">
        <f aca="false">ינואר!E25+פברואר!E25+מרץ!E25+אפריל!E25+מאי!E25+יוני!E25+יולי!F25+אוגוסט!F25+ספטמבר!F25</f>
        <v>116140.05</v>
      </c>
      <c r="G25" s="158" t="n">
        <f aca="false">ינואר!F25+פברואר!F25+מרץ!F25+אפריל!F25+מאי!F25+יוני!F25+יולי!G25+אוגוסט!G25+ספטמבר!G25</f>
        <v>52899.82</v>
      </c>
      <c r="H25" s="158" t="n">
        <f aca="false">ינואר!G25+פברואר!G25+מרץ!G25+אפריל!G25+מאי!G25+יוני!G25+יולי!H25+אוגוסט!H25+ספטמבר!H25</f>
        <v>0</v>
      </c>
      <c r="I25" s="167" t="n">
        <f aca="false">IFERROR(H25/G25-1,"")</f>
        <v>-1</v>
      </c>
      <c r="J25" s="158" t="n">
        <f aca="false">H25-G25</f>
        <v>-52899.82</v>
      </c>
      <c r="L25" s="158" t="n">
        <f aca="false">ינואר!J25+פברואר!J25+מרץ!J25+אפריל!J25+מאי!J25+יוני!J25+יולי!M25+אוגוסט!M25+ספטמבר!M25</f>
        <v>35000</v>
      </c>
      <c r="M25" s="167" t="n">
        <f aca="false">IFERROR(H25/L25-1,"")</f>
        <v>-1</v>
      </c>
      <c r="N25" s="158" t="n">
        <f aca="false">H25-L25</f>
        <v>-35000</v>
      </c>
      <c r="P25" s="166" t="n">
        <v>0</v>
      </c>
      <c r="Q25" s="167" t="str">
        <f aca="false">IFERROR(H25/P25,"-")</f>
        <v>-</v>
      </c>
      <c r="R25" s="166" t="n">
        <f aca="false">H25-P25</f>
        <v>0</v>
      </c>
    </row>
    <row r="26" customFormat="false" ht="13.5" hidden="false" customHeight="true" outlineLevel="0" collapsed="false">
      <c r="A26" s="169" t="n">
        <v>25</v>
      </c>
      <c r="B26" s="166" t="s">
        <v>162</v>
      </c>
      <c r="C26" s="166" t="s">
        <v>67</v>
      </c>
      <c r="D26" s="166" t="s">
        <v>68</v>
      </c>
      <c r="E26" s="26" t="s">
        <v>69</v>
      </c>
      <c r="F26" s="158" t="n">
        <f aca="false">ינואר!E26+פברואר!E26+מרץ!E26+אפריל!E26+מאי!E26+יוני!E26+יולי!F26+אוגוסט!F26+ספטמבר!F26</f>
        <v>249206.12</v>
      </c>
      <c r="G26" s="158" t="n">
        <f aca="false">ינואר!F26+פברואר!F26+מרץ!F26+אפריל!F26+מאי!F26+יוני!F26+יולי!G26+אוגוסט!G26+ספטמבר!G26</f>
        <v>172805.93</v>
      </c>
      <c r="H26" s="158" t="n">
        <f aca="false">ינואר!G26+פברואר!G26+מרץ!G26+אפריל!G26+מאי!G26+יוני!G26+יולי!H26+אוגוסט!H26+ספטמבר!H26</f>
        <v>365555.25</v>
      </c>
      <c r="I26" s="167" t="n">
        <f aca="false">IFERROR(H26/G26-1,"")</f>
        <v>1.11540917606242</v>
      </c>
      <c r="J26" s="158" t="n">
        <f aca="false">H26-G26</f>
        <v>192749.32</v>
      </c>
      <c r="L26" s="158" t="n">
        <f aca="false">ינואר!J26+פברואר!J26+מרץ!J26+אפריל!J26+מאי!J26+יוני!J26+יולי!M26+אוגוסט!M26+ספטמבר!M26</f>
        <v>300000</v>
      </c>
      <c r="M26" s="167" t="n">
        <f aca="false">IFERROR(H26/L26-1,"")</f>
        <v>0.2185175</v>
      </c>
      <c r="N26" s="158" t="n">
        <f aca="false">H26-L26</f>
        <v>65555.25</v>
      </c>
      <c r="P26" s="166" t="n">
        <v>454147.47</v>
      </c>
      <c r="Q26" s="167" t="n">
        <f aca="false">IFERROR(H26/P26,"-")</f>
        <v>0.804926316114896</v>
      </c>
      <c r="R26" s="166" t="n">
        <f aca="false">H26-P26</f>
        <v>-88592.22</v>
      </c>
    </row>
    <row r="27" customFormat="false" ht="14.25" hidden="false" customHeight="true" outlineLevel="0" collapsed="false">
      <c r="A27" s="169" t="n">
        <v>26</v>
      </c>
      <c r="B27" s="166" t="s">
        <v>153</v>
      </c>
      <c r="C27" s="166" t="s">
        <v>70</v>
      </c>
      <c r="D27" s="166" t="s">
        <v>71</v>
      </c>
      <c r="E27" s="26" t="s">
        <v>72</v>
      </c>
      <c r="F27" s="158" t="n">
        <f aca="false">ינואר!E27+פברואר!E27+מרץ!E27+אפריל!E27+מאי!E27+יוני!E27+יולי!F27+אוגוסט!F27+ספטמבר!F27</f>
        <v>142243.83</v>
      </c>
      <c r="G27" s="158" t="n">
        <f aca="false">ינואר!F27+פברואר!F27+מרץ!F27+אפריל!F27+מאי!F27+יוני!F27+יולי!G27+אוגוסט!G27+ספטמבר!G27</f>
        <v>66251.42</v>
      </c>
      <c r="H27" s="158" t="n">
        <f aca="false">ינואר!G27+פברואר!G27+מרץ!G27+אפריל!G27+מאי!G27+יוני!G27+יולי!H27+אוגוסט!H27+ספטמבר!H27</f>
        <v>60694.01</v>
      </c>
      <c r="I27" s="167" t="n">
        <f aca="false">IFERROR(H27/G27-1,"")</f>
        <v>-0.0838836360035755</v>
      </c>
      <c r="J27" s="158" t="n">
        <f aca="false">H27-G27</f>
        <v>-5557.41</v>
      </c>
      <c r="L27" s="158" t="n">
        <f aca="false">ינואר!J27+פברואר!J27+מרץ!J27+אפריל!J27+מאי!J27+יוני!J27+יולי!M27+אוגוסט!M27+ספטמבר!M27</f>
        <v>160000</v>
      </c>
      <c r="M27" s="167" t="n">
        <f aca="false">IFERROR(H27/L27-1,"")</f>
        <v>-0.6206624375</v>
      </c>
      <c r="N27" s="158" t="n">
        <f aca="false">H27-L27</f>
        <v>-99305.99</v>
      </c>
      <c r="P27" s="166" t="n">
        <v>80694.01</v>
      </c>
      <c r="Q27" s="167" t="n">
        <f aca="false">IFERROR(H27/P27,"-")</f>
        <v>0.752150128615495</v>
      </c>
      <c r="R27" s="166" t="n">
        <f aca="false">H27-P27</f>
        <v>-20000</v>
      </c>
    </row>
    <row r="28" customFormat="false" ht="13.5" hidden="false" customHeight="true" outlineLevel="0" collapsed="false">
      <c r="A28" s="169" t="n">
        <v>27</v>
      </c>
      <c r="B28" s="166" t="s">
        <v>163</v>
      </c>
      <c r="C28" s="166" t="s">
        <v>73</v>
      </c>
      <c r="D28" s="166" t="s">
        <v>74</v>
      </c>
      <c r="E28" s="26" t="s">
        <v>75</v>
      </c>
      <c r="F28" s="158" t="n">
        <f aca="false">ינואר!E28+פברואר!E28+מרץ!E28+אפריל!E28+מאי!E28+יוני!E28+יולי!F28+אוגוסט!F28+ספטמבר!F28</f>
        <v>171813.81</v>
      </c>
      <c r="G28" s="158" t="n">
        <f aca="false">ינואר!F28+פברואר!F28+מרץ!F28+אפריל!F28+מאי!F28+יוני!F28+יולי!G28+אוגוסט!G28+ספטמבר!G28</f>
        <v>0.22</v>
      </c>
      <c r="H28" s="158" t="n">
        <f aca="false">ינואר!G28+פברואר!G28+מרץ!G28+אפריל!G28+מאי!G28+יוני!G28+יולי!H28+אוגוסט!H28+ספטמבר!H28</f>
        <v>0</v>
      </c>
      <c r="I28" s="167" t="n">
        <f aca="false">IFERROR(H28/G28-1,"")</f>
        <v>-1</v>
      </c>
      <c r="J28" s="158" t="n">
        <f aca="false">H28-G28</f>
        <v>-0.22</v>
      </c>
      <c r="L28" s="158" t="n">
        <f aca="false">ינואר!J28+פברואר!J28+מרץ!J28+אפריל!J28+מאי!J28+יוני!J28+יולי!M28+אוגוסט!M28+ספטמבר!M28</f>
        <v>250000</v>
      </c>
      <c r="M28" s="167" t="n">
        <f aca="false">IFERROR(H28/L28-1,"")</f>
        <v>-1</v>
      </c>
      <c r="N28" s="158" t="n">
        <f aca="false">H28-L28</f>
        <v>-250000</v>
      </c>
      <c r="P28" s="166" t="n">
        <v>150000</v>
      </c>
      <c r="Q28" s="167" t="n">
        <f aca="false">IFERROR(H28/P28,"-")</f>
        <v>0</v>
      </c>
      <c r="R28" s="166" t="n">
        <f aca="false">H28-P28</f>
        <v>-150000</v>
      </c>
    </row>
    <row r="29" customFormat="false" ht="13.5" hidden="false" customHeight="true" outlineLevel="0" collapsed="false">
      <c r="A29" s="169" t="n">
        <v>28</v>
      </c>
      <c r="B29" s="166" t="s">
        <v>164</v>
      </c>
      <c r="C29" s="166" t="s">
        <v>76</v>
      </c>
      <c r="D29" s="166" t="s">
        <v>77</v>
      </c>
      <c r="E29" s="26" t="s">
        <v>78</v>
      </c>
      <c r="F29" s="158" t="n">
        <f aca="false">ינואר!E29+פברואר!E29+מרץ!E29+אפריל!E29+מאי!E29+יוני!E29+יולי!F29+אוגוסט!F29+ספטמבר!F29</f>
        <v>286240.18</v>
      </c>
      <c r="G29" s="158" t="n">
        <f aca="false">ינואר!F29+פברואר!F29+מרץ!F29+אפריל!F29+מאי!F29+יוני!F29+יולי!G29+אוגוסט!G29+ספטמבר!G29</f>
        <v>299071.09</v>
      </c>
      <c r="H29" s="158" t="n">
        <f aca="false">ינואר!G29+פברואר!G29+מרץ!G29+אפריל!G29+מאי!G29+יוני!G29+יולי!H29+אוגוסט!H29+ספטמבר!H29</f>
        <v>300835.11</v>
      </c>
      <c r="I29" s="167" t="n">
        <f aca="false">IFERROR(H29/G29-1,"")</f>
        <v>0.005898330059251</v>
      </c>
      <c r="J29" s="158" t="n">
        <f aca="false">H29-G29</f>
        <v>1764.01999999996</v>
      </c>
      <c r="L29" s="158" t="n">
        <f aca="false">ינואר!J29+פברואר!J29+מרץ!J29+אפריל!J29+מאי!J29+יוני!J29+יולי!M29+אוגוסט!M29+ספטמבר!M29</f>
        <v>330704.772</v>
      </c>
      <c r="M29" s="167" t="n">
        <f aca="false">IFERROR(H29/L29-1,"")</f>
        <v>-0.0903212306836625</v>
      </c>
      <c r="N29" s="158" t="n">
        <f aca="false">H29-L29</f>
        <v>-29869.662</v>
      </c>
      <c r="P29" s="166" t="n">
        <v>303207.09</v>
      </c>
      <c r="Q29" s="167" t="n">
        <f aca="false">IFERROR(H29/P29,"-")</f>
        <v>0.992177029897289</v>
      </c>
      <c r="R29" s="166" t="n">
        <f aca="false">H29-P29</f>
        <v>-2371.98000000004</v>
      </c>
    </row>
    <row r="30" customFormat="false" ht="14.25" hidden="false" customHeight="true" outlineLevel="0" collapsed="false">
      <c r="A30" s="169" t="n">
        <v>29</v>
      </c>
      <c r="B30" s="166" t="s">
        <v>158</v>
      </c>
      <c r="C30" s="166" t="s">
        <v>79</v>
      </c>
      <c r="D30" s="166" t="s">
        <v>80</v>
      </c>
      <c r="E30" s="26" t="s">
        <v>81</v>
      </c>
      <c r="F30" s="158" t="n">
        <f aca="false">ינואר!E30+פברואר!E30+מרץ!E30+אפריל!E30+מאי!E30+יוני!E30+יולי!F30+אוגוסט!F30+ספטמבר!F30</f>
        <v>103770.69</v>
      </c>
      <c r="G30" s="158" t="n">
        <f aca="false">ינואר!F30+פברואר!F30+מרץ!F30+אפריל!F30+מאי!F30+יוני!F30+יולי!G30+אוגוסט!G30+ספטמבר!G30</f>
        <v>32010.18</v>
      </c>
      <c r="H30" s="158" t="n">
        <f aca="false">ינואר!G30+פברואר!G30+מרץ!G30+אפריל!G30+מאי!G30+יוני!G30+יולי!H30+אוגוסט!H30+ספטמבר!H30</f>
        <v>43116.44</v>
      </c>
      <c r="I30" s="167" t="n">
        <f aca="false">IFERROR(H30/G30-1,"")</f>
        <v>0.346960248271019</v>
      </c>
      <c r="J30" s="158" t="n">
        <f aca="false">H30-G30</f>
        <v>11106.26</v>
      </c>
      <c r="L30" s="158" t="n">
        <f aca="false">ינואר!J30+פברואר!J30+מרץ!J30+אפריל!J30+מאי!J30+יוני!J30+יולי!M30+אוגוסט!M30+ספטמבר!M30</f>
        <v>35000</v>
      </c>
      <c r="M30" s="167" t="n">
        <f aca="false">IFERROR(H30/L30-1,"")</f>
        <v>0.231898285714286</v>
      </c>
      <c r="N30" s="158" t="n">
        <f aca="false">H30-L30</f>
        <v>8116.44</v>
      </c>
      <c r="P30" s="166" t="n">
        <v>43116.44</v>
      </c>
      <c r="Q30" s="167" t="n">
        <f aca="false">IFERROR(H30/P30,"-")</f>
        <v>1</v>
      </c>
      <c r="R30" s="166" t="n">
        <f aca="false">H30-P30</f>
        <v>0</v>
      </c>
    </row>
    <row r="31" customFormat="false" ht="14.25" hidden="false" customHeight="true" outlineLevel="0" collapsed="false">
      <c r="A31" s="169" t="n">
        <v>30</v>
      </c>
      <c r="B31" s="166" t="s">
        <v>152</v>
      </c>
      <c r="C31" s="166" t="s">
        <v>82</v>
      </c>
      <c r="D31" s="166" t="s">
        <v>83</v>
      </c>
      <c r="E31" s="26" t="s">
        <v>81</v>
      </c>
      <c r="F31" s="158" t="n">
        <f aca="false">ינואר!E31+פברואר!E31+מרץ!E31+אפריל!E31+מאי!E31+יוני!E31+יולי!F31+אוגוסט!F31+ספטמבר!F31</f>
        <v>41028.36</v>
      </c>
      <c r="G31" s="158" t="n">
        <f aca="false">ינואר!F31+פברואר!F31+מרץ!F31+אפריל!F31+מאי!F31+יוני!F31+יולי!G31+אוגוסט!G31+ספטמבר!G31</f>
        <v>38733.3</v>
      </c>
      <c r="H31" s="158" t="n">
        <f aca="false">ינואר!G31+פברואר!G31+מרץ!G31+אפריל!G31+מאי!G31+יוני!G31+יולי!H31+אוגוסט!H31+ספטמבר!H31</f>
        <v>39400.13</v>
      </c>
      <c r="I31" s="167" t="n">
        <f aca="false">IFERROR(H31/G31-1,"")</f>
        <v>0.0172159356419412</v>
      </c>
      <c r="J31" s="158" t="n">
        <f aca="false">H31-G31</f>
        <v>666.830000000002</v>
      </c>
      <c r="L31" s="158" t="n">
        <f aca="false">ינואר!J31+פברואר!J31+מרץ!J31+אפריל!J31+מאי!J31+יוני!J31+יולי!M31+אוגוסט!M31+ספטמבר!M31</f>
        <v>40000</v>
      </c>
      <c r="M31" s="167" t="n">
        <f aca="false">IFERROR(H31/L31-1,"")</f>
        <v>-0.0149967499999999</v>
      </c>
      <c r="N31" s="158" t="n">
        <f aca="false">H31-L31</f>
        <v>-599.869999999995</v>
      </c>
      <c r="P31" s="166" t="n">
        <v>42809.5</v>
      </c>
      <c r="Q31" s="167" t="n">
        <f aca="false">IFERROR(H31/P31,"-")</f>
        <v>0.920359499643771</v>
      </c>
      <c r="R31" s="166" t="n">
        <f aca="false">H31-P31</f>
        <v>-3409.37</v>
      </c>
    </row>
    <row r="32" customFormat="false" ht="13.5" hidden="false" customHeight="true" outlineLevel="0" collapsed="false">
      <c r="A32" s="169" t="n">
        <v>31</v>
      </c>
      <c r="B32" s="166" t="s">
        <v>84</v>
      </c>
      <c r="C32" s="166" t="s">
        <v>84</v>
      </c>
      <c r="D32" s="166" t="s">
        <v>85</v>
      </c>
      <c r="E32" s="26" t="s">
        <v>86</v>
      </c>
      <c r="F32" s="158" t="n">
        <f aca="false">ינואר!E32+פברואר!E32+מרץ!E32+אפריל!E32+מאי!E32+יוני!E32+יולי!F32+אוגוסט!F32+ספטמבר!F32</f>
        <v>31722.98</v>
      </c>
      <c r="G32" s="158" t="n">
        <f aca="false">ינואר!F32+פברואר!F32+מרץ!F32+אפריל!F32+מאי!F32+יוני!F32+יולי!G32+אוגוסט!G32+ספטמבר!G32</f>
        <v>81786.57</v>
      </c>
      <c r="H32" s="158" t="n">
        <f aca="false">ינואר!G32+פברואר!G32+מרץ!G32+אפריל!G32+מאי!G32+יוני!G32+יולי!H32+אוגוסט!H32+ספטמבר!H32</f>
        <v>10037.15</v>
      </c>
      <c r="I32" s="167" t="n">
        <f aca="false">IFERROR(H32/G32-1,"")</f>
        <v>-0.877276305877603</v>
      </c>
      <c r="J32" s="158" t="n">
        <f aca="false">H32-G32</f>
        <v>-71749.42</v>
      </c>
      <c r="L32" s="158" t="n">
        <f aca="false">ינואר!J32+פברואר!J32+מרץ!J32+אפריל!J32+מאי!J32+יוני!J32+יולי!M32+אוגוסט!M32+ספטמבר!M32</f>
        <v>85000</v>
      </c>
      <c r="M32" s="167" t="n">
        <f aca="false">IFERROR(H32/L32-1,"")</f>
        <v>-0.881915882352941</v>
      </c>
      <c r="N32" s="158" t="n">
        <f aca="false">H32-L32</f>
        <v>-74962.85</v>
      </c>
      <c r="P32" s="166" t="n">
        <v>17500</v>
      </c>
      <c r="Q32" s="167" t="n">
        <f aca="false">IFERROR(H32/P32,"-")</f>
        <v>0.573551428571429</v>
      </c>
      <c r="R32" s="166" t="n">
        <f aca="false">H32-P32</f>
        <v>-7462.85</v>
      </c>
    </row>
    <row r="33" customFormat="false" ht="13.5" hidden="false" customHeight="true" outlineLevel="0" collapsed="false">
      <c r="A33" s="169"/>
      <c r="B33" s="166"/>
      <c r="C33" s="166"/>
      <c r="D33" s="166" t="s">
        <v>171</v>
      </c>
      <c r="E33" s="26" t="s">
        <v>172</v>
      </c>
      <c r="F33" s="158" t="n">
        <f aca="false">ינואר!E33+פברואר!E33+מרץ!E33+אפריל!E33+מאי!E33+יוני!E33+יולי!F33+אוגוסט!F33+ספטמבר!F33</f>
        <v>0</v>
      </c>
      <c r="G33" s="158" t="n">
        <f aca="false">ינואר!F33+פברואר!F33+מרץ!F33+אפריל!F33+מאי!F33+יוני!F33+יולי!G33+אוגוסט!G33+ספטמבר!G33</f>
        <v>0</v>
      </c>
      <c r="H33" s="158" t="n">
        <f aca="false">ינואר!G33+פברואר!G33+מרץ!G33+אפריל!G33+מאי!G33+יוני!G33+יולי!H33+אוגוסט!H33+ספטמבר!H33</f>
        <v>0</v>
      </c>
      <c r="I33" s="167" t="str">
        <f aca="false">IFERROR(H33/G33-1,"")</f>
        <v/>
      </c>
      <c r="J33" s="158" t="n">
        <f aca="false">H33-G33</f>
        <v>0</v>
      </c>
      <c r="L33" s="158" t="n">
        <f aca="false">ינואר!J33+פברואר!J33+מרץ!J33+אפריל!J33+מאי!J33+יוני!J33+יולי!M33+אוגוסט!M33+ספטמבר!M33</f>
        <v>0</v>
      </c>
      <c r="M33" s="167" t="str">
        <f aca="false">IFERROR(H33/L33-1,"")</f>
        <v/>
      </c>
      <c r="N33" s="158" t="n">
        <f aca="false">H33-L33</f>
        <v>0</v>
      </c>
      <c r="P33" s="166" t="n">
        <v>0</v>
      </c>
      <c r="Q33" s="167" t="str">
        <f aca="false">IFERROR(H33/P33,"-")</f>
        <v>-</v>
      </c>
      <c r="R33" s="166" t="n">
        <f aca="false">H33-P33</f>
        <v>0</v>
      </c>
    </row>
    <row r="34" customFormat="false" ht="13.5" hidden="false" customHeight="true" outlineLevel="0" collapsed="false">
      <c r="A34" s="169" t="n">
        <v>32</v>
      </c>
      <c r="B34" s="166" t="s">
        <v>161</v>
      </c>
      <c r="C34" s="166" t="s">
        <v>87</v>
      </c>
      <c r="D34" s="166" t="s">
        <v>88</v>
      </c>
      <c r="E34" s="26" t="s">
        <v>89</v>
      </c>
      <c r="F34" s="158" t="n">
        <f aca="false">ינואר!E34+פברואר!E34+מרץ!E34+אפריל!E34+מאי!E34+יוני!E34+יולי!F34+אוגוסט!F34+ספטמבר!F34</f>
        <v>35826.78</v>
      </c>
      <c r="G34" s="158" t="n">
        <f aca="false">ינואר!F34+פברואר!F34+מרץ!F34+אפריל!F34+מאי!F34+יוני!F34+יולי!G34+אוגוסט!G34+ספטמבר!G34</f>
        <v>39713.57</v>
      </c>
      <c r="H34" s="158" t="n">
        <f aca="false">ינואר!G34+פברואר!G34+מרץ!G34+אפריל!G34+מאי!G34+יוני!G34+יולי!H34+אוגוסט!H34+ספטמבר!H34</f>
        <v>37142.71</v>
      </c>
      <c r="I34" s="167" t="n">
        <f aca="false">IFERROR(H34/G34-1,"")</f>
        <v>-0.0647350515201731</v>
      </c>
      <c r="J34" s="158" t="n">
        <f aca="false">H34-G34</f>
        <v>-2570.86</v>
      </c>
      <c r="L34" s="158" t="n">
        <f aca="false">ינואר!J34+פברואר!J34+מרץ!J34+אפריל!J34+מאי!J34+יוני!J34+יולי!M34+אוגוסט!M34+ספטמבר!M34</f>
        <v>40000</v>
      </c>
      <c r="M34" s="167" t="n">
        <f aca="false">IFERROR(H34/L34-1,"")</f>
        <v>-0.07143225</v>
      </c>
      <c r="N34" s="158" t="n">
        <f aca="false">H34-L34</f>
        <v>-2857.29</v>
      </c>
      <c r="P34" s="166" t="n">
        <v>38792.66</v>
      </c>
      <c r="Q34" s="167" t="n">
        <f aca="false">IFERROR(H34/P34,"-")</f>
        <v>0.957467469361472</v>
      </c>
      <c r="R34" s="166" t="n">
        <f aca="false">H34-P34</f>
        <v>-1649.95</v>
      </c>
    </row>
    <row r="35" customFormat="false" ht="13.5" hidden="false" customHeight="true" outlineLevel="0" collapsed="false">
      <c r="A35" s="169" t="n">
        <v>33</v>
      </c>
      <c r="B35" s="166" t="s">
        <v>160</v>
      </c>
      <c r="C35" s="166" t="s">
        <v>90</v>
      </c>
      <c r="D35" s="166" t="s">
        <v>91</v>
      </c>
      <c r="E35" s="26" t="s">
        <v>92</v>
      </c>
      <c r="F35" s="158" t="n">
        <f aca="false">ינואר!E35+פברואר!E35+מרץ!E35+אפריל!E35+מאי!E35+יוני!E35+יולי!F35+אוגוסט!F35+ספטמבר!F35</f>
        <v>59175.03</v>
      </c>
      <c r="G35" s="158" t="n">
        <f aca="false">ינואר!F35+פברואר!F35+מרץ!F35+אפריל!F35+מאי!F35+יוני!F35+יולי!G35+אוגוסט!G35+ספטמבר!G35</f>
        <v>30531.53</v>
      </c>
      <c r="H35" s="158" t="n">
        <f aca="false">ינואר!G35+פברואר!G35+מרץ!G35+אפריל!G35+מאי!G35+יוני!G35+יולי!H35+אוגוסט!H35+ספטמבר!H35</f>
        <v>26105.72</v>
      </c>
      <c r="I35" s="167" t="n">
        <f aca="false">IFERROR(H35/G35-1,"")</f>
        <v>-0.144958670593973</v>
      </c>
      <c r="J35" s="158" t="n">
        <f aca="false">H35-G35</f>
        <v>-4425.81</v>
      </c>
      <c r="L35" s="158" t="n">
        <f aca="false">ינואר!J35+פברואר!J35+מרץ!J35+אפריל!J35+מאי!J35+יוני!J35+יולי!M35+אוגוסט!M35+ספטמבר!M35</f>
        <v>40000</v>
      </c>
      <c r="M35" s="167" t="n">
        <f aca="false">IFERROR(H35/L35-1,"")</f>
        <v>-0.347357</v>
      </c>
      <c r="N35" s="158" t="n">
        <f aca="false">H35-L35</f>
        <v>-13894.28</v>
      </c>
      <c r="P35" s="166" t="n">
        <v>0</v>
      </c>
      <c r="Q35" s="167" t="str">
        <f aca="false">IFERROR(H35/P35,"-")</f>
        <v>-</v>
      </c>
      <c r="R35" s="166" t="n">
        <f aca="false">H35-P35</f>
        <v>26105.72</v>
      </c>
    </row>
    <row r="36" customFormat="false" ht="14.25" hidden="false" customHeight="true" outlineLevel="0" collapsed="false">
      <c r="A36" s="169"/>
      <c r="B36" s="166" t="s">
        <v>166</v>
      </c>
      <c r="C36" s="166" t="s">
        <v>166</v>
      </c>
      <c r="D36" s="166" t="s">
        <v>173</v>
      </c>
      <c r="E36" s="26" t="s">
        <v>78</v>
      </c>
      <c r="F36" s="158" t="n">
        <f aca="false">ינואר!E36+פברואר!E36+מרץ!E36+אפריל!E36+מאי!E36+יוני!E36+יולי!F36+אוגוסט!F36+ספטמבר!F36</f>
        <v>41531.96</v>
      </c>
      <c r="G36" s="158" t="n">
        <f aca="false">ינואר!F36+פברואר!F36+מרץ!F36+אפריל!F36+מאי!F36+יוני!F36+יולי!G36+אוגוסט!G36+ספטמבר!G36</f>
        <v>0</v>
      </c>
      <c r="H36" s="158" t="n">
        <f aca="false">ינואר!G36+פברואר!G36+מרץ!G36+אפריל!G36+מאי!G36+יוני!G36+יולי!H36+אוגוסט!H36+ספטמבר!H36</f>
        <v>0</v>
      </c>
      <c r="I36" s="167" t="str">
        <f aca="false">IFERROR(H36/G36-1,"")</f>
        <v/>
      </c>
      <c r="J36" s="158" t="n">
        <f aca="false">H36-G36</f>
        <v>0</v>
      </c>
      <c r="L36" s="158" t="n">
        <f aca="false">ינואר!J36+פברואר!J36+מרץ!J36+אפריל!J36+מאי!J36+יוני!J36+יולי!M36+אוגוסט!M36+ספטמבר!M36</f>
        <v>0</v>
      </c>
      <c r="M36" s="167" t="str">
        <f aca="false">IFERROR(H36/L36-1,"")</f>
        <v/>
      </c>
      <c r="N36" s="158" t="n">
        <f aca="false">H36-L36</f>
        <v>0</v>
      </c>
      <c r="P36" s="166" t="n">
        <v>0</v>
      </c>
      <c r="Q36" s="167" t="str">
        <f aca="false">IFERROR(H36/P36,"-")</f>
        <v>-</v>
      </c>
      <c r="R36" s="166" t="n">
        <f aca="false">H36-P36</f>
        <v>0</v>
      </c>
    </row>
    <row r="37" customFormat="false" ht="14.25" hidden="false" customHeight="true" outlineLevel="0" collapsed="false">
      <c r="A37" s="169" t="n">
        <v>34</v>
      </c>
      <c r="B37" s="166" t="s">
        <v>165</v>
      </c>
      <c r="C37" s="166" t="s">
        <v>165</v>
      </c>
      <c r="D37" s="166" t="s">
        <v>93</v>
      </c>
      <c r="E37" s="26" t="s">
        <v>174</v>
      </c>
      <c r="F37" s="158" t="n">
        <f aca="false">ינואר!E37+פברואר!E37+מרץ!E37+אפריל!E37+מאי!E37+יוני!E37+יולי!F37+אוגוסט!F37+ספטמבר!F37</f>
        <v>22310.96</v>
      </c>
      <c r="G37" s="158" t="n">
        <f aca="false">ינואר!F37+פברואר!F37+מרץ!F37+אפריל!F37+מאי!F37+יוני!F37+יולי!G37+אוגוסט!G37+ספטמבר!G37</f>
        <v>0</v>
      </c>
      <c r="H37" s="158" t="n">
        <f aca="false">ינואר!G37+פברואר!G37+מרץ!G37+אפריל!G37+מאי!G37+יוני!G37+יולי!H37+אוגוסט!H37+ספטמבר!H37</f>
        <v>0</v>
      </c>
      <c r="I37" s="167" t="str">
        <f aca="false">IFERROR(H37/G37-1,"")</f>
        <v/>
      </c>
      <c r="J37" s="158" t="n">
        <f aca="false">H37-G37</f>
        <v>0</v>
      </c>
      <c r="L37" s="158" t="n">
        <f aca="false">ינואר!J37+פברואר!J37+מרץ!J37+אפריל!J37+מאי!J37+יוני!J37+יולי!M37+אוגוסט!M37+ספטמבר!M37</f>
        <v>0</v>
      </c>
      <c r="M37" s="167" t="str">
        <f aca="false">IFERROR(H37/L37-1,"")</f>
        <v/>
      </c>
      <c r="N37" s="158" t="n">
        <f aca="false">H37-L37</f>
        <v>0</v>
      </c>
      <c r="P37" s="166" t="n">
        <v>0</v>
      </c>
      <c r="Q37" s="167" t="str">
        <f aca="false">IFERROR(H37/P37,"-")</f>
        <v>-</v>
      </c>
      <c r="R37" s="166" t="n">
        <f aca="false">H37-P37</f>
        <v>0</v>
      </c>
    </row>
    <row r="38" customFormat="false" ht="13.5" hidden="false" customHeight="true" outlineLevel="0" collapsed="false">
      <c r="A38" s="169" t="n">
        <v>35</v>
      </c>
      <c r="B38" s="166" t="s">
        <v>94</v>
      </c>
      <c r="C38" s="166" t="s">
        <v>94</v>
      </c>
      <c r="D38" s="166" t="s">
        <v>95</v>
      </c>
      <c r="E38" s="26" t="s">
        <v>51</v>
      </c>
      <c r="F38" s="158" t="n">
        <f aca="false">ינואר!E38+פברואר!E38+מרץ!E38+אפריל!E38+מאי!E38+יוני!E38+יולי!F38+אוגוסט!F38+ספטמבר!F38</f>
        <v>-1.37</v>
      </c>
      <c r="G38" s="158" t="n">
        <f aca="false">ינואר!F38+פברואר!F38+מרץ!F38+אפריל!F38+מאי!F38+יוני!F38+יולי!G38+אוגוסט!G38+ספטמבר!G38</f>
        <v>248.59</v>
      </c>
      <c r="H38" s="158" t="n">
        <f aca="false">ינואר!G38+פברואר!G38+מרץ!G38+אפריל!G38+מאי!G38+יוני!G38+יולי!H38+אוגוסט!H38+ספטמבר!H38</f>
        <v>0</v>
      </c>
      <c r="I38" s="167" t="n">
        <f aca="false">IFERROR(H38/G38-1,"")</f>
        <v>-1</v>
      </c>
      <c r="J38" s="158" t="n">
        <f aca="false">H38-G38</f>
        <v>-248.59</v>
      </c>
      <c r="L38" s="158" t="n">
        <f aca="false">ינואר!J38+פברואר!J38+מרץ!J38+אפריל!J38+מאי!J38+יוני!J38+יולי!M38+אוגוסט!M38+ספטמבר!M38</f>
        <v>400000</v>
      </c>
      <c r="M38" s="167" t="n">
        <f aca="false">IFERROR(H38/L38-1,"")</f>
        <v>-1</v>
      </c>
      <c r="N38" s="158" t="n">
        <f aca="false">H38-L38</f>
        <v>-400000</v>
      </c>
      <c r="P38" s="166" t="n">
        <v>0</v>
      </c>
      <c r="Q38" s="167" t="str">
        <f aca="false">IFERROR(H38/P38,"-")</f>
        <v>-</v>
      </c>
      <c r="R38" s="166" t="n">
        <f aca="false">H38-P38</f>
        <v>0</v>
      </c>
    </row>
    <row r="39" customFormat="false" ht="13.5" hidden="false" customHeight="true" outlineLevel="0" collapsed="false">
      <c r="A39" s="169" t="n">
        <v>36</v>
      </c>
      <c r="B39" s="166"/>
      <c r="C39" s="166" t="s">
        <v>97</v>
      </c>
      <c r="D39" s="166" t="s">
        <v>97</v>
      </c>
      <c r="E39" s="26"/>
      <c r="F39" s="158" t="n">
        <f aca="false">ינואר!E39+פברואר!E39+מרץ!E39+אפריל!E39+מאי!E39+יוני!E39+יולי!F39+אוגוסט!F39+ספטמבר!F39</f>
        <v>0</v>
      </c>
      <c r="G39" s="158" t="n">
        <f aca="false">ינואר!F39+פברואר!F39+מרץ!F39+אפריל!F39+מאי!F39+יוני!F39+יולי!G39+אוגוסט!G39+ספטמבר!G39</f>
        <v>0</v>
      </c>
      <c r="H39" s="158" t="n">
        <f aca="false">ינואר!G39+פברואר!G39+מרץ!G39+אפריל!G39+מאי!G39+יוני!G39+יולי!H39+אוגוסט!H39+ספטמבר!H39</f>
        <v>0</v>
      </c>
      <c r="I39" s="167" t="str">
        <f aca="false">IFERROR(H39/G39-1,"")</f>
        <v/>
      </c>
      <c r="J39" s="158" t="n">
        <f aca="false">H39-G39</f>
        <v>0</v>
      </c>
      <c r="L39" s="158" t="n">
        <f aca="false">ינואר!J39+פברואר!J39+מרץ!J39+אפריל!J39+מאי!J39+יוני!J39+יולי!M39+אוגוסט!M39+ספטמבר!M39</f>
        <v>200000</v>
      </c>
      <c r="M39" s="167" t="n">
        <f aca="false">IFERROR(H39/L39-1,"")</f>
        <v>-1</v>
      </c>
      <c r="N39" s="158" t="n">
        <f aca="false">H39-L39</f>
        <v>-200000</v>
      </c>
      <c r="P39" s="166" t="n">
        <v>0</v>
      </c>
      <c r="Q39" s="167" t="str">
        <f aca="false">IFERROR(H39/P39,"-")</f>
        <v>-</v>
      </c>
      <c r="R39" s="166" t="n">
        <f aca="false">H39-P39</f>
        <v>0</v>
      </c>
    </row>
    <row r="40" customFormat="false" ht="15" hidden="false" customHeight="true" outlineLevel="0" collapsed="false">
      <c r="A40" s="169"/>
      <c r="B40" s="173"/>
      <c r="C40" s="173" t="s">
        <v>98</v>
      </c>
      <c r="D40" s="173"/>
      <c r="E40" s="173"/>
      <c r="F40" s="173" t="n">
        <f aca="false">SUM(F20:F39)</f>
        <v>5795450.98</v>
      </c>
      <c r="G40" s="173" t="n">
        <f aca="false">SUM(G20:G39)</f>
        <v>4233266.47</v>
      </c>
      <c r="H40" s="173" t="n">
        <f aca="false">SUM(H20:H39)</f>
        <v>4050561.83</v>
      </c>
      <c r="I40" s="174" t="n">
        <f aca="false">IFERROR(H40/G40-1,"")</f>
        <v>-0.0431592580563442</v>
      </c>
      <c r="J40" s="173" t="n">
        <f aca="false">SUM(J20:J39)</f>
        <v>-182704.64</v>
      </c>
      <c r="L40" s="173" t="n">
        <f aca="false">SUM(L20:L39)</f>
        <v>7104745.1561375</v>
      </c>
      <c r="M40" s="174" t="n">
        <f aca="false">IFERROR(H40/L40-1,"")</f>
        <v>-0.429879363582678</v>
      </c>
      <c r="N40" s="173" t="n">
        <f aca="false">SUM(N20:N39)</f>
        <v>-3054183.3261375</v>
      </c>
      <c r="P40" s="173" t="n">
        <f aca="false">SUM(P20:P39)</f>
        <v>4641808.84</v>
      </c>
      <c r="Q40" s="174" t="n">
        <f aca="false">IFERROR(H40/P40,"-")</f>
        <v>0.8726257305331</v>
      </c>
      <c r="R40" s="173" t="n">
        <f aca="false">E40-P40</f>
        <v>-4641808.84</v>
      </c>
    </row>
    <row r="41" customFormat="false" ht="15" hidden="false" customHeight="true" outlineLevel="0" collapsed="false">
      <c r="A41" s="169"/>
      <c r="B41" s="175"/>
      <c r="C41" s="175" t="s">
        <v>175</v>
      </c>
      <c r="D41" s="175"/>
      <c r="E41" s="175"/>
      <c r="F41" s="175" t="n">
        <f aca="false">F40+F19</f>
        <v>19021053.81</v>
      </c>
      <c r="G41" s="175" t="n">
        <f aca="false">G40+G19</f>
        <v>17966037.482</v>
      </c>
      <c r="H41" s="175" t="n">
        <f aca="false">H40+H19</f>
        <v>19222221.401</v>
      </c>
      <c r="I41" s="147" t="n">
        <f aca="false">IFERROR(H41/G41-1,"")</f>
        <v>0.0699199208650518</v>
      </c>
      <c r="J41" s="175" t="n">
        <f aca="false">J40+J19</f>
        <v>1256183.91899999</v>
      </c>
      <c r="L41" s="175" t="n">
        <f aca="false">L40+L19</f>
        <v>28747358.302098</v>
      </c>
      <c r="M41" s="147" t="n">
        <f aca="false">IFERROR(H41/L41-1,"")</f>
        <v>-0.331339554786249</v>
      </c>
      <c r="N41" s="175" t="n">
        <f aca="false">N40+N19</f>
        <v>-9525136.90109793</v>
      </c>
      <c r="P41" s="175" t="n">
        <f aca="false">P40+P19</f>
        <v>21371003.9544577</v>
      </c>
      <c r="Q41" s="147" t="n">
        <f aca="false">IFERROR(H41/P41,"-")</f>
        <v>0.899453364098535</v>
      </c>
      <c r="R41" s="175" t="n">
        <f aca="false">E41-P41</f>
        <v>-21371003.9544577</v>
      </c>
    </row>
    <row r="42" customFormat="false" ht="15" hidden="false" customHeight="true" outlineLevel="0" collapsed="false">
      <c r="B42" s="176"/>
      <c r="C42" s="176" t="s">
        <v>121</v>
      </c>
      <c r="D42" s="176"/>
      <c r="E42" s="223"/>
      <c r="F42" s="177" t="n">
        <f aca="false">F40/F41</f>
        <v>0.304686114549192</v>
      </c>
      <c r="G42" s="177" t="n">
        <f aca="false">G40/G41</f>
        <v>0.235626051333872</v>
      </c>
      <c r="H42" s="177" t="n">
        <f aca="false">H40/H41</f>
        <v>0.210722878771403</v>
      </c>
      <c r="I42" s="177"/>
      <c r="J42" s="177"/>
      <c r="L42" s="177" t="n">
        <f aca="false">L40-ינואר!J40-פברואר!J40-מרץ!J40-אפריל!J40-מאי!J40-יוני!J40-יולי!M40-אוגוסט!M40-ספטמבר!M40</f>
        <v>0</v>
      </c>
      <c r="M42" s="177" t="str">
        <f aca="false">IFERROR(H42/L42-1,"")</f>
        <v/>
      </c>
      <c r="N42" s="177"/>
      <c r="P42" s="242"/>
      <c r="Q42" s="177" t="str">
        <f aca="false">IFERROR(H42/P42,"-")</f>
        <v>-</v>
      </c>
      <c r="R42" s="242"/>
    </row>
    <row r="43" customFormat="false" ht="14.25" hidden="false" customHeight="true" outlineLevel="0" collapsed="false">
      <c r="F43" s="1" t="n">
        <f aca="false">F41-ינואר!E41-פברואר!E41-מרץ!E41-אפריל!E41-מאי!E41-יוני!E41-יולי!F41-אוגוסט!F41-ספטמבר!F41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R4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L1" activeCellId="0" sqref="L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1" width="28"/>
    <col collapsed="false" customWidth="true" hidden="false" outlineLevel="0" max="4" min="4" style="1" width="28"/>
    <col collapsed="false" customWidth="true" hidden="false" outlineLevel="0" max="5" min="5" style="2" width="12.5"/>
    <col collapsed="false" customWidth="true" hidden="false" outlineLevel="0" max="8" min="6" style="1" width="9.87"/>
    <col collapsed="false" customWidth="true" hidden="false" outlineLevel="0" max="9" min="9" style="111" width="10.75"/>
    <col collapsed="false" customWidth="true" hidden="false" outlineLevel="0" max="10" min="10" style="1" width="11.88"/>
    <col collapsed="false" customWidth="true" hidden="false" outlineLevel="0" max="11" min="11" style="1" width="5.12"/>
    <col collapsed="false" customWidth="true" hidden="false" outlineLevel="0" max="12" min="12" style="1" width="10.88"/>
    <col collapsed="false" customWidth="true" hidden="false" outlineLevel="0" max="13" min="13" style="111" width="9.75"/>
    <col collapsed="false" customWidth="true" hidden="false" outlineLevel="0" max="14" min="14" style="1" width="10.5"/>
    <col collapsed="false" customWidth="true" hidden="false" outlineLevel="0" max="16" min="16" style="1" width="10.88"/>
    <col collapsed="false" customWidth="true" hidden="false" outlineLevel="0" max="17" min="17" style="111" width="9.75"/>
    <col collapsed="false" customWidth="true" hidden="false" outlineLevel="0" max="18" min="18" style="1" width="11.88"/>
  </cols>
  <sheetData>
    <row r="1" customFormat="false" ht="15.75" hidden="false" customHeight="true" outlineLevel="0" collapsed="false">
      <c r="B1" s="7"/>
      <c r="C1" s="7" t="s">
        <v>231</v>
      </c>
      <c r="D1" s="7" t="s">
        <v>231</v>
      </c>
      <c r="E1" s="159"/>
      <c r="F1" s="159"/>
      <c r="G1" s="159"/>
      <c r="H1" s="159"/>
      <c r="I1" s="160"/>
      <c r="J1" s="159"/>
      <c r="L1" s="159"/>
      <c r="M1" s="160"/>
      <c r="N1" s="159"/>
      <c r="P1" s="7"/>
      <c r="Q1" s="160"/>
      <c r="R1" s="159"/>
    </row>
    <row r="2" customFormat="false" ht="15" hidden="false" customHeight="true" outlineLevel="0" collapsed="false">
      <c r="A2" s="161" t="s">
        <v>2</v>
      </c>
      <c r="B2" s="162"/>
      <c r="C2" s="162"/>
      <c r="D2" s="162"/>
      <c r="E2" s="163" t="s">
        <v>3</v>
      </c>
      <c r="F2" s="163" t="s">
        <v>232</v>
      </c>
      <c r="G2" s="163" t="s">
        <v>233</v>
      </c>
      <c r="H2" s="163" t="s">
        <v>234</v>
      </c>
      <c r="I2" s="164" t="s">
        <v>168</v>
      </c>
      <c r="J2" s="163" t="s">
        <v>169</v>
      </c>
      <c r="L2" s="163" t="s">
        <v>170</v>
      </c>
      <c r="M2" s="164" t="s">
        <v>114</v>
      </c>
      <c r="N2" s="163" t="s">
        <v>115</v>
      </c>
      <c r="P2" s="186" t="s">
        <v>1</v>
      </c>
      <c r="Q2" s="164" t="s">
        <v>212</v>
      </c>
      <c r="R2" s="163" t="s">
        <v>215</v>
      </c>
    </row>
    <row r="3" customFormat="false" ht="14.25" hidden="false" customHeight="true" outlineLevel="0" collapsed="false">
      <c r="A3" s="165" t="n">
        <v>5</v>
      </c>
      <c r="B3" s="166" t="s">
        <v>143</v>
      </c>
      <c r="C3" s="166" t="s">
        <v>31</v>
      </c>
      <c r="D3" s="166" t="s">
        <v>31</v>
      </c>
      <c r="E3" s="26" t="s">
        <v>32</v>
      </c>
      <c r="F3" s="158" t="n">
        <f aca="false">+יולי!F3+אוגוסט!F3+ספטמבר!F3</f>
        <v>640561.9</v>
      </c>
      <c r="G3" s="158" t="n">
        <f aca="false">+יולי!G3+אוגוסט!G3+ספטמבר!G3</f>
        <v>484604.29</v>
      </c>
      <c r="H3" s="158" t="n">
        <f aca="false">+יולי!H3+אוגוסט!H3+ספטמבר!H3</f>
        <v>567332.05</v>
      </c>
      <c r="I3" s="167" t="n">
        <f aca="false">IFERROR(H3/G3-1,"")</f>
        <v>0.170711984411034</v>
      </c>
      <c r="J3" s="158" t="n">
        <f aca="false">H3-G3</f>
        <v>82727.7600000001</v>
      </c>
      <c r="L3" s="158" t="n">
        <f aca="false">+יולי!M3+אוגוסט!M3+ספטמבר!M3</f>
        <v>680000</v>
      </c>
      <c r="M3" s="167" t="n">
        <f aca="false">IFERROR(H3/L3-1,"")</f>
        <v>-0.165688161764706</v>
      </c>
      <c r="N3" s="158" t="n">
        <f aca="false">H3-L3</f>
        <v>-112667.95</v>
      </c>
      <c r="P3" s="166" t="n">
        <f aca="false">'תקציב  '!AL5+'תקציב  '!AM5+'תקציב  '!AN5</f>
        <v>600000</v>
      </c>
      <c r="Q3" s="167" t="n">
        <f aca="false">IFERROR(H3/P3,"-")</f>
        <v>0.945553416666667</v>
      </c>
      <c r="R3" s="158" t="n">
        <f aca="false">H3-P3</f>
        <v>-32667.95</v>
      </c>
    </row>
    <row r="4" customFormat="false" ht="14.25" hidden="false" customHeight="true" outlineLevel="0" collapsed="false">
      <c r="A4" s="168" t="n">
        <v>1</v>
      </c>
      <c r="B4" s="166" t="s">
        <v>33</v>
      </c>
      <c r="C4" s="166" t="s">
        <v>33</v>
      </c>
      <c r="D4" s="166" t="s">
        <v>33</v>
      </c>
      <c r="E4" s="26" t="s">
        <v>32</v>
      </c>
      <c r="F4" s="158" t="n">
        <f aca="false">+יולי!F4+אוגוסט!F4+ספטמבר!F4</f>
        <v>1445865.239</v>
      </c>
      <c r="G4" s="158" t="n">
        <f aca="false">+יולי!G4+אוגוסט!G4+ספטמבר!G4</f>
        <v>1447181.52000001</v>
      </c>
      <c r="H4" s="158" t="n">
        <f aca="false">+יולי!H4+אוגוסט!H4+ספטמבר!H4</f>
        <v>1456458.367</v>
      </c>
      <c r="I4" s="167" t="n">
        <f aca="false">IFERROR(H4/G4-1,"")</f>
        <v>0.0064102856979511</v>
      </c>
      <c r="J4" s="158" t="n">
        <f aca="false">H4-G4</f>
        <v>9276.84699999518</v>
      </c>
      <c r="L4" s="158" t="n">
        <f aca="false">+יולי!M4+אוגוסט!M4+ספטמבר!M4</f>
        <v>1739000</v>
      </c>
      <c r="M4" s="167" t="n">
        <f aca="false">IFERROR(H4/L4-1,"")</f>
        <v>-0.162473624496838</v>
      </c>
      <c r="N4" s="158" t="n">
        <f aca="false">H4-L4</f>
        <v>-282541.633000001</v>
      </c>
      <c r="P4" s="166" t="n">
        <f aca="false">'תקציב  '!AL6+'תקציב  '!AM6+'תקציב  '!AN6</f>
        <v>1650000</v>
      </c>
      <c r="Q4" s="167" t="n">
        <f aca="false">IFERROR(H4/P4,"-")</f>
        <v>0.882702040606061</v>
      </c>
      <c r="R4" s="158" t="n">
        <f aca="false">G4-P4</f>
        <v>-202818.479999995</v>
      </c>
    </row>
    <row r="5" customFormat="false" ht="14.25" hidden="false" customHeight="true" outlineLevel="0" collapsed="false">
      <c r="A5" s="168" t="n">
        <v>7</v>
      </c>
      <c r="B5" s="166" t="s">
        <v>34</v>
      </c>
      <c r="C5" s="166" t="s">
        <v>34</v>
      </c>
      <c r="D5" s="166" t="s">
        <v>34</v>
      </c>
      <c r="E5" s="26" t="s">
        <v>32</v>
      </c>
      <c r="F5" s="158" t="n">
        <f aca="false">+יולי!F5+אוגוסט!F5+ספטמבר!F5</f>
        <v>296462.985</v>
      </c>
      <c r="G5" s="158" t="n">
        <f aca="false">+יולי!G5+אוגוסט!G5+ספטמבר!G5</f>
        <v>198471.91</v>
      </c>
      <c r="H5" s="158" t="n">
        <f aca="false">+יולי!H5+אוגוסט!H5+ספטמבר!H5</f>
        <v>213784.48</v>
      </c>
      <c r="I5" s="167" t="n">
        <f aca="false">IFERROR(H5/G5-1,"")</f>
        <v>0.0771523285083515</v>
      </c>
      <c r="J5" s="158" t="n">
        <f aca="false">H5-G5</f>
        <v>15312.57</v>
      </c>
      <c r="L5" s="158" t="n">
        <f aca="false">+יולי!M5+אוגוסט!M5+ספטמבר!M5</f>
        <v>225000</v>
      </c>
      <c r="M5" s="167" t="n">
        <f aca="false">IFERROR(H5/L5-1,"")</f>
        <v>-0.0498467555555556</v>
      </c>
      <c r="N5" s="158" t="n">
        <f aca="false">H5-L5</f>
        <v>-11215.52</v>
      </c>
      <c r="P5" s="166" t="n">
        <f aca="false">'תקציב  '!AL7+'תקציב  '!AM7+'תקציב  '!AN7</f>
        <v>300000</v>
      </c>
      <c r="Q5" s="167" t="n">
        <f aca="false">IFERROR(H5/P5,"-")</f>
        <v>0.712614933333333</v>
      </c>
      <c r="R5" s="158" t="n">
        <f aca="false">G5-P5</f>
        <v>-101528.09</v>
      </c>
    </row>
    <row r="6" customFormat="false" ht="14.25" hidden="false" customHeight="true" outlineLevel="0" collapsed="false">
      <c r="A6" s="168" t="n">
        <v>4</v>
      </c>
      <c r="B6" s="166" t="s">
        <v>35</v>
      </c>
      <c r="C6" s="166" t="s">
        <v>35</v>
      </c>
      <c r="D6" s="166" t="s">
        <v>35</v>
      </c>
      <c r="E6" s="26" t="s">
        <v>32</v>
      </c>
      <c r="F6" s="158" t="n">
        <f aca="false">+יולי!F6+אוגוסט!F6+ספטמבר!F6</f>
        <v>410796.625</v>
      </c>
      <c r="G6" s="158" t="n">
        <f aca="false">+יולי!G6+אוגוסט!G6+ספטמבר!G6</f>
        <v>535776.21</v>
      </c>
      <c r="H6" s="158" t="n">
        <f aca="false">+יולי!H6+אוגוסט!H6+ספטמבר!H6</f>
        <v>491023.867</v>
      </c>
      <c r="I6" s="167" t="n">
        <f aca="false">IFERROR(H6/G6-1,"")</f>
        <v>-0.0835280517587744</v>
      </c>
      <c r="J6" s="158" t="n">
        <f aca="false">H6-G6</f>
        <v>-44752.343</v>
      </c>
      <c r="L6" s="158" t="n">
        <f aca="false">+יולי!M6+אוגוסט!M6+ספטמבר!M6</f>
        <v>492000</v>
      </c>
      <c r="M6" s="167" t="n">
        <f aca="false">IFERROR(H6/L6-1,"")</f>
        <v>-0.00198401016260164</v>
      </c>
      <c r="N6" s="158" t="n">
        <f aca="false">H6-L6</f>
        <v>-976.133000000031</v>
      </c>
      <c r="P6" s="166" t="n">
        <f aca="false">'תקציב  '!AL8+'תקציב  '!AM8+'תקציב  '!AN8</f>
        <v>600000</v>
      </c>
      <c r="Q6" s="167" t="n">
        <f aca="false">IFERROR(H6/P6,"-")</f>
        <v>0.818373111666667</v>
      </c>
      <c r="R6" s="158" t="n">
        <f aca="false">G6-P6</f>
        <v>-64223.79</v>
      </c>
    </row>
    <row r="7" customFormat="false" ht="14.25" hidden="false" customHeight="true" outlineLevel="0" collapsed="false">
      <c r="A7" s="168" t="n">
        <v>3</v>
      </c>
      <c r="B7" s="166" t="s">
        <v>148</v>
      </c>
      <c r="C7" s="166" t="s">
        <v>36</v>
      </c>
      <c r="D7" s="166" t="s">
        <v>36</v>
      </c>
      <c r="E7" s="26" t="s">
        <v>32</v>
      </c>
      <c r="F7" s="158" t="n">
        <f aca="false">+יולי!F7+אוגוסט!F7+ספטמבר!F7</f>
        <v>1052046.8</v>
      </c>
      <c r="G7" s="158" t="n">
        <f aca="false">+יולי!G7+אוגוסט!G7+ספטמבר!G7</f>
        <v>940346.25</v>
      </c>
      <c r="H7" s="158" t="n">
        <f aca="false">+יולי!H7+אוגוסט!H7+ספטמבר!H7</f>
        <v>985252.4</v>
      </c>
      <c r="I7" s="167" t="n">
        <f aca="false">IFERROR(H7/G7-1,"")</f>
        <v>0.047754909428309</v>
      </c>
      <c r="J7" s="158" t="n">
        <f aca="false">H7-G7</f>
        <v>44906.1499999999</v>
      </c>
      <c r="L7" s="158" t="n">
        <f aca="false">+יולי!M7+אוגוסט!M7+ספטמבר!M7</f>
        <v>1095000</v>
      </c>
      <c r="M7" s="167" t="n">
        <f aca="false">IFERROR(H7/L7-1,"")</f>
        <v>-0.100226118721461</v>
      </c>
      <c r="N7" s="158" t="n">
        <f aca="false">H7-L7</f>
        <v>-109747.6</v>
      </c>
      <c r="P7" s="166" t="n">
        <f aca="false">'תקציב  '!AL9+'תקציב  '!AM9+'תקציב  '!AN9</f>
        <v>990000</v>
      </c>
      <c r="Q7" s="167" t="n">
        <f aca="false">IFERROR(H7/P7,"-")</f>
        <v>0.995204444444444</v>
      </c>
      <c r="R7" s="158" t="n">
        <f aca="false">G7-P7</f>
        <v>-49653.7499999999</v>
      </c>
    </row>
    <row r="8" customFormat="false" ht="14.25" hidden="false" customHeight="true" outlineLevel="0" collapsed="false">
      <c r="A8" s="168" t="n">
        <v>8</v>
      </c>
      <c r="B8" s="166" t="s">
        <v>147</v>
      </c>
      <c r="C8" s="166" t="s">
        <v>37</v>
      </c>
      <c r="D8" s="166" t="s">
        <v>37</v>
      </c>
      <c r="E8" s="26" t="s">
        <v>32</v>
      </c>
      <c r="F8" s="158" t="n">
        <f aca="false">+יולי!F8+אוגוסט!F8+ספטמבר!F8</f>
        <v>208841.57</v>
      </c>
      <c r="G8" s="158" t="n">
        <f aca="false">+יולי!G8+אוגוסט!G8+ספטמבר!G8</f>
        <v>266134.96</v>
      </c>
      <c r="H8" s="158" t="n">
        <f aca="false">+יולי!H8+אוגוסט!H8+ספטמבר!H8</f>
        <v>177157.13</v>
      </c>
      <c r="I8" s="167" t="n">
        <f aca="false">IFERROR(H8/G8-1,"")</f>
        <v>-0.334333490045802</v>
      </c>
      <c r="J8" s="158" t="n">
        <f aca="false">H8-G8</f>
        <v>-88977.83</v>
      </c>
      <c r="L8" s="158" t="n">
        <f aca="false">+יולי!M8+אוגוסט!M8+ספטמבר!M8</f>
        <v>309999.999999999</v>
      </c>
      <c r="M8" s="167" t="n">
        <f aca="false">IFERROR(H8/L8-1,"")</f>
        <v>-0.428525387096773</v>
      </c>
      <c r="N8" s="158" t="n">
        <f aca="false">H8-L8</f>
        <v>-132842.869999999</v>
      </c>
      <c r="P8" s="166" t="n">
        <f aca="false">'תקציב  '!AL10+'תקציב  '!AM10+'תקציב  '!AN10</f>
        <v>300000</v>
      </c>
      <c r="Q8" s="167" t="n">
        <f aca="false">IFERROR(H8/P8,"-")</f>
        <v>0.590523766666667</v>
      </c>
      <c r="R8" s="158" t="n">
        <f aca="false">G8-P8</f>
        <v>-33865.04</v>
      </c>
    </row>
    <row r="9" customFormat="false" ht="14.25" hidden="false" customHeight="true" outlineLevel="0" collapsed="false">
      <c r="A9" s="168" t="n">
        <v>6</v>
      </c>
      <c r="B9" s="166" t="s">
        <v>137</v>
      </c>
      <c r="C9" s="166" t="s">
        <v>38</v>
      </c>
      <c r="D9" s="166" t="s">
        <v>38</v>
      </c>
      <c r="E9" s="26" t="s">
        <v>32</v>
      </c>
      <c r="F9" s="158" t="n">
        <f aca="false">+יולי!F9+אוגוסט!F9+ספטמבר!F9</f>
        <v>204805.45</v>
      </c>
      <c r="G9" s="158" t="n">
        <f aca="false">+יולי!G9+אוגוסט!G9+ספטמבר!G9</f>
        <v>213292.42</v>
      </c>
      <c r="H9" s="158" t="n">
        <f aca="false">+יולי!H9+אוגוסט!H9+ספטמבר!H9</f>
        <v>202836.59</v>
      </c>
      <c r="I9" s="167" t="n">
        <f aca="false">IFERROR(H9/G9-1,"")</f>
        <v>-0.0490211044536886</v>
      </c>
      <c r="J9" s="158" t="n">
        <f aca="false">H9-G9</f>
        <v>-10455.83</v>
      </c>
      <c r="L9" s="158" t="n">
        <f aca="false">+יולי!M9+אוגוסט!M9+ספטמבר!M9</f>
        <v>520750.000000001</v>
      </c>
      <c r="M9" s="167" t="n">
        <f aca="false">IFERROR(H9/L9-1,"")</f>
        <v>-0.610491425828133</v>
      </c>
      <c r="N9" s="158" t="n">
        <f aca="false">H9-L9</f>
        <v>-317913.410000001</v>
      </c>
      <c r="P9" s="166" t="n">
        <f aca="false">'תקציב  '!AL11+'תקציב  '!AM11+'תקציב  '!AN11</f>
        <v>300000</v>
      </c>
      <c r="Q9" s="167" t="n">
        <f aca="false">IFERROR(H9/P9,"-")</f>
        <v>0.676121966666667</v>
      </c>
      <c r="R9" s="158" t="n">
        <f aca="false">G9-P9</f>
        <v>-86707.58</v>
      </c>
    </row>
    <row r="10" customFormat="false" ht="14.25" hidden="false" customHeight="true" outlineLevel="0" collapsed="false">
      <c r="A10" s="169" t="n">
        <v>10</v>
      </c>
      <c r="B10" s="166" t="s">
        <v>138</v>
      </c>
      <c r="C10" s="166" t="s">
        <v>39</v>
      </c>
      <c r="D10" s="166" t="s">
        <v>39</v>
      </c>
      <c r="E10" s="26" t="s">
        <v>32</v>
      </c>
      <c r="F10" s="158" t="n">
        <f aca="false">+יולי!F10+אוגוסט!F10+ספטמבר!F10</f>
        <v>56127.44</v>
      </c>
      <c r="G10" s="158" t="n">
        <f aca="false">+יולי!G10+אוגוסט!G10+ספטמבר!G10</f>
        <v>40882.55</v>
      </c>
      <c r="H10" s="158" t="n">
        <f aca="false">+יולי!H10+אוגוסט!H10+ספטמבר!H10</f>
        <v>18183.51</v>
      </c>
      <c r="I10" s="167" t="n">
        <f aca="false">IFERROR(H10/G10-1,"")</f>
        <v>-0.555225640279288</v>
      </c>
      <c r="J10" s="158" t="n">
        <f aca="false">H10-G10</f>
        <v>-22699.04</v>
      </c>
      <c r="L10" s="158" t="n">
        <f aca="false">+יולי!M10+אוגוסט!M10+ספטמבר!M10</f>
        <v>47500</v>
      </c>
      <c r="M10" s="167" t="n">
        <f aca="false">IFERROR(H10/L10-1,"")</f>
        <v>-0.617189263157895</v>
      </c>
      <c r="N10" s="158" t="n">
        <f aca="false">H10-L10</f>
        <v>-29316.49</v>
      </c>
      <c r="P10" s="166" t="n">
        <f aca="false">'תקציב  '!AL12+'תקציב  '!AM12+'תקציב  '!AN12</f>
        <v>45000</v>
      </c>
      <c r="Q10" s="167" t="n">
        <f aca="false">IFERROR(H10/P10,"-")</f>
        <v>0.404078</v>
      </c>
      <c r="R10" s="158" t="n">
        <f aca="false">G10-P10</f>
        <v>-4117.45</v>
      </c>
    </row>
    <row r="11" customFormat="false" ht="14.25" hidden="false" customHeight="true" outlineLevel="0" collapsed="false">
      <c r="A11" s="168" t="n">
        <v>11</v>
      </c>
      <c r="B11" s="166" t="s">
        <v>141</v>
      </c>
      <c r="C11" s="166" t="s">
        <v>40</v>
      </c>
      <c r="D11" s="166" t="s">
        <v>40</v>
      </c>
      <c r="E11" s="26" t="s">
        <v>32</v>
      </c>
      <c r="F11" s="158" t="n">
        <f aca="false">+יולי!F11+אוגוסט!F11+ספטמבר!F11</f>
        <v>19547.72</v>
      </c>
      <c r="G11" s="158" t="n">
        <f aca="false">+יולי!G11+אוגוסט!G11+ספטמבר!G11</f>
        <v>10678.76</v>
      </c>
      <c r="H11" s="158" t="n">
        <f aca="false">+יולי!H11+אוגוסט!H11+ספטמבר!H11</f>
        <v>10998.55</v>
      </c>
      <c r="I11" s="167" t="n">
        <f aca="false">IFERROR(H11/G11-1,"")</f>
        <v>0.0299463608134276</v>
      </c>
      <c r="J11" s="158" t="n">
        <f aca="false">H11-G11</f>
        <v>319.789999999999</v>
      </c>
      <c r="L11" s="158" t="n">
        <f aca="false">+יולי!M11+אוגוסט!M11+ספטמבר!M11</f>
        <v>26000</v>
      </c>
      <c r="M11" s="167" t="n">
        <f aca="false">IFERROR(H11/L11-1,"")</f>
        <v>-0.576978846153846</v>
      </c>
      <c r="N11" s="158" t="n">
        <f aca="false">H11-L11</f>
        <v>-15001.45</v>
      </c>
      <c r="P11" s="166" t="n">
        <f aca="false">'תקציב  '!AL13+'תקציב  '!AM13+'תקציב  '!AN13</f>
        <v>30000</v>
      </c>
      <c r="Q11" s="167" t="n">
        <f aca="false">IFERROR(H11/P11,"-")</f>
        <v>0.366618333333333</v>
      </c>
      <c r="R11" s="158" t="n">
        <f aca="false">G11-P11</f>
        <v>-19321.24</v>
      </c>
    </row>
    <row r="12" customFormat="false" ht="14.25" hidden="false" customHeight="true" outlineLevel="0" collapsed="false">
      <c r="A12" s="168" t="n">
        <v>14</v>
      </c>
      <c r="B12" s="166" t="s">
        <v>142</v>
      </c>
      <c r="C12" s="166" t="s">
        <v>41</v>
      </c>
      <c r="D12" s="166" t="s">
        <v>41</v>
      </c>
      <c r="E12" s="26" t="s">
        <v>32</v>
      </c>
      <c r="F12" s="158" t="n">
        <f aca="false">+יולי!F12+אוגוסט!F12+ספטמבר!F12</f>
        <v>1529.7</v>
      </c>
      <c r="G12" s="158" t="n">
        <f aca="false">+יולי!G12+אוגוסט!G12+ספטמבר!G12</f>
        <v>0</v>
      </c>
      <c r="H12" s="158" t="n">
        <f aca="false">+יולי!H12+אוגוסט!H12+ספטמבר!H12</f>
        <v>728.87</v>
      </c>
      <c r="I12" s="167" t="str">
        <f aca="false">IFERROR(H12/G12-1,"")</f>
        <v/>
      </c>
      <c r="J12" s="158" t="n">
        <f aca="false">H12-G12</f>
        <v>728.87</v>
      </c>
      <c r="L12" s="158" t="n">
        <f aca="false">+יולי!M12+אוגוסט!M12+ספטמבר!M12</f>
        <v>0</v>
      </c>
      <c r="M12" s="167" t="str">
        <f aca="false">IFERROR(H12/L12-1,"")</f>
        <v/>
      </c>
      <c r="N12" s="158" t="n">
        <f aca="false">H12-L12</f>
        <v>728.87</v>
      </c>
      <c r="P12" s="166" t="n">
        <f aca="false">'תקציב  '!AL14+'תקציב  '!AM14+'תקציב  '!AN14</f>
        <v>15000</v>
      </c>
      <c r="Q12" s="167" t="n">
        <f aca="false">IFERROR(H12/P12,"-")</f>
        <v>0.0485913333333333</v>
      </c>
      <c r="R12" s="158" t="n">
        <f aca="false">G12-P12</f>
        <v>-15000</v>
      </c>
    </row>
    <row r="13" customFormat="false" ht="14.25" hidden="false" customHeight="true" outlineLevel="0" collapsed="false">
      <c r="A13" s="168" t="n">
        <v>15</v>
      </c>
      <c r="B13" s="166" t="s">
        <v>139</v>
      </c>
      <c r="C13" s="166" t="s">
        <v>47</v>
      </c>
      <c r="D13" s="166" t="s">
        <v>47</v>
      </c>
      <c r="E13" s="26" t="s">
        <v>32</v>
      </c>
      <c r="F13" s="158" t="n">
        <f aca="false">+יולי!F13+אוגוסט!F13+ספטמבר!F13</f>
        <v>0</v>
      </c>
      <c r="G13" s="158" t="n">
        <f aca="false">+יולי!G13+אוגוסט!G13+ספטמבר!G13</f>
        <v>0</v>
      </c>
      <c r="H13" s="158" t="n">
        <f aca="false">+יולי!H13+אוגוסט!H13+ספטמבר!H13</f>
        <v>0</v>
      </c>
      <c r="I13" s="167" t="str">
        <f aca="false">IFERROR(H13/G13-1,"")</f>
        <v/>
      </c>
      <c r="J13" s="158" t="n">
        <f aca="false">H13-G13</f>
        <v>0</v>
      </c>
      <c r="L13" s="158" t="n">
        <f aca="false">+יולי!M13+אוגוסט!M13+ספטמבר!M13</f>
        <v>0</v>
      </c>
      <c r="M13" s="167" t="str">
        <f aca="false">IFERROR(H13/L13-1,"")</f>
        <v/>
      </c>
      <c r="N13" s="158" t="n">
        <f aca="false">H13-L13</f>
        <v>0</v>
      </c>
      <c r="P13" s="166" t="n">
        <f aca="false">'תקציב  '!AL20+'תקציב  '!AM20+'תקציב  '!AN20</f>
        <v>15000</v>
      </c>
      <c r="Q13" s="167" t="n">
        <f aca="false">IFERROR(H13/P13,"-")</f>
        <v>0</v>
      </c>
      <c r="R13" s="158" t="n">
        <f aca="false">G13-P13</f>
        <v>-15000</v>
      </c>
    </row>
    <row r="14" customFormat="false" ht="14.25" hidden="false" customHeight="true" outlineLevel="0" collapsed="false">
      <c r="A14" s="168" t="n">
        <v>13</v>
      </c>
      <c r="B14" s="166" t="s">
        <v>145</v>
      </c>
      <c r="C14" s="166" t="s">
        <v>43</v>
      </c>
      <c r="D14" s="166" t="s">
        <v>43</v>
      </c>
      <c r="E14" s="26" t="s">
        <v>32</v>
      </c>
      <c r="F14" s="158" t="n">
        <f aca="false">+יולי!F14+אוגוסט!F14+ספטמבר!F14</f>
        <v>0</v>
      </c>
      <c r="G14" s="158" t="n">
        <f aca="false">+יולי!G14+אוגוסט!G14+ספטמבר!G14</f>
        <v>651.15</v>
      </c>
      <c r="H14" s="158" t="n">
        <f aca="false">+יולי!H14+אוגוסט!H14+ספטמבר!H14</f>
        <v>7204.76</v>
      </c>
      <c r="I14" s="167" t="n">
        <f aca="false">IFERROR(H14/G14-1,"")</f>
        <v>10.0646701988789</v>
      </c>
      <c r="J14" s="158" t="n">
        <f aca="false">H14-G14</f>
        <v>6553.61</v>
      </c>
      <c r="L14" s="158" t="n">
        <f aca="false">+יולי!M14+אוגוסט!M14+ספטמבר!M14</f>
        <v>150000</v>
      </c>
      <c r="M14" s="167" t="n">
        <f aca="false">IFERROR(H14/L14-1,"")</f>
        <v>-0.951968266666667</v>
      </c>
      <c r="N14" s="158" t="n">
        <f aca="false">H14-L14</f>
        <v>-142795.24</v>
      </c>
      <c r="P14" s="166" t="n">
        <f aca="false">'תקציב  '!AL16+'תקציב  '!AM16+'תקציב  '!AN16</f>
        <v>15000</v>
      </c>
      <c r="Q14" s="167" t="n">
        <f aca="false">IFERROR(H14/P14,"-")</f>
        <v>0.480317333333333</v>
      </c>
      <c r="R14" s="158" t="n">
        <f aca="false">G14-P14</f>
        <v>-14348.85</v>
      </c>
    </row>
    <row r="15" customFormat="false" ht="14.25" hidden="false" customHeight="true" outlineLevel="0" collapsed="false">
      <c r="A15" s="168" t="n">
        <v>9</v>
      </c>
      <c r="B15" s="166" t="s">
        <v>140</v>
      </c>
      <c r="C15" s="166" t="s">
        <v>44</v>
      </c>
      <c r="D15" s="166" t="s">
        <v>44</v>
      </c>
      <c r="E15" s="26" t="s">
        <v>32</v>
      </c>
      <c r="F15" s="158" t="n">
        <f aca="false">+יולי!F15+אוגוסט!F15+ספטמבר!F15</f>
        <v>29371.78</v>
      </c>
      <c r="G15" s="158" t="n">
        <f aca="false">+יולי!G15+אוגוסט!G15+ספטמבר!G15</f>
        <v>23213.16</v>
      </c>
      <c r="H15" s="158" t="n">
        <f aca="false">+יולי!H15+אוגוסט!H15+ספטמבר!H15</f>
        <v>29566.16</v>
      </c>
      <c r="I15" s="167" t="n">
        <f aca="false">IFERROR(H15/G15-1,"")</f>
        <v>0.273680963729195</v>
      </c>
      <c r="J15" s="158" t="n">
        <f aca="false">H15-G15</f>
        <v>6353</v>
      </c>
      <c r="L15" s="158" t="n">
        <f aca="false">+יולי!M15+אוגוסט!M15+ספטמבר!M15</f>
        <v>50000.0000000001</v>
      </c>
      <c r="M15" s="167" t="n">
        <f aca="false">IFERROR(H15/L15-1,"")</f>
        <v>-0.408676800000001</v>
      </c>
      <c r="N15" s="158" t="n">
        <f aca="false">H15-L15</f>
        <v>-20433.8400000001</v>
      </c>
      <c r="P15" s="166" t="n">
        <f aca="false">'תקציב  '!AL17+'תקציב  '!AM17+'תקציב  '!AN17</f>
        <v>75000</v>
      </c>
      <c r="Q15" s="167" t="n">
        <f aca="false">IFERROR(H15/P15,"-")</f>
        <v>0.394215466666667</v>
      </c>
      <c r="R15" s="158" t="n">
        <f aca="false">G15-P15</f>
        <v>-51786.84</v>
      </c>
    </row>
    <row r="16" customFormat="false" ht="15" hidden="false" customHeight="true" outlineLevel="0" collapsed="false">
      <c r="A16" s="170"/>
      <c r="B16" s="171"/>
      <c r="C16" s="171" t="s">
        <v>119</v>
      </c>
      <c r="D16" s="171" t="s">
        <v>119</v>
      </c>
      <c r="E16" s="171"/>
      <c r="F16" s="171" t="n">
        <f aca="false">SUM(F3:F15)</f>
        <v>4365957.209</v>
      </c>
      <c r="G16" s="171" t="n">
        <f aca="false">SUM(G3:G15)</f>
        <v>4161233.18000001</v>
      </c>
      <c r="H16" s="171" t="n">
        <f aca="false">SUM(H3:H15)</f>
        <v>4160526.734</v>
      </c>
      <c r="I16" s="172" t="n">
        <f aca="false">IFERROR(H16/G16-1,"")</f>
        <v>-0.000169768424273964</v>
      </c>
      <c r="J16" s="171" t="n">
        <f aca="false">SUM(J3:J15)</f>
        <v>-706.446000004901</v>
      </c>
      <c r="L16" s="171" t="n">
        <f aca="false">SUM(L3:L15)</f>
        <v>5335250</v>
      </c>
      <c r="M16" s="172" t="n">
        <f aca="false">IFERROR(H16/L16-1,"")</f>
        <v>-0.220181484653953</v>
      </c>
      <c r="N16" s="171" t="n">
        <f aca="false">SUM(N3:N15)</f>
        <v>-1174723.266</v>
      </c>
      <c r="P16" s="171" t="n">
        <f aca="false">SUM(P3:P15)</f>
        <v>4935000</v>
      </c>
      <c r="Q16" s="172" t="n">
        <f aca="false">IFERROR(H16/P16,"-")</f>
        <v>0.843065194326241</v>
      </c>
      <c r="R16" s="171" t="n">
        <f aca="false">G16-P16</f>
        <v>-773766.819999995</v>
      </c>
    </row>
    <row r="17" customFormat="false" ht="14.25" hidden="false" customHeight="true" outlineLevel="0" collapsed="false">
      <c r="A17" s="168" t="n">
        <v>2</v>
      </c>
      <c r="B17" s="166" t="s">
        <v>149</v>
      </c>
      <c r="C17" s="166" t="s">
        <v>45</v>
      </c>
      <c r="D17" s="166" t="s">
        <v>45</v>
      </c>
      <c r="E17" s="26" t="s">
        <v>32</v>
      </c>
      <c r="F17" s="158" t="n">
        <f aca="false">+יולי!F17+אוגוסט!F17+ספטמבר!F17</f>
        <v>155853.89</v>
      </c>
      <c r="G17" s="158" t="n">
        <f aca="false">+יולי!G17+אוגוסט!G17+ספטמבר!G17</f>
        <v>443461.599999996</v>
      </c>
      <c r="H17" s="158" t="n">
        <f aca="false">+יולי!H17+אוגוסט!H17+ספטמבר!H17</f>
        <v>1136765.11</v>
      </c>
      <c r="I17" s="167" t="n">
        <f aca="false">IFERROR(H17/G17-1,"")</f>
        <v>1.56339017854084</v>
      </c>
      <c r="J17" s="158" t="n">
        <f aca="false">H17-G17</f>
        <v>693303.510000001</v>
      </c>
      <c r="L17" s="158" t="n">
        <f aca="false">+יולי!M17+אוגוסט!M17+ספטמבר!M17</f>
        <v>3149457.62711865</v>
      </c>
      <c r="M17" s="167" t="n">
        <f aca="false">IFERROR(H17/L17-1,"")</f>
        <v>-0.639060039985363</v>
      </c>
      <c r="N17" s="158" t="n">
        <f aca="false">H17-L17</f>
        <v>-2012692.51711865</v>
      </c>
      <c r="P17" s="166" t="n">
        <f aca="false">'תקציב  '!AL18+'תקציב  '!AM18+'תקציב  '!AN18</f>
        <v>3472877.9661017</v>
      </c>
      <c r="Q17" s="167" t="n">
        <f aca="false">IFERROR(H17/P17,"-")</f>
        <v>0.327326534676948</v>
      </c>
      <c r="R17" s="158" t="n">
        <f aca="false">G17-P17</f>
        <v>-3029416.3661017</v>
      </c>
    </row>
    <row r="18" customFormat="false" ht="14.25" hidden="false" customHeight="true" outlineLevel="0" collapsed="false">
      <c r="A18" s="168" t="n">
        <v>12</v>
      </c>
      <c r="B18" s="166" t="s">
        <v>150</v>
      </c>
      <c r="C18" s="166" t="s">
        <v>46</v>
      </c>
      <c r="D18" s="166" t="s">
        <v>46</v>
      </c>
      <c r="E18" s="26" t="s">
        <v>32</v>
      </c>
      <c r="F18" s="158" t="n">
        <f aca="false">+יולי!F18+אוגוסט!F18+ספטמבר!F18</f>
        <v>9174.34</v>
      </c>
      <c r="G18" s="158" t="n">
        <f aca="false">+יולי!G18+אוגוסט!G18+ספטמבר!G18</f>
        <v>5613.99</v>
      </c>
      <c r="H18" s="158" t="n">
        <f aca="false">+יולי!H18+אוגוסט!H18+ספטמבר!H18</f>
        <v>3773.46</v>
      </c>
      <c r="I18" s="167" t="n">
        <f aca="false">IFERROR(H18/G18-1,"")</f>
        <v>-0.327847039271534</v>
      </c>
      <c r="J18" s="158" t="n">
        <f aca="false">H18-G18</f>
        <v>-1840.53</v>
      </c>
      <c r="L18" s="158" t="n">
        <f aca="false">+יולי!M18+אוגוסט!M18+ספטמבר!M18</f>
        <v>7610.78499999999</v>
      </c>
      <c r="M18" s="167" t="n">
        <f aca="false">IFERROR(H18/L18-1,"")</f>
        <v>-0.50419569072047</v>
      </c>
      <c r="N18" s="158" t="n">
        <f aca="false">H18-L18</f>
        <v>-3837.32499999999</v>
      </c>
      <c r="P18" s="166" t="n">
        <f aca="false">'תקציב  '!AL19+'תקציב  '!AM19+'תקציב  '!AN19</f>
        <v>15000</v>
      </c>
      <c r="Q18" s="167" t="n">
        <f aca="false">IFERROR(H18/P18,"-")</f>
        <v>0.251564</v>
      </c>
      <c r="R18" s="158" t="n">
        <f aca="false">G18-P18</f>
        <v>-9386.01</v>
      </c>
    </row>
    <row r="19" customFormat="false" ht="15" hidden="false" customHeight="true" outlineLevel="0" collapsed="false">
      <c r="A19" s="169"/>
      <c r="B19" s="171"/>
      <c r="C19" s="171" t="s">
        <v>48</v>
      </c>
      <c r="D19" s="171" t="s">
        <v>48</v>
      </c>
      <c r="E19" s="171"/>
      <c r="F19" s="171" t="n">
        <f aca="false">F16+F17+F18</f>
        <v>4530985.439</v>
      </c>
      <c r="G19" s="171" t="n">
        <f aca="false">G16+G17+G18</f>
        <v>4610308.77</v>
      </c>
      <c r="H19" s="171" t="n">
        <f aca="false">H16+H17+H18</f>
        <v>5301065.304</v>
      </c>
      <c r="I19" s="172" t="n">
        <f aca="false">IFERROR(H19/G19-1,"")</f>
        <v>0.149828692276504</v>
      </c>
      <c r="J19" s="171" t="n">
        <f aca="false">J16+J17+J18</f>
        <v>690756.533999996</v>
      </c>
      <c r="L19" s="171" t="n">
        <f aca="false">L16+L17+L18</f>
        <v>8492318.41211865</v>
      </c>
      <c r="M19" s="172" t="n">
        <f aca="false">IFERROR(H19/L19-1,"")</f>
        <v>-0.375781141644983</v>
      </c>
      <c r="N19" s="171" t="n">
        <f aca="false">N16+N17+N18</f>
        <v>-3191253.10811865</v>
      </c>
      <c r="P19" s="171" t="n">
        <f aca="false">P16+P17+P18</f>
        <v>8422877.9661017</v>
      </c>
      <c r="Q19" s="172" t="n">
        <f aca="false">IFERROR(H19/P19,"-")</f>
        <v>0.629365084634302</v>
      </c>
      <c r="R19" s="171" t="n">
        <f aca="false">G19-P19</f>
        <v>-3812569.1961017</v>
      </c>
    </row>
    <row r="20" customFormat="false" ht="14.25" hidden="false" customHeight="true" outlineLevel="0" collapsed="false">
      <c r="A20" s="169" t="n">
        <v>50</v>
      </c>
      <c r="B20" s="166" t="s">
        <v>155</v>
      </c>
      <c r="C20" s="166" t="s">
        <v>49</v>
      </c>
      <c r="D20" s="166" t="s">
        <v>50</v>
      </c>
      <c r="E20" s="26" t="s">
        <v>51</v>
      </c>
      <c r="F20" s="158" t="n">
        <f aca="false">+יולי!F20+אוגוסט!F20+ספטמבר!F20</f>
        <v>848593.61</v>
      </c>
      <c r="G20" s="158" t="n">
        <f aca="false">+יולי!G20+אוגוסט!G20+ספטמבר!G20</f>
        <v>853434.64</v>
      </c>
      <c r="H20" s="158" t="n">
        <f aca="false">+יולי!H20+אוגוסט!H20+ספטמבר!H20</f>
        <v>625305.33</v>
      </c>
      <c r="I20" s="167" t="n">
        <f aca="false">IFERROR(H20/G20-1,"")</f>
        <v>-0.267307300767637</v>
      </c>
      <c r="J20" s="158" t="n">
        <f aca="false">H20-G20</f>
        <v>-228129.31</v>
      </c>
      <c r="L20" s="158" t="n">
        <f aca="false">+יולי!M20+אוגוסט!M20+ספטמבר!M20</f>
        <v>1420410.3309</v>
      </c>
      <c r="M20" s="167" t="n">
        <f aca="false">IFERROR(H20/L20-1,"")</f>
        <v>-0.559771344662219</v>
      </c>
      <c r="N20" s="158" t="n">
        <f aca="false">H20-L20</f>
        <v>-795105.0009</v>
      </c>
      <c r="P20" s="166" t="n">
        <f aca="false">'תקציב  '!AL22+'תקציב  '!AM22+'תקציב  '!AN22</f>
        <v>945572.1</v>
      </c>
      <c r="Q20" s="167" t="n">
        <f aca="false">IFERROR(H20/P20,"-")</f>
        <v>0.66129841394432</v>
      </c>
      <c r="R20" s="158" t="n">
        <f aca="false">G20-P20</f>
        <v>-92137.46</v>
      </c>
    </row>
    <row r="21" customFormat="false" ht="14.25" hidden="false" customHeight="true" outlineLevel="0" collapsed="false">
      <c r="A21" s="169" t="n">
        <v>20</v>
      </c>
      <c r="B21" s="166" t="s">
        <v>151</v>
      </c>
      <c r="C21" s="166" t="s">
        <v>52</v>
      </c>
      <c r="D21" s="166" t="s">
        <v>53</v>
      </c>
      <c r="E21" s="26" t="s">
        <v>54</v>
      </c>
      <c r="F21" s="158" t="n">
        <f aca="false">+יולי!F21+אוגוסט!F21+ספטמבר!F21</f>
        <v>301013.63</v>
      </c>
      <c r="G21" s="158" t="n">
        <f aca="false">+יולי!G21+אוגוסט!G21+ספטמבר!G21</f>
        <v>187405.66</v>
      </c>
      <c r="H21" s="158" t="n">
        <f aca="false">+יולי!H21+אוגוסט!H21+ספטמבר!H21</f>
        <v>132101.57</v>
      </c>
      <c r="I21" s="167" t="n">
        <f aca="false">IFERROR(H21/G21-1,"")</f>
        <v>-0.29510362707295</v>
      </c>
      <c r="J21" s="158" t="n">
        <f aca="false">H21-G21</f>
        <v>-55304.09</v>
      </c>
      <c r="L21" s="158" t="n">
        <f aca="false">+יולי!M21+אוגוסט!M21+ספטמבר!M21</f>
        <v>205800</v>
      </c>
      <c r="M21" s="167" t="n">
        <f aca="false">IFERROR(H21/L21-1,"")</f>
        <v>-0.358107045675413</v>
      </c>
      <c r="N21" s="158" t="n">
        <f aca="false">H21-L21</f>
        <v>-73698.43</v>
      </c>
      <c r="P21" s="166" t="n">
        <f aca="false">'תקציב  '!AI23+'תקציב  '!AJ23+'תקציב  '!AK23</f>
        <v>130000</v>
      </c>
      <c r="Q21" s="167" t="n">
        <f aca="false">IFERROR(H21/P21,"-")</f>
        <v>1.01616592307692</v>
      </c>
      <c r="R21" s="158" t="n">
        <f aca="false">G21-P21</f>
        <v>57405.66</v>
      </c>
    </row>
    <row r="22" customFormat="false" ht="14.25" hidden="false" customHeight="true" outlineLevel="0" collapsed="false">
      <c r="A22" s="169" t="n">
        <v>21</v>
      </c>
      <c r="B22" s="166" t="s">
        <v>157</v>
      </c>
      <c r="C22" s="166" t="s">
        <v>55</v>
      </c>
      <c r="D22" s="166" t="s">
        <v>56</v>
      </c>
      <c r="E22" s="26" t="s">
        <v>57</v>
      </c>
      <c r="F22" s="158" t="n">
        <f aca="false">+יולי!F22+אוגוסט!F22+ספטמבר!F22</f>
        <v>94000.17</v>
      </c>
      <c r="G22" s="158" t="n">
        <f aca="false">+יולי!G22+אוגוסט!G22+ספטמבר!G22</f>
        <v>269184.45</v>
      </c>
      <c r="H22" s="158" t="n">
        <f aca="false">+יולי!H22+אוגוסט!H22+ספטמבר!H22</f>
        <v>10986.57</v>
      </c>
      <c r="I22" s="167" t="n">
        <f aca="false">IFERROR(H22/G22-1,"")</f>
        <v>-0.959185718194346</v>
      </c>
      <c r="J22" s="158" t="n">
        <f aca="false">H22-G22</f>
        <v>-258197.88</v>
      </c>
      <c r="L22" s="158" t="n">
        <f aca="false">+יולי!M22+אוגוסט!M22+ספטמבר!M22</f>
        <v>148390</v>
      </c>
      <c r="M22" s="167" t="n">
        <f aca="false">IFERROR(H22/L22-1,"")</f>
        <v>-0.925961520318081</v>
      </c>
      <c r="N22" s="158" t="n">
        <f aca="false">H22-L22</f>
        <v>-137403.43</v>
      </c>
      <c r="P22" s="166" t="n">
        <f aca="false">'תקציב  '!AI24+'תקציב  '!AJ24+'תקציב  '!AK24</f>
        <v>60000</v>
      </c>
      <c r="Q22" s="167" t="n">
        <f aca="false">IFERROR(H22/P22,"-")</f>
        <v>0.1831095</v>
      </c>
      <c r="R22" s="158" t="n">
        <f aca="false">G22-P22</f>
        <v>209184.45</v>
      </c>
    </row>
    <row r="23" customFormat="false" ht="14.25" hidden="false" customHeight="true" outlineLevel="0" collapsed="false">
      <c r="A23" s="169" t="n">
        <v>22</v>
      </c>
      <c r="B23" s="166" t="s">
        <v>159</v>
      </c>
      <c r="C23" s="166" t="s">
        <v>58</v>
      </c>
      <c r="D23" s="166" t="s">
        <v>59</v>
      </c>
      <c r="E23" s="26" t="s">
        <v>60</v>
      </c>
      <c r="F23" s="158" t="n">
        <f aca="false">+יולי!F23+אוגוסט!F23+ספטמבר!F23</f>
        <v>86243.85</v>
      </c>
      <c r="G23" s="158" t="n">
        <f aca="false">+יולי!G23+אוגוסט!G23+ספטמבר!G23</f>
        <v>156404.78</v>
      </c>
      <c r="H23" s="158" t="n">
        <f aca="false">+יולי!H23+אוגוסט!H23+ספטמבר!H23</f>
        <v>51223.23</v>
      </c>
      <c r="I23" s="167" t="n">
        <f aca="false">IFERROR(H23/G23-1,"")</f>
        <v>-0.672495751088937</v>
      </c>
      <c r="J23" s="158" t="n">
        <f aca="false">H23-G23</f>
        <v>-105181.55</v>
      </c>
      <c r="L23" s="158" t="n">
        <f aca="false">+יולי!M23+אוגוסט!M23+ספטמבר!M23</f>
        <v>170000</v>
      </c>
      <c r="M23" s="167" t="n">
        <f aca="false">IFERROR(H23/L23-1,"")</f>
        <v>-0.698686882352941</v>
      </c>
      <c r="N23" s="158" t="n">
        <f aca="false">H23-L23</f>
        <v>-118776.77</v>
      </c>
      <c r="P23" s="166" t="n">
        <f aca="false">'תקציב  '!AI25+'תקציב  '!AJ25+'תקציב  '!AK25</f>
        <v>75000</v>
      </c>
      <c r="Q23" s="167" t="n">
        <f aca="false">IFERROR(H23/P23,"-")</f>
        <v>0.6829764</v>
      </c>
      <c r="R23" s="158" t="n">
        <f aca="false">G23-P23</f>
        <v>81404.78</v>
      </c>
    </row>
    <row r="24" customFormat="false" ht="14.25" hidden="false" customHeight="true" outlineLevel="0" collapsed="false">
      <c r="A24" s="169" t="n">
        <v>23</v>
      </c>
      <c r="B24" s="166" t="s">
        <v>154</v>
      </c>
      <c r="C24" s="166" t="s">
        <v>61</v>
      </c>
      <c r="D24" s="166" t="s">
        <v>62</v>
      </c>
      <c r="E24" s="26" t="s">
        <v>63</v>
      </c>
      <c r="F24" s="158" t="n">
        <f aca="false">+יולי!F24+אוגוסט!F24+ספטמבר!F24</f>
        <v>46527.76</v>
      </c>
      <c r="G24" s="158" t="n">
        <f aca="false">+יולי!G24+אוגוסט!G24+ספטמבר!G24</f>
        <v>49292.55</v>
      </c>
      <c r="H24" s="158" t="n">
        <f aca="false">+יולי!H24+אוגוסט!H24+ספטמבר!H24</f>
        <v>34611.94</v>
      </c>
      <c r="I24" s="167" t="n">
        <f aca="false">IFERROR(H24/G24-1,"")</f>
        <v>-0.297826142084351</v>
      </c>
      <c r="J24" s="158" t="n">
        <f aca="false">H24-G24</f>
        <v>-14680.61</v>
      </c>
      <c r="L24" s="158" t="n">
        <f aca="false">+יולי!M24+אוגוסט!M24+ספטמבר!M24</f>
        <v>44000</v>
      </c>
      <c r="M24" s="167" t="n">
        <f aca="false">IFERROR(H24/L24-1,"")</f>
        <v>-0.213365</v>
      </c>
      <c r="N24" s="158" t="n">
        <f aca="false">H24-L24</f>
        <v>-9388.06</v>
      </c>
      <c r="P24" s="166" t="n">
        <f aca="false">'תקציב  '!AI26+'תקציב  '!AJ26+'תקציב  '!AK26</f>
        <v>35000</v>
      </c>
      <c r="Q24" s="167" t="n">
        <f aca="false">IFERROR(H24/P24,"-")</f>
        <v>0.988912571428572</v>
      </c>
      <c r="R24" s="158" t="n">
        <f aca="false">G24-P24</f>
        <v>14292.55</v>
      </c>
    </row>
    <row r="25" customFormat="false" ht="14.25" hidden="false" customHeight="true" outlineLevel="0" collapsed="false">
      <c r="A25" s="169" t="n">
        <v>24</v>
      </c>
      <c r="B25" s="166" t="s">
        <v>156</v>
      </c>
      <c r="C25" s="166" t="s">
        <v>64</v>
      </c>
      <c r="D25" s="166" t="s">
        <v>65</v>
      </c>
      <c r="E25" s="26" t="s">
        <v>66</v>
      </c>
      <c r="F25" s="158" t="n">
        <f aca="false">+יולי!F25+אוגוסט!F25+ספטמבר!F25</f>
        <v>0</v>
      </c>
      <c r="G25" s="158" t="n">
        <f aca="false">+יולי!G25+אוגוסט!G25+ספטמבר!G25</f>
        <v>0</v>
      </c>
      <c r="H25" s="158" t="n">
        <f aca="false">+יולי!H25+אוגוסט!H25+ספטמבר!H25</f>
        <v>0</v>
      </c>
      <c r="I25" s="167" t="str">
        <f aca="false">IFERROR(H25/G25-1,"")</f>
        <v/>
      </c>
      <c r="J25" s="158" t="n">
        <f aca="false">H25-G25</f>
        <v>0</v>
      </c>
      <c r="L25" s="158" t="n">
        <f aca="false">+יולי!M25+אוגוסט!M25+ספטמבר!M25</f>
        <v>15000</v>
      </c>
      <c r="M25" s="167" t="n">
        <f aca="false">IFERROR(H25/L25-1,"")</f>
        <v>-1</v>
      </c>
      <c r="N25" s="158" t="n">
        <f aca="false">H25-L25</f>
        <v>-15000</v>
      </c>
      <c r="P25" s="166" t="n">
        <f aca="false">'תקציב  '!AI27+'תקציב  '!AJ27+'תקציב  '!AK27</f>
        <v>0</v>
      </c>
      <c r="Q25" s="167" t="str">
        <f aca="false">IFERROR(H25/P25,"-")</f>
        <v>-</v>
      </c>
      <c r="R25" s="158" t="n">
        <f aca="false">G25-P25</f>
        <v>0</v>
      </c>
    </row>
    <row r="26" customFormat="false" ht="13.5" hidden="false" customHeight="true" outlineLevel="0" collapsed="false">
      <c r="A26" s="169" t="n">
        <v>25</v>
      </c>
      <c r="B26" s="166" t="s">
        <v>162</v>
      </c>
      <c r="C26" s="166" t="s">
        <v>67</v>
      </c>
      <c r="D26" s="166" t="s">
        <v>68</v>
      </c>
      <c r="E26" s="26" t="s">
        <v>69</v>
      </c>
      <c r="F26" s="158" t="n">
        <f aca="false">+יולי!F26+אוגוסט!F26+ספטמבר!F26</f>
        <v>0</v>
      </c>
      <c r="G26" s="158" t="n">
        <f aca="false">+יולי!G26+אוגוסט!G26+ספטמבר!G26</f>
        <v>0</v>
      </c>
      <c r="H26" s="158" t="n">
        <f aca="false">+יולי!H26+אוגוסט!H26+ספטמבר!H26</f>
        <v>221407.78</v>
      </c>
      <c r="I26" s="167" t="str">
        <f aca="false">IFERROR(H26/G26-1,"")</f>
        <v/>
      </c>
      <c r="J26" s="158" t="n">
        <f aca="false">H26-G26</f>
        <v>221407.78</v>
      </c>
      <c r="L26" s="158" t="n">
        <f aca="false">+יולי!M26+אוגוסט!M26+ספטמבר!M26</f>
        <v>150000</v>
      </c>
      <c r="M26" s="167" t="n">
        <f aca="false">IFERROR(H26/L26-1,"")</f>
        <v>0.476051866666667</v>
      </c>
      <c r="N26" s="158" t="n">
        <f aca="false">H26-L26</f>
        <v>71407.78</v>
      </c>
      <c r="P26" s="166" t="n">
        <f aca="false">'תקציב  '!AI28+'תקציב  '!AJ28+'תקציב  '!AK28</f>
        <v>310000</v>
      </c>
      <c r="Q26" s="167" t="n">
        <f aca="false">IFERROR(H26/P26,"-")</f>
        <v>0.71421864516129</v>
      </c>
      <c r="R26" s="158" t="n">
        <f aca="false">G26-P26</f>
        <v>-310000</v>
      </c>
    </row>
    <row r="27" customFormat="false" ht="14.25" hidden="false" customHeight="true" outlineLevel="0" collapsed="false">
      <c r="A27" s="169" t="n">
        <v>26</v>
      </c>
      <c r="B27" s="166" t="s">
        <v>153</v>
      </c>
      <c r="C27" s="166" t="s">
        <v>70</v>
      </c>
      <c r="D27" s="166" t="s">
        <v>71</v>
      </c>
      <c r="E27" s="26" t="s">
        <v>72</v>
      </c>
      <c r="F27" s="158" t="n">
        <f aca="false">+יולי!F27+אוגוסט!F27+ספטמבר!F27</f>
        <v>42077.04</v>
      </c>
      <c r="G27" s="158" t="n">
        <f aca="false">+יולי!G27+אוגוסט!G27+ספטמבר!G27</f>
        <v>31010.8</v>
      </c>
      <c r="H27" s="158" t="n">
        <f aca="false">+יולי!H27+אוגוסט!H27+ספטמבר!H27</f>
        <v>0</v>
      </c>
      <c r="I27" s="167" t="n">
        <f aca="false">IFERROR(H27/G27-1,"")</f>
        <v>-1</v>
      </c>
      <c r="J27" s="158" t="n">
        <f aca="false">H27-G27</f>
        <v>-31010.8</v>
      </c>
      <c r="L27" s="158" t="n">
        <f aca="false">+יולי!M27+אוגוסט!M27+ספטמבר!M27</f>
        <v>40000</v>
      </c>
      <c r="M27" s="167" t="n">
        <f aca="false">IFERROR(H27/L27-1,"")</f>
        <v>-1</v>
      </c>
      <c r="N27" s="158" t="n">
        <f aca="false">H27-L27</f>
        <v>-40000</v>
      </c>
      <c r="P27" s="166" t="n">
        <f aca="false">'תקציב  '!AI29+'תקציב  '!AJ29+'תקציב  '!AK29</f>
        <v>20000</v>
      </c>
      <c r="Q27" s="167" t="n">
        <f aca="false">IFERROR(H27/P27,"-")</f>
        <v>0</v>
      </c>
      <c r="R27" s="158" t="n">
        <f aca="false">G27-P27</f>
        <v>11010.8</v>
      </c>
    </row>
    <row r="28" customFormat="false" ht="13.5" hidden="false" customHeight="true" outlineLevel="0" collapsed="false">
      <c r="A28" s="169" t="n">
        <v>27</v>
      </c>
      <c r="B28" s="166" t="s">
        <v>163</v>
      </c>
      <c r="C28" s="166" t="s">
        <v>73</v>
      </c>
      <c r="D28" s="166" t="s">
        <v>74</v>
      </c>
      <c r="E28" s="26" t="s">
        <v>75</v>
      </c>
      <c r="F28" s="158" t="n">
        <f aca="false">+יולי!F28+אוגוסט!F28+ספטמבר!F28</f>
        <v>0</v>
      </c>
      <c r="G28" s="158" t="n">
        <f aca="false">+יולי!G28+אוגוסט!G28+ספטמבר!G28</f>
        <v>0</v>
      </c>
      <c r="H28" s="158" t="n">
        <f aca="false">+יולי!H28+אוגוסט!H28+ספטמבר!H28</f>
        <v>0</v>
      </c>
      <c r="I28" s="167" t="str">
        <f aca="false">IFERROR(H28/G28-1,"")</f>
        <v/>
      </c>
      <c r="J28" s="158" t="n">
        <f aca="false">H28-G28</f>
        <v>0</v>
      </c>
      <c r="L28" s="158" t="n">
        <f aca="false">+יולי!M28+אוגוסט!M28+ספטמבר!M28</f>
        <v>250000</v>
      </c>
      <c r="M28" s="167" t="n">
        <f aca="false">IFERROR(H28/L28-1,"")</f>
        <v>-1</v>
      </c>
      <c r="N28" s="158" t="n">
        <f aca="false">H28-L28</f>
        <v>-250000</v>
      </c>
      <c r="P28" s="166" t="n">
        <f aca="false">'תקציב  '!AI30+'תקציב  '!AJ30+'תקציב  '!AK30</f>
        <v>150000</v>
      </c>
      <c r="Q28" s="167" t="n">
        <f aca="false">IFERROR(H28/P28,"-")</f>
        <v>0</v>
      </c>
      <c r="R28" s="158" t="n">
        <f aca="false">G28-P28</f>
        <v>-150000</v>
      </c>
    </row>
    <row r="29" customFormat="false" ht="13.5" hidden="false" customHeight="true" outlineLevel="0" collapsed="false">
      <c r="A29" s="169" t="n">
        <v>28</v>
      </c>
      <c r="B29" s="166" t="s">
        <v>164</v>
      </c>
      <c r="C29" s="166" t="s">
        <v>76</v>
      </c>
      <c r="D29" s="166" t="s">
        <v>77</v>
      </c>
      <c r="E29" s="26" t="s">
        <v>78</v>
      </c>
      <c r="F29" s="158" t="n">
        <f aca="false">+יולי!F29+אוגוסט!F29+ספטמבר!F29</f>
        <v>114399.53</v>
      </c>
      <c r="G29" s="158" t="n">
        <f aca="false">+יולי!G29+אוגוסט!G29+ספטמבר!G29</f>
        <v>110768.02</v>
      </c>
      <c r="H29" s="158" t="n">
        <f aca="false">+יולי!H29+אוגוסט!H29+ספטמבר!H29</f>
        <v>97628.02</v>
      </c>
      <c r="I29" s="167" t="n">
        <f aca="false">IFERROR(H29/G29-1,"")</f>
        <v>-0.118626296651326</v>
      </c>
      <c r="J29" s="158" t="n">
        <f aca="false">H29-G29</f>
        <v>-13140</v>
      </c>
      <c r="L29" s="158" t="n">
        <f aca="false">+יולי!M29+אוגוסט!M29+ספטמבר!M29</f>
        <v>119295.228</v>
      </c>
      <c r="M29" s="167" t="n">
        <f aca="false">IFERROR(H29/L29-1,"")</f>
        <v>-0.181626778901835</v>
      </c>
      <c r="N29" s="158" t="n">
        <f aca="false">H29-L29</f>
        <v>-21667.208</v>
      </c>
      <c r="P29" s="166" t="n">
        <f aca="false">'תקציב  '!AI31+'תקציב  '!AJ31+'תקציב  '!AK31</f>
        <v>100000</v>
      </c>
      <c r="Q29" s="167" t="n">
        <f aca="false">IFERROR(H29/P29,"-")</f>
        <v>0.9762802</v>
      </c>
      <c r="R29" s="158" t="n">
        <f aca="false">G29-P29</f>
        <v>10768.02</v>
      </c>
    </row>
    <row r="30" customFormat="false" ht="14.25" hidden="false" customHeight="true" outlineLevel="0" collapsed="false">
      <c r="A30" s="169" t="n">
        <v>29</v>
      </c>
      <c r="B30" s="166" t="s">
        <v>158</v>
      </c>
      <c r="C30" s="166" t="s">
        <v>79</v>
      </c>
      <c r="D30" s="166" t="s">
        <v>80</v>
      </c>
      <c r="E30" s="26" t="s">
        <v>81</v>
      </c>
      <c r="F30" s="158" t="n">
        <f aca="false">+יולי!F30+אוגוסט!F30+ספטמבר!F30</f>
        <v>54153.1</v>
      </c>
      <c r="G30" s="158" t="n">
        <f aca="false">+יולי!G30+אוגוסט!G30+ספטמבר!G30</f>
        <v>0</v>
      </c>
      <c r="H30" s="158" t="n">
        <f aca="false">+יולי!H30+אוגוסט!H30+ספטמבר!H30</f>
        <v>0</v>
      </c>
      <c r="I30" s="167" t="str">
        <f aca="false">IFERROR(H30/G30-1,"")</f>
        <v/>
      </c>
      <c r="J30" s="158" t="n">
        <f aca="false">H30-G30</f>
        <v>0</v>
      </c>
      <c r="L30" s="158" t="n">
        <f aca="false">+יולי!M30+אוגוסט!M30+ספטמבר!M30</f>
        <v>0</v>
      </c>
      <c r="M30" s="167" t="str">
        <f aca="false">IFERROR(H30/L30-1,"")</f>
        <v/>
      </c>
      <c r="N30" s="158" t="n">
        <f aca="false">H30-L30</f>
        <v>0</v>
      </c>
      <c r="P30" s="166" t="n">
        <f aca="false">'תקציב  '!AI32+'תקציב  '!AJ32+'תקציב  '!AK32</f>
        <v>0</v>
      </c>
      <c r="Q30" s="167" t="str">
        <f aca="false">IFERROR(H30/P30,"-")</f>
        <v>-</v>
      </c>
      <c r="R30" s="158" t="n">
        <f aca="false">G30-P30</f>
        <v>0</v>
      </c>
    </row>
    <row r="31" customFormat="false" ht="14.25" hidden="false" customHeight="true" outlineLevel="0" collapsed="false">
      <c r="A31" s="169" t="n">
        <v>30</v>
      </c>
      <c r="B31" s="166" t="s">
        <v>152</v>
      </c>
      <c r="C31" s="166" t="s">
        <v>82</v>
      </c>
      <c r="D31" s="166" t="s">
        <v>83</v>
      </c>
      <c r="E31" s="26" t="s">
        <v>81</v>
      </c>
      <c r="F31" s="158" t="n">
        <f aca="false">+יולי!F31+אוגוסט!F31+ספטמבר!F31</f>
        <v>20673.57</v>
      </c>
      <c r="G31" s="158" t="n">
        <f aca="false">+יולי!G31+אוגוסט!G31+ספטמבר!G31</f>
        <v>0</v>
      </c>
      <c r="H31" s="158" t="n">
        <f aca="false">+יולי!H31+אוגוסט!H31+ספטמבר!H31</f>
        <v>21590.63</v>
      </c>
      <c r="I31" s="167" t="str">
        <f aca="false">IFERROR(H31/G31-1,"")</f>
        <v/>
      </c>
      <c r="J31" s="158" t="n">
        <f aca="false">H31-G31</f>
        <v>21590.63</v>
      </c>
      <c r="L31" s="158" t="n">
        <f aca="false">+יולי!M31+אוגוסט!M31+ספטמבר!M31</f>
        <v>20000</v>
      </c>
      <c r="M31" s="167" t="n">
        <f aca="false">IFERROR(H31/L31-1,"")</f>
        <v>0.0795315000000001</v>
      </c>
      <c r="N31" s="158" t="n">
        <f aca="false">H31-L31</f>
        <v>1590.63</v>
      </c>
      <c r="P31" s="166" t="n">
        <f aca="false">'תקציב  '!AI33+'תקציב  '!AJ33+'תקציב  '!AK33</f>
        <v>25000</v>
      </c>
      <c r="Q31" s="167" t="n">
        <f aca="false">IFERROR(H31/P31,"-")</f>
        <v>0.8636252</v>
      </c>
      <c r="R31" s="158" t="n">
        <f aca="false">G31-P31</f>
        <v>-25000</v>
      </c>
    </row>
    <row r="32" customFormat="false" ht="13.5" hidden="false" customHeight="true" outlineLevel="0" collapsed="false">
      <c r="A32" s="169" t="n">
        <v>31</v>
      </c>
      <c r="B32" s="166" t="s">
        <v>84</v>
      </c>
      <c r="C32" s="166" t="s">
        <v>84</v>
      </c>
      <c r="D32" s="166" t="s">
        <v>85</v>
      </c>
      <c r="E32" s="26" t="s">
        <v>86</v>
      </c>
      <c r="F32" s="158" t="n">
        <f aca="false">+יולי!F32+אוגוסט!F32+ספטמבר!F32</f>
        <v>31722.98</v>
      </c>
      <c r="G32" s="158" t="n">
        <f aca="false">+יולי!G32+אוגוסט!G32+ספטמבר!G32</f>
        <v>65762.07</v>
      </c>
      <c r="H32" s="158" t="n">
        <f aca="false">+יולי!H32+אוגוסט!H32+ספטמבר!H32</f>
        <v>10037.15</v>
      </c>
      <c r="I32" s="167" t="n">
        <f aca="false">IFERROR(H32/G32-1,"")</f>
        <v>-0.847371744837107</v>
      </c>
      <c r="J32" s="158" t="n">
        <f aca="false">H32-G32</f>
        <v>-55724.92</v>
      </c>
      <c r="L32" s="158" t="n">
        <f aca="false">+יולי!M32+אוגוסט!M32+ספטמבר!M32</f>
        <v>67000</v>
      </c>
      <c r="M32" s="167" t="n">
        <f aca="false">IFERROR(H32/L32-1,"")</f>
        <v>-0.850191791044776</v>
      </c>
      <c r="N32" s="158" t="n">
        <f aca="false">H32-L32</f>
        <v>-56962.85</v>
      </c>
      <c r="P32" s="166" t="n">
        <f aca="false">'תקציב  '!AI34+'תקציב  '!AJ34+'תקציב  '!AK34</f>
        <v>17500</v>
      </c>
      <c r="Q32" s="167" t="n">
        <f aca="false">IFERROR(H32/P32,"-")</f>
        <v>0.573551428571429</v>
      </c>
      <c r="R32" s="158" t="n">
        <f aca="false">G32-P32</f>
        <v>48262.07</v>
      </c>
    </row>
    <row r="33" customFormat="false" ht="13.5" hidden="false" customHeight="true" outlineLevel="0" collapsed="false">
      <c r="A33" s="169"/>
      <c r="B33" s="166"/>
      <c r="C33" s="166"/>
      <c r="D33" s="166" t="s">
        <v>171</v>
      </c>
      <c r="E33" s="26" t="s">
        <v>172</v>
      </c>
      <c r="F33" s="158" t="n">
        <f aca="false">+יולי!F33+אוגוסט!F33+ספטמבר!F33</f>
        <v>0</v>
      </c>
      <c r="G33" s="158" t="n">
        <f aca="false">+יולי!G33+אוגוסט!G33+ספטמבר!G33</f>
        <v>0</v>
      </c>
      <c r="H33" s="158" t="n">
        <f aca="false">+יולי!H33+אוגוסט!H33+ספטמבר!H33</f>
        <v>0</v>
      </c>
      <c r="I33" s="167" t="str">
        <f aca="false">IFERROR(H33/G33-1,"")</f>
        <v/>
      </c>
      <c r="J33" s="158" t="n">
        <f aca="false">H33-G33</f>
        <v>0</v>
      </c>
      <c r="L33" s="158" t="n">
        <f aca="false">+יולי!M33+אוגוסט!M33+ספטמבר!M33</f>
        <v>0</v>
      </c>
      <c r="M33" s="167" t="str">
        <f aca="false">IFERROR(H33/L33-1,"")</f>
        <v/>
      </c>
      <c r="N33" s="158" t="n">
        <f aca="false">H33-L33</f>
        <v>0</v>
      </c>
      <c r="P33" s="166" t="n">
        <f aca="false">'תקציב  '!AI35+'תקציב  '!AJ35+'תקציב  '!AK35</f>
        <v>20000</v>
      </c>
      <c r="Q33" s="167" t="n">
        <f aca="false">IFERROR(H33/P33,"-")</f>
        <v>0</v>
      </c>
      <c r="R33" s="158" t="n">
        <f aca="false">G33-P33</f>
        <v>-20000</v>
      </c>
    </row>
    <row r="34" customFormat="false" ht="13.5" hidden="false" customHeight="true" outlineLevel="0" collapsed="false">
      <c r="A34" s="169" t="n">
        <v>32</v>
      </c>
      <c r="B34" s="166" t="s">
        <v>161</v>
      </c>
      <c r="C34" s="166" t="s">
        <v>87</v>
      </c>
      <c r="D34" s="166" t="s">
        <v>88</v>
      </c>
      <c r="E34" s="26" t="s">
        <v>89</v>
      </c>
      <c r="F34" s="158" t="n">
        <f aca="false">+יולי!F34+אוגוסט!F34+ספטמבר!F34</f>
        <v>15884.96</v>
      </c>
      <c r="G34" s="158" t="n">
        <f aca="false">+יולי!G34+אוגוסט!G34+ספטמבר!G34</f>
        <v>0</v>
      </c>
      <c r="H34" s="158" t="n">
        <f aca="false">+יולי!H34+אוגוסט!H34+ספטמבר!H34</f>
        <v>18350.05</v>
      </c>
      <c r="I34" s="167" t="str">
        <f aca="false">IFERROR(H34/G34-1,"")</f>
        <v/>
      </c>
      <c r="J34" s="158" t="n">
        <f aca="false">H34-G34</f>
        <v>18350.05</v>
      </c>
      <c r="L34" s="158" t="n">
        <f aca="false">+יולי!M34+אוגוסט!M34+ספטמבר!M34</f>
        <v>0</v>
      </c>
      <c r="M34" s="167" t="str">
        <f aca="false">IFERROR(H34/L34-1,"")</f>
        <v/>
      </c>
      <c r="N34" s="158" t="n">
        <f aca="false">H34-L34</f>
        <v>18350.05</v>
      </c>
      <c r="P34" s="166" t="n">
        <f aca="false">'תקציב  '!AI36+'תקציב  '!AJ36+'תקציב  '!AK36</f>
        <v>0</v>
      </c>
      <c r="Q34" s="167" t="str">
        <f aca="false">IFERROR(H34/P34,"-")</f>
        <v>-</v>
      </c>
      <c r="R34" s="158" t="n">
        <f aca="false">G34-P34</f>
        <v>0</v>
      </c>
    </row>
    <row r="35" customFormat="false" ht="13.5" hidden="false" customHeight="true" outlineLevel="0" collapsed="false">
      <c r="A35" s="169" t="n">
        <v>33</v>
      </c>
      <c r="B35" s="166" t="s">
        <v>160</v>
      </c>
      <c r="C35" s="166" t="s">
        <v>90</v>
      </c>
      <c r="D35" s="166" t="s">
        <v>91</v>
      </c>
      <c r="E35" s="26" t="s">
        <v>92</v>
      </c>
      <c r="F35" s="158" t="n">
        <f aca="false">+יולי!F35+אוגוסט!F35+ספטמבר!F35</f>
        <v>25140.85</v>
      </c>
      <c r="G35" s="158" t="n">
        <f aca="false">+יולי!G35+אוגוסט!G35+ספטמבר!G35</f>
        <v>0</v>
      </c>
      <c r="H35" s="158" t="n">
        <f aca="false">+יולי!H35+אוגוסט!H35+ספטמבר!H35</f>
        <v>26105.72</v>
      </c>
      <c r="I35" s="167" t="str">
        <f aca="false">IFERROR(H35/G35-1,"")</f>
        <v/>
      </c>
      <c r="J35" s="158" t="n">
        <f aca="false">H35-G35</f>
        <v>26105.72</v>
      </c>
      <c r="L35" s="158" t="n">
        <f aca="false">+יולי!M35+אוגוסט!M35+ספטמבר!M35</f>
        <v>0</v>
      </c>
      <c r="M35" s="167" t="str">
        <f aca="false">IFERROR(H35/L35-1,"")</f>
        <v/>
      </c>
      <c r="N35" s="158" t="n">
        <f aca="false">H35-L35</f>
        <v>26105.72</v>
      </c>
      <c r="P35" s="166" t="n">
        <f aca="false">'תקציב  '!AI37+'תקציב  '!AJ37+'תקציב  '!AK37</f>
        <v>0</v>
      </c>
      <c r="Q35" s="167" t="str">
        <f aca="false">IFERROR(H35/P35,"-")</f>
        <v>-</v>
      </c>
      <c r="R35" s="158" t="n">
        <f aca="false">G35-P35</f>
        <v>0</v>
      </c>
    </row>
    <row r="36" customFormat="false" ht="14.25" hidden="false" customHeight="true" outlineLevel="0" collapsed="false">
      <c r="A36" s="169"/>
      <c r="B36" s="166" t="s">
        <v>166</v>
      </c>
      <c r="C36" s="166" t="s">
        <v>166</v>
      </c>
      <c r="D36" s="166" t="s">
        <v>173</v>
      </c>
      <c r="E36" s="26" t="s">
        <v>78</v>
      </c>
      <c r="F36" s="158" t="n">
        <f aca="false">+יולי!F36+אוגוסט!F36+ספטמבר!F36</f>
        <v>0</v>
      </c>
      <c r="G36" s="158" t="n">
        <f aca="false">+יולי!G36+אוגוסט!G36+ספטמבר!G36</f>
        <v>0</v>
      </c>
      <c r="H36" s="158" t="n">
        <f aca="false">+יולי!H36+אוגוסט!H36+ספטמבר!H36</f>
        <v>0</v>
      </c>
      <c r="I36" s="167" t="str">
        <f aca="false">IFERROR(H36/G36-1,"")</f>
        <v/>
      </c>
      <c r="J36" s="158" t="n">
        <f aca="false">H36-G36</f>
        <v>0</v>
      </c>
      <c r="L36" s="158" t="n">
        <f aca="false">+יולי!M36+אוגוסט!M36+ספטמבר!M36</f>
        <v>0</v>
      </c>
      <c r="M36" s="167" t="str">
        <f aca="false">IFERROR(H36/L36-1,"")</f>
        <v/>
      </c>
      <c r="N36" s="158" t="n">
        <f aca="false">H36-L36</f>
        <v>0</v>
      </c>
      <c r="P36" s="166" t="n">
        <f aca="false">'תקציב  '!AI38+'תקציב  '!AJ38+'תקציב  '!AK38</f>
        <v>0</v>
      </c>
      <c r="Q36" s="167" t="str">
        <f aca="false">IFERROR(H36/P36,"-")</f>
        <v>-</v>
      </c>
      <c r="R36" s="158" t="n">
        <f aca="false">G36-P36</f>
        <v>0</v>
      </c>
    </row>
    <row r="37" customFormat="false" ht="14.25" hidden="false" customHeight="true" outlineLevel="0" collapsed="false">
      <c r="A37" s="169" t="n">
        <v>34</v>
      </c>
      <c r="B37" s="166" t="s">
        <v>165</v>
      </c>
      <c r="C37" s="166" t="s">
        <v>165</v>
      </c>
      <c r="D37" s="166" t="s">
        <v>93</v>
      </c>
      <c r="E37" s="26" t="s">
        <v>174</v>
      </c>
      <c r="F37" s="158" t="n">
        <f aca="false">+יולי!F37+אוגוסט!F37+ספטמבר!F37</f>
        <v>0</v>
      </c>
      <c r="G37" s="158" t="n">
        <f aca="false">+יולי!G37+אוגוסט!G37+ספטמבר!G37</f>
        <v>0</v>
      </c>
      <c r="H37" s="158" t="n">
        <f aca="false">+יולי!H37+אוגוסט!H37+ספטמבר!H37</f>
        <v>0</v>
      </c>
      <c r="I37" s="167" t="str">
        <f aca="false">IFERROR(H37/G37-1,"")</f>
        <v/>
      </c>
      <c r="J37" s="158" t="n">
        <f aca="false">H37-G37</f>
        <v>0</v>
      </c>
      <c r="L37" s="158" t="n">
        <f aca="false">+יולי!M37+אוגוסט!M37+ספטמבר!M37</f>
        <v>0</v>
      </c>
      <c r="M37" s="167" t="str">
        <f aca="false">IFERROR(H37/L37-1,"")</f>
        <v/>
      </c>
      <c r="N37" s="158" t="n">
        <f aca="false">H37-L37</f>
        <v>0</v>
      </c>
      <c r="P37" s="166" t="n">
        <f aca="false">'תקציב  '!AI39+'תקציב  '!AJ39+'תקציב  '!AK39</f>
        <v>0</v>
      </c>
      <c r="Q37" s="167" t="str">
        <f aca="false">IFERROR(H37/P37,"-")</f>
        <v>-</v>
      </c>
      <c r="R37" s="158" t="n">
        <f aca="false">G37-P37</f>
        <v>0</v>
      </c>
    </row>
    <row r="38" customFormat="false" ht="13.5" hidden="false" customHeight="true" outlineLevel="0" collapsed="false">
      <c r="A38" s="169" t="n">
        <v>35</v>
      </c>
      <c r="B38" s="166" t="s">
        <v>94</v>
      </c>
      <c r="C38" s="166" t="s">
        <v>94</v>
      </c>
      <c r="D38" s="166" t="s">
        <v>95</v>
      </c>
      <c r="E38" s="26" t="s">
        <v>51</v>
      </c>
      <c r="F38" s="158" t="n">
        <f aca="false">+יולי!F38+אוגוסט!F38+ספטמבר!F38</f>
        <v>-1.37</v>
      </c>
      <c r="G38" s="158" t="n">
        <f aca="false">+יולי!G38+אוגוסט!G38+ספטמבר!G38</f>
        <v>0</v>
      </c>
      <c r="H38" s="158" t="n">
        <f aca="false">+יולי!H38+אוגוסט!H38+ספטמבר!H38</f>
        <v>0</v>
      </c>
      <c r="I38" s="167" t="str">
        <f aca="false">IFERROR(H38/G38-1,"")</f>
        <v/>
      </c>
      <c r="J38" s="158" t="n">
        <f aca="false">H38-G38</f>
        <v>0</v>
      </c>
      <c r="L38" s="158" t="n">
        <f aca="false">+יולי!M38+אוגוסט!M38+ספטמבר!M38</f>
        <v>200000</v>
      </c>
      <c r="M38" s="167" t="n">
        <f aca="false">IFERROR(H38/L38-1,"")</f>
        <v>-1</v>
      </c>
      <c r="N38" s="158" t="n">
        <f aca="false">H38-L38</f>
        <v>-200000</v>
      </c>
      <c r="P38" s="166" t="n">
        <f aca="false">'תקציב  '!AI40+'תקציב  '!AJ40+'תקציב  '!AK40</f>
        <v>1840595</v>
      </c>
      <c r="Q38" s="167" t="n">
        <f aca="false">IFERROR(H38/P38,"-")</f>
        <v>0</v>
      </c>
      <c r="R38" s="158" t="n">
        <f aca="false">G38-P38</f>
        <v>-1840595</v>
      </c>
    </row>
    <row r="39" customFormat="false" ht="13.5" hidden="false" customHeight="true" outlineLevel="0" collapsed="false">
      <c r="A39" s="169" t="n">
        <v>36</v>
      </c>
      <c r="B39" s="166"/>
      <c r="C39" s="166" t="s">
        <v>97</v>
      </c>
      <c r="D39" s="166" t="s">
        <v>97</v>
      </c>
      <c r="E39" s="26"/>
      <c r="F39" s="158" t="n">
        <f aca="false">+יולי!F39+אוגוסט!F39+ספטמבר!F39</f>
        <v>0</v>
      </c>
      <c r="G39" s="158" t="n">
        <f aca="false">+יולי!G39+אוגוסט!G39+ספטמבר!G39</f>
        <v>0</v>
      </c>
      <c r="H39" s="158" t="n">
        <f aca="false">+יולי!H39+אוגוסט!H39+ספטמבר!H39</f>
        <v>0</v>
      </c>
      <c r="I39" s="167" t="str">
        <f aca="false">IFERROR(H39/G39-1,"")</f>
        <v/>
      </c>
      <c r="J39" s="158" t="n">
        <f aca="false">H39-G39</f>
        <v>0</v>
      </c>
      <c r="L39" s="158" t="n">
        <f aca="false">+יולי!M39+אוגוסט!M39+ספטמבר!M39</f>
        <v>0</v>
      </c>
      <c r="M39" s="167" t="str">
        <f aca="false">IFERROR(H39/L39-1,"")</f>
        <v/>
      </c>
      <c r="N39" s="158" t="n">
        <f aca="false">H39-L39</f>
        <v>0</v>
      </c>
      <c r="P39" s="166" t="n">
        <f aca="false">'תקציב  '!AI41+'תקציב  '!AJ41+'תקציב  '!AK41</f>
        <v>8699195.84745763</v>
      </c>
      <c r="Q39" s="167" t="n">
        <f aca="false">IFERROR(H39/P39,"-")</f>
        <v>0</v>
      </c>
      <c r="R39" s="158" t="n">
        <f aca="false">G39-P39</f>
        <v>-8699195.84745763</v>
      </c>
    </row>
    <row r="40" customFormat="false" ht="15" hidden="false" customHeight="true" outlineLevel="0" collapsed="false">
      <c r="A40" s="169"/>
      <c r="B40" s="173"/>
      <c r="C40" s="173" t="s">
        <v>98</v>
      </c>
      <c r="D40" s="173" t="s">
        <v>98</v>
      </c>
      <c r="E40" s="173"/>
      <c r="F40" s="173" t="n">
        <f aca="false">SUM(F20:F39)</f>
        <v>1680429.68</v>
      </c>
      <c r="G40" s="173" t="n">
        <f aca="false">SUM(G20:G39)</f>
        <v>1723262.97</v>
      </c>
      <c r="H40" s="173" t="n">
        <f aca="false">SUM(H20:H39)</f>
        <v>1249347.99</v>
      </c>
      <c r="I40" s="174" t="n">
        <f aca="false">IFERROR(H40/G40-1,"")</f>
        <v>-0.275010249886586</v>
      </c>
      <c r="J40" s="173" t="n">
        <f aca="false">SUM(J20:J39)</f>
        <v>-473914.98</v>
      </c>
      <c r="L40" s="173" t="n">
        <f aca="false">SUM(L20:L39)</f>
        <v>2849895.5589</v>
      </c>
      <c r="M40" s="174" t="n">
        <f aca="false">IFERROR(H40/L40-1,"")</f>
        <v>-0.561616219198495</v>
      </c>
      <c r="N40" s="173" t="n">
        <f aca="false">SUM(N20:N39)</f>
        <v>-1600547.5689</v>
      </c>
      <c r="P40" s="173" t="n">
        <f aca="false">SUM(P20:P39)</f>
        <v>12427862.9474576</v>
      </c>
      <c r="Q40" s="174" t="n">
        <f aca="false">IFERROR(H40/P40,"-")</f>
        <v>0.10052798258896</v>
      </c>
      <c r="R40" s="173" t="n">
        <f aca="false">G40-P40</f>
        <v>-10704599.9774576</v>
      </c>
    </row>
    <row r="41" customFormat="false" ht="15" hidden="false" customHeight="true" outlineLevel="0" collapsed="false">
      <c r="A41" s="169"/>
      <c r="B41" s="175"/>
      <c r="C41" s="175" t="s">
        <v>175</v>
      </c>
      <c r="D41" s="175" t="s">
        <v>175</v>
      </c>
      <c r="E41" s="175"/>
      <c r="F41" s="175" t="n">
        <f aca="false">F40+F19</f>
        <v>6211415.119</v>
      </c>
      <c r="G41" s="175" t="n">
        <f aca="false">G40+G19</f>
        <v>6333571.74</v>
      </c>
      <c r="H41" s="175" t="n">
        <f aca="false">H40+H19</f>
        <v>6550413.294</v>
      </c>
      <c r="I41" s="147" t="n">
        <f aca="false">IFERROR(H41/G41-1,"")</f>
        <v>0.0342368513220623</v>
      </c>
      <c r="J41" s="175" t="n">
        <f aca="false">J40+J19</f>
        <v>216841.553999996</v>
      </c>
      <c r="L41" s="175" t="n">
        <f aca="false">L40+L19</f>
        <v>11342213.9710187</v>
      </c>
      <c r="M41" s="147" t="n">
        <f aca="false">IFERROR(H41/L41-1,"")</f>
        <v>-0.422474896811376</v>
      </c>
      <c r="N41" s="175" t="n">
        <f aca="false">N40+N19</f>
        <v>-4791800.67701865</v>
      </c>
      <c r="P41" s="175" t="n">
        <f aca="false">P40+P19</f>
        <v>20850740.9135593</v>
      </c>
      <c r="Q41" s="147" t="n">
        <f aca="false">IFERROR(H41/P41,"-")</f>
        <v>0.314157339595555</v>
      </c>
      <c r="R41" s="175" t="n">
        <f aca="false">G41-P41</f>
        <v>-14517169.1735593</v>
      </c>
    </row>
    <row r="42" customFormat="false" ht="15" hidden="false" customHeight="true" outlineLevel="0" collapsed="false">
      <c r="B42" s="176"/>
      <c r="C42" s="176" t="s">
        <v>121</v>
      </c>
      <c r="D42" s="176" t="s">
        <v>121</v>
      </c>
      <c r="E42" s="223"/>
      <c r="F42" s="177" t="n">
        <f aca="false">F40/F41</f>
        <v>0.27053894286662</v>
      </c>
      <c r="G42" s="177" t="n">
        <f aca="false">G40/G41</f>
        <v>0.27208391106027</v>
      </c>
      <c r="H42" s="177" t="n">
        <f aca="false">H40/H41</f>
        <v>0.190728116521193</v>
      </c>
      <c r="I42" s="177" t="n">
        <f aca="false">IFERROR(H42/G42-1,"")</f>
        <v>-0.299009942271288</v>
      </c>
      <c r="J42" s="177"/>
      <c r="L42" s="177" t="n">
        <f aca="false">L40-יולי!M40-אוגוסט!M40-ספטמבר!M40</f>
        <v>0</v>
      </c>
      <c r="M42" s="177"/>
      <c r="N42" s="177"/>
      <c r="P42" s="242"/>
      <c r="Q42" s="177" t="str">
        <f aca="false">IFERROR(H42/P42,"-")</f>
        <v>-</v>
      </c>
      <c r="R42" s="177" t="n">
        <f aca="false">G42-P42</f>
        <v>0.27208391106027</v>
      </c>
    </row>
    <row r="43" customFormat="false" ht="14.25" hidden="false" customHeight="true" outlineLevel="0" collapsed="false">
      <c r="F43" s="1" t="n">
        <f aca="false">F41-יולי!F41-אוגוסט!F41-ספטמבר!F41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Q31" activeCellId="0" sqref="Q3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179" width="26"/>
    <col collapsed="false" customWidth="true" hidden="false" outlineLevel="0" max="4" min="4" style="179" width="26"/>
    <col collapsed="false" customWidth="true" hidden="false" outlineLevel="0" max="5" min="5" style="179" width="12.25"/>
    <col collapsed="false" customWidth="true" hidden="false" outlineLevel="0" max="8" min="6" style="1" width="9.87"/>
    <col collapsed="false" customWidth="true" hidden="false" outlineLevel="0" max="9" min="9" style="1" width="6.88"/>
    <col collapsed="false" customWidth="true" hidden="false" outlineLevel="0" max="10" min="10" style="1" width="11"/>
    <col collapsed="false" customWidth="true" hidden="false" outlineLevel="0" max="11" min="11" style="1" width="11.88"/>
    <col collapsed="false" customWidth="true" hidden="false" outlineLevel="0" max="13" min="13" style="1" width="9.87"/>
    <col collapsed="false" customWidth="true" hidden="false" outlineLevel="0" max="14" min="14" style="1" width="11"/>
    <col collapsed="false" customWidth="true" hidden="false" outlineLevel="0" max="15" min="15" style="1" width="10.5"/>
    <col collapsed="false" customWidth="true" hidden="false" outlineLevel="0" max="17" min="17" style="1" width="9.87"/>
    <col collapsed="false" customWidth="true" hidden="false" outlineLevel="0" max="18" min="18" style="1" width="10.88"/>
    <col collapsed="false" customWidth="true" hidden="false" outlineLevel="0" max="19" min="19" style="1" width="7.62"/>
    <col collapsed="false" customWidth="true" hidden="false" outlineLevel="0" max="20" min="20" style="1" width="13"/>
    <col collapsed="false" customWidth="true" hidden="false" outlineLevel="0" max="22" min="22" style="1" width="9.87"/>
    <col collapsed="false" customWidth="true" hidden="false" outlineLevel="0" max="23" min="23" style="1" width="10.5"/>
    <col collapsed="false" customWidth="true" hidden="false" outlineLevel="0" max="24" min="24" style="180" width="9"/>
  </cols>
  <sheetData>
    <row r="1" customFormat="false" ht="15.75" hidden="false" customHeight="true" outlineLevel="0" collapsed="false">
      <c r="B1" s="181"/>
      <c r="C1" s="181" t="s">
        <v>235</v>
      </c>
      <c r="D1" s="181" t="s">
        <v>235</v>
      </c>
      <c r="E1" s="181"/>
      <c r="F1" s="7"/>
      <c r="G1" s="7"/>
      <c r="H1" s="7"/>
      <c r="I1" s="7"/>
      <c r="J1" s="7"/>
      <c r="K1" s="7"/>
      <c r="M1" s="7"/>
      <c r="N1" s="7"/>
      <c r="O1" s="7"/>
      <c r="Q1" s="7"/>
      <c r="R1" s="7"/>
      <c r="S1" s="7"/>
      <c r="T1" s="7"/>
      <c r="V1" s="7"/>
    </row>
    <row r="2" customFormat="false" ht="15" hidden="false" customHeight="true" outlineLevel="0" collapsed="false">
      <c r="A2" s="161" t="s">
        <v>2</v>
      </c>
      <c r="B2" s="38"/>
      <c r="C2" s="38"/>
      <c r="D2" s="38"/>
      <c r="E2" s="163" t="s">
        <v>3</v>
      </c>
      <c r="F2" s="163" t="n">
        <v>10.2024</v>
      </c>
      <c r="G2" s="163" t="n">
        <v>10.2025</v>
      </c>
      <c r="H2" s="163" t="n">
        <v>10.2026</v>
      </c>
      <c r="I2" s="185" t="s">
        <v>211</v>
      </c>
      <c r="J2" s="185" t="s">
        <v>168</v>
      </c>
      <c r="K2" s="163" t="s">
        <v>169</v>
      </c>
      <c r="M2" s="163" t="s">
        <v>170</v>
      </c>
      <c r="N2" s="185" t="s">
        <v>114</v>
      </c>
      <c r="O2" s="163" t="s">
        <v>115</v>
      </c>
      <c r="Q2" s="186" t="s">
        <v>1</v>
      </c>
      <c r="R2" s="185" t="s">
        <v>214</v>
      </c>
      <c r="S2" s="185" t="s">
        <v>212</v>
      </c>
      <c r="T2" s="162" t="s">
        <v>215</v>
      </c>
      <c r="U2" s="187"/>
      <c r="V2" s="162" t="n">
        <v>10.2026</v>
      </c>
      <c r="W2" s="187"/>
    </row>
    <row r="3" customFormat="false" ht="14.25" hidden="false" customHeight="true" outlineLevel="0" collapsed="false">
      <c r="A3" s="165" t="n">
        <v>5</v>
      </c>
      <c r="B3" s="189" t="s">
        <v>143</v>
      </c>
      <c r="C3" s="189" t="s">
        <v>31</v>
      </c>
      <c r="D3" s="189" t="s">
        <v>31</v>
      </c>
      <c r="E3" s="189" t="s">
        <v>32</v>
      </c>
      <c r="F3" s="158" t="n">
        <f aca="false">VLOOKUP(B3,'2024'!$A:$O,11,0)</f>
        <v>0</v>
      </c>
      <c r="G3" s="158" t="n">
        <f aca="false">VLOOKUP($B3,'2025'!$A:$O,11,0)</f>
        <v>33955.2</v>
      </c>
      <c r="H3" s="158" t="n">
        <v>20995.2</v>
      </c>
      <c r="I3" s="190" t="n">
        <f aca="false">IFERROR(H3/$H$19,"")</f>
        <v>1</v>
      </c>
      <c r="J3" s="190" t="n">
        <f aca="false">IFERROR(H3/G3-1,"")</f>
        <v>-0.381679389312977</v>
      </c>
      <c r="K3" s="158" t="n">
        <f aca="false">H3-G3</f>
        <v>-12960</v>
      </c>
      <c r="M3" s="158" t="n">
        <f aca="false">VLOOKUP(C3,'תקציב  '!$B:$S,13,0)*1</f>
        <v>226666.666666667</v>
      </c>
      <c r="N3" s="190" t="n">
        <f aca="false">IFERROR(H3/M3-1,"")</f>
        <v>-0.907374117647059</v>
      </c>
      <c r="O3" s="158" t="n">
        <f aca="false">H3-M3</f>
        <v>-205671.466666667</v>
      </c>
      <c r="Q3" s="166" t="n">
        <v>200000</v>
      </c>
      <c r="R3" s="190" t="n">
        <f aca="false">IFERROR(G3/Q3-1,"-")</f>
        <v>-0.830224</v>
      </c>
      <c r="S3" s="190" t="n">
        <f aca="false">IFERROR(G3/Q3,"-")</f>
        <v>0.169776</v>
      </c>
      <c r="T3" s="166" t="n">
        <f aca="false">G3-Q3</f>
        <v>-166044.8</v>
      </c>
      <c r="V3" s="158"/>
      <c r="W3" s="5" t="n">
        <f aca="false">H3-V3</f>
        <v>20995.2</v>
      </c>
      <c r="X3" s="191" t="str">
        <f aca="false">IFERROR((G3/V3)-1,"-")</f>
        <v>-</v>
      </c>
    </row>
    <row r="4" customFormat="false" ht="14.25" hidden="false" customHeight="true" outlineLevel="0" collapsed="false">
      <c r="A4" s="168" t="n">
        <v>1</v>
      </c>
      <c r="B4" s="189" t="s">
        <v>33</v>
      </c>
      <c r="C4" s="189" t="s">
        <v>33</v>
      </c>
      <c r="D4" s="189" t="s">
        <v>33</v>
      </c>
      <c r="E4" s="189" t="s">
        <v>32</v>
      </c>
      <c r="F4" s="158" t="n">
        <f aca="false">VLOOKUP(C4,'2024'!$A:$O,11,0)</f>
        <v>403387.075</v>
      </c>
      <c r="G4" s="158" t="n">
        <f aca="false">VLOOKUP($B4,'2025'!$A:$O,11,0)</f>
        <v>417469.78</v>
      </c>
      <c r="H4" s="158"/>
      <c r="I4" s="190" t="n">
        <f aca="false">IFERROR(H4/$H$19,"")</f>
        <v>0</v>
      </c>
      <c r="J4" s="190" t="n">
        <f aca="false">IFERROR(H4/G4-1,"")</f>
        <v>-1</v>
      </c>
      <c r="K4" s="158" t="n">
        <f aca="false">H4-G4</f>
        <v>-417469.78</v>
      </c>
      <c r="M4" s="158" t="n">
        <f aca="false">VLOOKUP(C4,'תקציב  '!$B:$S,13,0)*1</f>
        <v>546666.666666667</v>
      </c>
      <c r="N4" s="190" t="n">
        <f aca="false">IFERROR(H4/M4-1,"")</f>
        <v>-1</v>
      </c>
      <c r="O4" s="158" t="n">
        <f aca="false">H4-M4</f>
        <v>-546666.666666667</v>
      </c>
      <c r="Q4" s="166" t="n">
        <v>550000</v>
      </c>
      <c r="R4" s="190" t="n">
        <f aca="false">IFERROR(G4/Q4-1,"-")</f>
        <v>-0.240964036363636</v>
      </c>
      <c r="S4" s="190" t="n">
        <f aca="false">IFERROR(G4/Q4,"-")</f>
        <v>0.759035963636364</v>
      </c>
      <c r="T4" s="166" t="n">
        <f aca="false">G4-Q4</f>
        <v>-132530.22</v>
      </c>
      <c r="V4" s="158"/>
      <c r="W4" s="5" t="n">
        <f aca="false">H4-V4</f>
        <v>0</v>
      </c>
      <c r="X4" s="191" t="str">
        <f aca="false">IFERROR((G4/V4)-1,"-")</f>
        <v>-</v>
      </c>
    </row>
    <row r="5" customFormat="false" ht="14.25" hidden="false" customHeight="true" outlineLevel="0" collapsed="false">
      <c r="A5" s="168" t="n">
        <v>7</v>
      </c>
      <c r="B5" s="189" t="s">
        <v>34</v>
      </c>
      <c r="C5" s="189" t="s">
        <v>34</v>
      </c>
      <c r="D5" s="189" t="s">
        <v>34</v>
      </c>
      <c r="E5" s="189" t="s">
        <v>32</v>
      </c>
      <c r="F5" s="158" t="n">
        <f aca="false">VLOOKUP(C5,'2024'!$A:$O,11,0)</f>
        <v>80742.389</v>
      </c>
      <c r="G5" s="158" t="n">
        <f aca="false">VLOOKUP($B5,'2025'!$A:$O,11,0)</f>
        <v>61390.42</v>
      </c>
      <c r="H5" s="158"/>
      <c r="I5" s="190" t="n">
        <f aca="false">IFERROR(H5/$H$19,"")</f>
        <v>0</v>
      </c>
      <c r="J5" s="190" t="n">
        <f aca="false">IFERROR(H5/G5-1,"")</f>
        <v>-1</v>
      </c>
      <c r="K5" s="158" t="n">
        <f aca="false">H5-G5</f>
        <v>-61390.42</v>
      </c>
      <c r="M5" s="158" t="n">
        <f aca="false">VLOOKUP(C5,'תקציב  '!$B:$S,13,0)*1</f>
        <v>75000</v>
      </c>
      <c r="N5" s="190" t="n">
        <f aca="false">IFERROR(H5/M5-1,"")</f>
        <v>-1</v>
      </c>
      <c r="O5" s="158" t="n">
        <f aca="false">H5-M5</f>
        <v>-75000</v>
      </c>
      <c r="Q5" s="166" t="n">
        <v>100000</v>
      </c>
      <c r="R5" s="190" t="n">
        <f aca="false">IFERROR(G5/Q5-1,"-")</f>
        <v>-0.3860958</v>
      </c>
      <c r="S5" s="190" t="n">
        <f aca="false">IFERROR(G5/Q5,"-")</f>
        <v>0.6139042</v>
      </c>
      <c r="T5" s="166" t="n">
        <f aca="false">G5-Q5</f>
        <v>-38609.58</v>
      </c>
      <c r="V5" s="158"/>
      <c r="W5" s="5" t="n">
        <f aca="false">H5-V5</f>
        <v>0</v>
      </c>
      <c r="X5" s="191" t="str">
        <f aca="false">IFERROR((G5/V5)-1,"-")</f>
        <v>-</v>
      </c>
    </row>
    <row r="6" customFormat="false" ht="14.25" hidden="false" customHeight="true" outlineLevel="0" collapsed="false">
      <c r="A6" s="168" t="n">
        <v>4</v>
      </c>
      <c r="B6" s="189" t="s">
        <v>35</v>
      </c>
      <c r="C6" s="189" t="s">
        <v>35</v>
      </c>
      <c r="D6" s="189" t="s">
        <v>35</v>
      </c>
      <c r="E6" s="189" t="s">
        <v>32</v>
      </c>
      <c r="F6" s="158" t="n">
        <f aca="false">VLOOKUP(C6,'2024'!$A:$O,11,0)</f>
        <v>128887.331</v>
      </c>
      <c r="G6" s="158" t="n">
        <f aca="false">VLOOKUP($B6,'2025'!$A:$O,11,0)</f>
        <v>150616.42</v>
      </c>
      <c r="H6" s="158"/>
      <c r="I6" s="190" t="n">
        <f aca="false">IFERROR(H6/$H$19,"")</f>
        <v>0</v>
      </c>
      <c r="J6" s="190" t="n">
        <f aca="false">IFERROR(H6/G6-1,"")</f>
        <v>-1</v>
      </c>
      <c r="K6" s="158" t="n">
        <f aca="false">H6-G6</f>
        <v>-150616.42</v>
      </c>
      <c r="M6" s="158" t="n">
        <f aca="false">VLOOKUP(B6,'תקציב  '!$B:$S,13,0)*1</f>
        <v>162333.333333333</v>
      </c>
      <c r="N6" s="190" t="n">
        <f aca="false">IFERROR(H6/M6-1,"")</f>
        <v>-1</v>
      </c>
      <c r="O6" s="158" t="n">
        <f aca="false">H6-M6</f>
        <v>-162333.333333333</v>
      </c>
      <c r="Q6" s="166" t="n">
        <v>200000</v>
      </c>
      <c r="R6" s="190" t="n">
        <f aca="false">IFERROR(G6/Q6-1,"-")</f>
        <v>-0.2469179</v>
      </c>
      <c r="S6" s="190" t="n">
        <f aca="false">IFERROR(G6/Q6,"-")</f>
        <v>0.7530821</v>
      </c>
      <c r="T6" s="166" t="n">
        <f aca="false">G6-Q6</f>
        <v>-49383.58</v>
      </c>
      <c r="V6" s="158"/>
      <c r="W6" s="5" t="n">
        <f aca="false">H6-V6</f>
        <v>0</v>
      </c>
      <c r="X6" s="191" t="str">
        <f aca="false">IFERROR((G6/V6)-1,"-")</f>
        <v>-</v>
      </c>
    </row>
    <row r="7" customFormat="false" ht="14.25" hidden="false" customHeight="true" outlineLevel="0" collapsed="false">
      <c r="A7" s="168" t="n">
        <v>3</v>
      </c>
      <c r="B7" s="189" t="s">
        <v>148</v>
      </c>
      <c r="C7" s="189" t="s">
        <v>36</v>
      </c>
      <c r="D7" s="189" t="s">
        <v>36</v>
      </c>
      <c r="E7" s="189" t="s">
        <v>32</v>
      </c>
      <c r="F7" s="158" t="n">
        <f aca="false">VLOOKUP(B7,'2024'!$A:$O,11,0)</f>
        <v>291076</v>
      </c>
      <c r="G7" s="158" t="n">
        <f aca="false">VLOOKUP($B7,'2025'!$A:$O,11,0)</f>
        <v>184903.8</v>
      </c>
      <c r="H7" s="158"/>
      <c r="I7" s="190" t="n">
        <f aca="false">IFERROR(H7/$H$19,"")</f>
        <v>0</v>
      </c>
      <c r="J7" s="190" t="n">
        <f aca="false">IFERROR(H7/G7-1,"")</f>
        <v>-1</v>
      </c>
      <c r="K7" s="158" t="n">
        <f aca="false">H7-G7</f>
        <v>-184903.8</v>
      </c>
      <c r="M7" s="158" t="n">
        <f aca="false">VLOOKUP(C7,'תקציב  '!$B:$S,13,0)*1</f>
        <v>365000</v>
      </c>
      <c r="N7" s="190" t="n">
        <f aca="false">IFERROR(H7/M7-1,"")</f>
        <v>-1</v>
      </c>
      <c r="O7" s="158" t="n">
        <f aca="false">H7-M7</f>
        <v>-365000</v>
      </c>
      <c r="Q7" s="166" t="n">
        <v>330000</v>
      </c>
      <c r="R7" s="190" t="n">
        <f aca="false">IFERROR(G7/Q7-1,"-")</f>
        <v>-0.439685454545455</v>
      </c>
      <c r="S7" s="190" t="n">
        <f aca="false">IFERROR(G7/Q7,"-")</f>
        <v>0.560314545454545</v>
      </c>
      <c r="T7" s="166" t="n">
        <f aca="false">G7-Q7</f>
        <v>-145096.2</v>
      </c>
      <c r="V7" s="158"/>
      <c r="W7" s="5" t="n">
        <f aca="false">H7-V7</f>
        <v>0</v>
      </c>
      <c r="X7" s="191" t="str">
        <f aca="false">IFERROR((G7/V7)-1,"-")</f>
        <v>-</v>
      </c>
    </row>
    <row r="8" customFormat="false" ht="14.25" hidden="false" customHeight="true" outlineLevel="0" collapsed="false">
      <c r="A8" s="168" t="n">
        <v>8</v>
      </c>
      <c r="B8" s="189" t="s">
        <v>147</v>
      </c>
      <c r="C8" s="189" t="s">
        <v>37</v>
      </c>
      <c r="D8" s="189" t="s">
        <v>37</v>
      </c>
      <c r="E8" s="189" t="s">
        <v>32</v>
      </c>
      <c r="F8" s="158" t="n">
        <f aca="false">VLOOKUP(B8,'2024'!$A:$O,11,0)</f>
        <v>50225.36</v>
      </c>
      <c r="G8" s="158" t="n">
        <f aca="false">VLOOKUP($B8,'2025'!$A:$O,11,0)</f>
        <v>70789.24</v>
      </c>
      <c r="H8" s="158"/>
      <c r="I8" s="190" t="n">
        <f aca="false">IFERROR(H8/$H$19,"")</f>
        <v>0</v>
      </c>
      <c r="J8" s="190" t="n">
        <f aca="false">IFERROR(H8/G8-1,"")</f>
        <v>-1</v>
      </c>
      <c r="K8" s="158" t="n">
        <f aca="false">H8-G8</f>
        <v>-70789.24</v>
      </c>
      <c r="M8" s="158" t="n">
        <f aca="false">VLOOKUP(C8,'תקציב  '!$B:$S,13,0)*1</f>
        <v>103333.333333333</v>
      </c>
      <c r="N8" s="190" t="n">
        <f aca="false">IFERROR(H8/M8-1,"")</f>
        <v>-1</v>
      </c>
      <c r="O8" s="158" t="n">
        <f aca="false">H8-M8</f>
        <v>-103333.333333333</v>
      </c>
      <c r="Q8" s="166" t="n">
        <v>100000</v>
      </c>
      <c r="R8" s="190" t="n">
        <f aca="false">IFERROR(G8/Q8-1,"-")</f>
        <v>-0.2921076</v>
      </c>
      <c r="S8" s="190" t="n">
        <f aca="false">IFERROR(G8/Q8,"-")</f>
        <v>0.7078924</v>
      </c>
      <c r="T8" s="166" t="n">
        <f aca="false">G8-Q8</f>
        <v>-29210.76</v>
      </c>
      <c r="V8" s="158"/>
      <c r="W8" s="5" t="n">
        <f aca="false">H8-V8</f>
        <v>0</v>
      </c>
      <c r="X8" s="191" t="str">
        <f aca="false">IFERROR((G8/V8)-1,"-")</f>
        <v>-</v>
      </c>
    </row>
    <row r="9" customFormat="false" ht="14.25" hidden="false" customHeight="true" outlineLevel="0" collapsed="false">
      <c r="A9" s="168" t="n">
        <v>6</v>
      </c>
      <c r="B9" s="189" t="s">
        <v>137</v>
      </c>
      <c r="C9" s="189" t="s">
        <v>38</v>
      </c>
      <c r="D9" s="189" t="s">
        <v>38</v>
      </c>
      <c r="E9" s="189" t="s">
        <v>32</v>
      </c>
      <c r="F9" s="158" t="n">
        <f aca="false">VLOOKUP(B9,'2024'!$A:$O,11,0)</f>
        <v>56916.24</v>
      </c>
      <c r="G9" s="158" t="n">
        <f aca="false">VLOOKUP($B9,'2025'!$A:$O,11,0)</f>
        <v>57765.28</v>
      </c>
      <c r="H9" s="158"/>
      <c r="I9" s="190" t="n">
        <f aca="false">IFERROR(H9/$H$19,"")</f>
        <v>0</v>
      </c>
      <c r="J9" s="190" t="n">
        <f aca="false">IFERROR(H9/G9-1,"")</f>
        <v>-1</v>
      </c>
      <c r="K9" s="158" t="n">
        <f aca="false">H9-G9</f>
        <v>-57765.28</v>
      </c>
      <c r="M9" s="158" t="n">
        <f aca="false">VLOOKUP(C9,'תקציב  '!$B:$S,13,0)*1</f>
        <v>173583.333333333</v>
      </c>
      <c r="N9" s="190" t="n">
        <f aca="false">IFERROR(H9/M9-1,"")</f>
        <v>-1</v>
      </c>
      <c r="O9" s="158" t="n">
        <f aca="false">H9-M9</f>
        <v>-173583.333333333</v>
      </c>
      <c r="Q9" s="166" t="n">
        <v>100000</v>
      </c>
      <c r="R9" s="190" t="n">
        <f aca="false">IFERROR(G9/Q9-1,"-")</f>
        <v>-0.4223472</v>
      </c>
      <c r="S9" s="190" t="n">
        <f aca="false">IFERROR(G9/Q9,"-")</f>
        <v>0.5776528</v>
      </c>
      <c r="T9" s="166" t="n">
        <f aca="false">G9-Q9</f>
        <v>-42234.72</v>
      </c>
      <c r="V9" s="158"/>
      <c r="W9" s="5" t="n">
        <f aca="false">H9-V9</f>
        <v>0</v>
      </c>
      <c r="X9" s="191" t="str">
        <f aca="false">IFERROR((G9/V9)-1,"-")</f>
        <v>-</v>
      </c>
    </row>
    <row r="10" customFormat="false" ht="14.25" hidden="false" customHeight="true" outlineLevel="0" collapsed="false">
      <c r="A10" s="169" t="n">
        <v>10</v>
      </c>
      <c r="B10" s="193" t="s">
        <v>138</v>
      </c>
      <c r="C10" s="193" t="s">
        <v>39</v>
      </c>
      <c r="D10" s="193" t="s">
        <v>39</v>
      </c>
      <c r="E10" s="193" t="s">
        <v>32</v>
      </c>
      <c r="F10" s="158" t="n">
        <f aca="false">VLOOKUP(B10,'2024'!$A:$O,11,0)</f>
        <v>11253.22</v>
      </c>
      <c r="G10" s="158" t="n">
        <f aca="false">VLOOKUP($B10,'2025'!$A:$O,11,0)</f>
        <v>9579</v>
      </c>
      <c r="H10" s="158"/>
      <c r="I10" s="190" t="n">
        <f aca="false">IFERROR(H10/$H$19,"")</f>
        <v>0</v>
      </c>
      <c r="J10" s="190" t="n">
        <f aca="false">IFERROR(H10/G10-1,"")</f>
        <v>-1</v>
      </c>
      <c r="K10" s="158" t="n">
        <f aca="false">H10-G10</f>
        <v>-9579</v>
      </c>
      <c r="M10" s="158" t="n">
        <f aca="false">VLOOKUP(C10,'תקציב  '!$B:$S,13,0)*1</f>
        <v>15833.3333333333</v>
      </c>
      <c r="N10" s="190" t="n">
        <f aca="false">IFERROR(H10/M10-1,"")</f>
        <v>-1</v>
      </c>
      <c r="O10" s="158" t="n">
        <f aca="false">H10-M10</f>
        <v>-15833.3333333333</v>
      </c>
      <c r="Q10" s="166" t="n">
        <v>15000</v>
      </c>
      <c r="R10" s="190" t="n">
        <f aca="false">IFERROR(G10/Q10-1,"-")</f>
        <v>-0.3614</v>
      </c>
      <c r="S10" s="190" t="n">
        <f aca="false">IFERROR(G10/Q10,"-")</f>
        <v>0.6386</v>
      </c>
      <c r="T10" s="166" t="n">
        <f aca="false">G10-Q10</f>
        <v>-5421</v>
      </c>
      <c r="V10" s="158"/>
      <c r="W10" s="5" t="n">
        <f aca="false">H10-V10</f>
        <v>0</v>
      </c>
      <c r="X10" s="191" t="str">
        <f aca="false">IFERROR((G10/V10)-1,"-")</f>
        <v>-</v>
      </c>
    </row>
    <row r="11" customFormat="false" ht="14.25" hidden="false" customHeight="true" outlineLevel="0" collapsed="false">
      <c r="A11" s="168" t="n">
        <v>11</v>
      </c>
      <c r="B11" s="189" t="s">
        <v>141</v>
      </c>
      <c r="C11" s="189" t="s">
        <v>40</v>
      </c>
      <c r="D11" s="189" t="s">
        <v>40</v>
      </c>
      <c r="E11" s="189" t="s">
        <v>32</v>
      </c>
      <c r="F11" s="158" t="n">
        <f aca="false">VLOOKUP(B11,'2024'!$A:$O,11,0)</f>
        <v>-1766.36</v>
      </c>
      <c r="G11" s="158" t="n">
        <f aca="false">VLOOKUP($B11,'2025'!$A:$O,11,0)</f>
        <v>3274.69</v>
      </c>
      <c r="H11" s="158"/>
      <c r="I11" s="190" t="n">
        <f aca="false">IFERROR(H11/$H$19,"")</f>
        <v>0</v>
      </c>
      <c r="J11" s="190" t="n">
        <f aca="false">IFERROR(H11/G11-1,"")</f>
        <v>-1</v>
      </c>
      <c r="K11" s="158" t="n">
        <f aca="false">H11-G11</f>
        <v>-3274.69</v>
      </c>
      <c r="M11" s="158" t="n">
        <f aca="false">VLOOKUP(C11,'תקציב  '!$B:$S,13,0)*1</f>
        <v>9333.33333333333</v>
      </c>
      <c r="N11" s="190" t="n">
        <f aca="false">IFERROR(H11/M11-1,"")</f>
        <v>-1</v>
      </c>
      <c r="O11" s="158" t="n">
        <f aca="false">H11-M11</f>
        <v>-9333.33333333333</v>
      </c>
      <c r="Q11" s="166" t="n">
        <v>10000</v>
      </c>
      <c r="R11" s="190" t="n">
        <f aca="false">IFERROR(G11/Q11-1,"-")</f>
        <v>-0.672531</v>
      </c>
      <c r="S11" s="190" t="n">
        <f aca="false">IFERROR(G11/Q11,"-")</f>
        <v>0.327469</v>
      </c>
      <c r="T11" s="166" t="n">
        <f aca="false">G11-Q11</f>
        <v>-6725.31</v>
      </c>
      <c r="V11" s="158"/>
      <c r="W11" s="5" t="n">
        <f aca="false">H11-V11</f>
        <v>0</v>
      </c>
      <c r="X11" s="191" t="str">
        <f aca="false">IFERROR((G11/V11)-1,"-")</f>
        <v>-</v>
      </c>
    </row>
    <row r="12" customFormat="false" ht="14.25" hidden="false" customHeight="true" outlineLevel="0" collapsed="false">
      <c r="A12" s="168" t="n">
        <v>14</v>
      </c>
      <c r="B12" s="189" t="s">
        <v>142</v>
      </c>
      <c r="C12" s="189" t="s">
        <v>41</v>
      </c>
      <c r="D12" s="189" t="s">
        <v>41</v>
      </c>
      <c r="E12" s="189" t="s">
        <v>32</v>
      </c>
      <c r="F12" s="158" t="n">
        <f aca="false">VLOOKUP(B12,'2024'!$A:$O,11,0)</f>
        <v>0</v>
      </c>
      <c r="G12" s="158" t="n">
        <f aca="false">VLOOKUP($B12,'2025'!$A:$O,11,0)</f>
        <v>669.74</v>
      </c>
      <c r="H12" s="158"/>
      <c r="I12" s="190" t="n">
        <f aca="false">IFERROR(H12/$H$19,"")</f>
        <v>0</v>
      </c>
      <c r="J12" s="190" t="n">
        <f aca="false">IFERROR(H12/G12-1,"")</f>
        <v>-1</v>
      </c>
      <c r="K12" s="158" t="n">
        <f aca="false">H12-G12</f>
        <v>-669.74</v>
      </c>
      <c r="M12" s="158" t="n">
        <f aca="false">VLOOKUP(C12,'תקציב  '!$B:$S,13,0)*1</f>
        <v>0</v>
      </c>
      <c r="N12" s="190" t="str">
        <f aca="false">IFERROR(H12/M12-1,"")</f>
        <v/>
      </c>
      <c r="O12" s="158" t="n">
        <f aca="false">H12-M12</f>
        <v>0</v>
      </c>
      <c r="Q12" s="166" t="n">
        <v>5000</v>
      </c>
      <c r="R12" s="190" t="n">
        <f aca="false">IFERROR(G12/Q12-1,"-")</f>
        <v>-0.866052</v>
      </c>
      <c r="S12" s="190" t="n">
        <f aca="false">IFERROR(G12/Q12,"-")</f>
        <v>0.133948</v>
      </c>
      <c r="T12" s="166" t="n">
        <f aca="false">G12-Q12</f>
        <v>-4330.26</v>
      </c>
      <c r="V12" s="158"/>
      <c r="W12" s="5" t="n">
        <f aca="false">H12-V12</f>
        <v>0</v>
      </c>
      <c r="X12" s="191" t="str">
        <f aca="false">IFERROR((G12/V12)-1,"-")</f>
        <v>-</v>
      </c>
    </row>
    <row r="13" customFormat="false" ht="14.25" hidden="false" customHeight="true" outlineLevel="0" collapsed="false">
      <c r="A13" s="168" t="n">
        <v>15</v>
      </c>
      <c r="B13" s="189" t="s">
        <v>139</v>
      </c>
      <c r="C13" s="189" t="s">
        <v>47</v>
      </c>
      <c r="D13" s="189" t="s">
        <v>47</v>
      </c>
      <c r="E13" s="189" t="s">
        <v>32</v>
      </c>
      <c r="F13" s="158" t="n">
        <f aca="false">VLOOKUP(B13,'2024'!$A:$O,11,0)</f>
        <v>0</v>
      </c>
      <c r="G13" s="158" t="n">
        <f aca="false">VLOOKUP($B13,'2025'!$A:$O,11,0)</f>
        <v>514.2</v>
      </c>
      <c r="H13" s="158"/>
      <c r="I13" s="190" t="n">
        <f aca="false">IFERROR(H13/$H$19,"")</f>
        <v>0</v>
      </c>
      <c r="J13" s="190" t="n">
        <f aca="false">IFERROR(H13/G13-1,"")</f>
        <v>-1</v>
      </c>
      <c r="K13" s="158" t="n">
        <f aca="false">H13-G13</f>
        <v>-514.2</v>
      </c>
      <c r="M13" s="158" t="n">
        <f aca="false">VLOOKUP(C13,'תקציב  '!$B:$S,13,0)*1</f>
        <v>0</v>
      </c>
      <c r="N13" s="190" t="str">
        <f aca="false">IFERROR(H13/M13-1,"")</f>
        <v/>
      </c>
      <c r="O13" s="158" t="n">
        <f aca="false">H13-M13</f>
        <v>0</v>
      </c>
      <c r="Q13" s="166" t="n">
        <v>5000</v>
      </c>
      <c r="R13" s="190" t="n">
        <f aca="false">IFERROR(G13/Q13-1,"-")</f>
        <v>-0.89716</v>
      </c>
      <c r="S13" s="190" t="n">
        <f aca="false">IFERROR(G13/Q13,"-")</f>
        <v>0.10284</v>
      </c>
      <c r="T13" s="166" t="n">
        <f aca="false">G13-Q13</f>
        <v>-4485.8</v>
      </c>
      <c r="V13" s="158"/>
      <c r="W13" s="5" t="n">
        <f aca="false">H13-V13</f>
        <v>0</v>
      </c>
      <c r="X13" s="191" t="str">
        <f aca="false">IFERROR((G13/V13)-1,"-")</f>
        <v>-</v>
      </c>
    </row>
    <row r="14" customFormat="false" ht="14.25" hidden="false" customHeight="true" outlineLevel="0" collapsed="false">
      <c r="A14" s="168" t="n">
        <v>13</v>
      </c>
      <c r="B14" s="189" t="s">
        <v>145</v>
      </c>
      <c r="C14" s="189" t="s">
        <v>43</v>
      </c>
      <c r="D14" s="189" t="s">
        <v>43</v>
      </c>
      <c r="E14" s="189" t="s">
        <v>32</v>
      </c>
      <c r="F14" s="158" t="n">
        <f aca="false">VLOOKUP(B14,'2024'!$A:$O,11,0)</f>
        <v>507.08</v>
      </c>
      <c r="G14" s="158" t="n">
        <f aca="false">VLOOKUP($B14,'2025'!$A:$O,11,0)</f>
        <v>0</v>
      </c>
      <c r="H14" s="158"/>
      <c r="I14" s="190" t="n">
        <f aca="false">IFERROR(H14/$H$19,"")</f>
        <v>0</v>
      </c>
      <c r="J14" s="190" t="str">
        <f aca="false">IFERROR(H14/G14-1,"")</f>
        <v/>
      </c>
      <c r="K14" s="158" t="n">
        <f aca="false">H14-G14</f>
        <v>0</v>
      </c>
      <c r="M14" s="158" t="n">
        <f aca="false">VLOOKUP(C14,'תקציב  '!$B:$S,13,0)*1</f>
        <v>50000</v>
      </c>
      <c r="N14" s="190" t="n">
        <f aca="false">IFERROR(H14/M14-1,"")</f>
        <v>-1</v>
      </c>
      <c r="O14" s="158" t="n">
        <f aca="false">H14-M14</f>
        <v>-50000</v>
      </c>
      <c r="Q14" s="166" t="n">
        <v>5000</v>
      </c>
      <c r="R14" s="190" t="n">
        <f aca="false">IFERROR(G14/Q14-1,"-")</f>
        <v>-1</v>
      </c>
      <c r="S14" s="190" t="n">
        <f aca="false">IFERROR(G14/Q14,"-")</f>
        <v>0</v>
      </c>
      <c r="T14" s="166" t="n">
        <f aca="false">G14-Q14</f>
        <v>-5000</v>
      </c>
      <c r="V14" s="158"/>
      <c r="W14" s="5" t="n">
        <f aca="false">H14-V14</f>
        <v>0</v>
      </c>
      <c r="X14" s="191" t="str">
        <f aca="false">IFERROR((G14/V14)-1,"-")</f>
        <v>-</v>
      </c>
    </row>
    <row r="15" customFormat="false" ht="14.25" hidden="false" customHeight="true" outlineLevel="0" collapsed="false">
      <c r="A15" s="168" t="n">
        <v>9</v>
      </c>
      <c r="B15" s="189" t="s">
        <v>140</v>
      </c>
      <c r="C15" s="189" t="s">
        <v>44</v>
      </c>
      <c r="D15" s="189" t="s">
        <v>44</v>
      </c>
      <c r="E15" s="189" t="s">
        <v>32</v>
      </c>
      <c r="F15" s="158" t="n">
        <f aca="false">VLOOKUP(B15,'2024'!$A:$O,11,0)</f>
        <v>2059.32</v>
      </c>
      <c r="G15" s="158" t="n">
        <f aca="false">VLOOKUP($B15,'2025'!$A:$O,11,0)</f>
        <v>4038.81</v>
      </c>
      <c r="H15" s="158"/>
      <c r="I15" s="190" t="n">
        <f aca="false">IFERROR(H15/$H$19,"")</f>
        <v>0</v>
      </c>
      <c r="J15" s="190" t="n">
        <f aca="false">IFERROR(H15/G15-1,"")</f>
        <v>-1</v>
      </c>
      <c r="K15" s="158" t="n">
        <f aca="false">H15-G15</f>
        <v>-4038.81</v>
      </c>
      <c r="M15" s="158" t="n">
        <f aca="false">VLOOKUP(C15,'תקציב  '!$B:$S,13,0)*1</f>
        <v>16666.6666666667</v>
      </c>
      <c r="N15" s="190" t="n">
        <f aca="false">IFERROR(H15/M15-1,"")</f>
        <v>-1</v>
      </c>
      <c r="O15" s="158" t="n">
        <f aca="false">H15-M15</f>
        <v>-16666.6666666667</v>
      </c>
      <c r="Q15" s="166" t="n">
        <v>25000</v>
      </c>
      <c r="R15" s="190" t="n">
        <f aca="false">IFERROR(G15/Q15-1,"-")</f>
        <v>-0.8384476</v>
      </c>
      <c r="S15" s="190" t="n">
        <f aca="false">IFERROR(G15/Q15,"-")</f>
        <v>0.1615524</v>
      </c>
      <c r="T15" s="166" t="n">
        <f aca="false">G15-Q15</f>
        <v>-20961.19</v>
      </c>
      <c r="V15" s="158"/>
      <c r="W15" s="5" t="n">
        <f aca="false">H15-V15</f>
        <v>0</v>
      </c>
      <c r="X15" s="191" t="str">
        <f aca="false">IFERROR((G15/V15)-1,"-")</f>
        <v>-</v>
      </c>
    </row>
    <row r="16" customFormat="false" ht="15" hidden="false" customHeight="true" outlineLevel="0" collapsed="false">
      <c r="A16" s="170"/>
      <c r="B16" s="195"/>
      <c r="C16" s="195" t="s">
        <v>119</v>
      </c>
      <c r="D16" s="195" t="s">
        <v>119</v>
      </c>
      <c r="E16" s="195"/>
      <c r="F16" s="171" t="n">
        <f aca="false">SUM(F3:F15)+F50</f>
        <v>1023287.655</v>
      </c>
      <c r="G16" s="171" t="n">
        <f aca="false">SUM(G3:G15)+G50</f>
        <v>994966.58</v>
      </c>
      <c r="H16" s="171" t="n">
        <f aca="false">SUM(H3:H15)+H50</f>
        <v>20995.2</v>
      </c>
      <c r="I16" s="197" t="n">
        <f aca="false">IFERROR(H16/$H$19,"")</f>
        <v>1</v>
      </c>
      <c r="J16" s="197" t="n">
        <f aca="false">IFERROR(H16/G16-1,"")</f>
        <v>-0.978898587729449</v>
      </c>
      <c r="K16" s="171" t="n">
        <f aca="false">SUM(K3:K15)+K50</f>
        <v>-973971.38</v>
      </c>
      <c r="M16" s="171" t="n">
        <f aca="false">SUM(M3:M15)+M50</f>
        <v>1744416.66666667</v>
      </c>
      <c r="N16" s="197" t="n">
        <f aca="false">IFERROR(H16/M16-1,"")</f>
        <v>-0.987964343381264</v>
      </c>
      <c r="O16" s="171" t="n">
        <f aca="false">SUM(O3:O15)+O50</f>
        <v>-1723421.46666667</v>
      </c>
      <c r="Q16" s="171" t="n">
        <f aca="false">SUM(Q3:Q15)+Q50</f>
        <v>1645000</v>
      </c>
      <c r="R16" s="197" t="n">
        <f aca="false">IFERROR(G16/Q16-1,"-")</f>
        <v>-0.395157094224924</v>
      </c>
      <c r="S16" s="197" t="n">
        <f aca="false">IFERROR(G16/Q16,"-")</f>
        <v>0.604842905775076</v>
      </c>
      <c r="T16" s="171" t="n">
        <f aca="false">G16-Q16</f>
        <v>-650033.42</v>
      </c>
      <c r="U16" s="198"/>
      <c r="V16" s="171"/>
      <c r="W16" s="199" t="n">
        <f aca="false">H16-V16</f>
        <v>20995.2</v>
      </c>
      <c r="X16" s="200" t="str">
        <f aca="false">IFERROR((G16/V16)-1,"-")</f>
        <v>-</v>
      </c>
    </row>
    <row r="17" customFormat="false" ht="14.25" hidden="false" customHeight="true" outlineLevel="0" collapsed="false">
      <c r="A17" s="168" t="n">
        <v>2</v>
      </c>
      <c r="B17" s="189" t="s">
        <v>149</v>
      </c>
      <c r="C17" s="189" t="s">
        <v>45</v>
      </c>
      <c r="D17" s="189" t="s">
        <v>45</v>
      </c>
      <c r="E17" s="189" t="s">
        <v>32</v>
      </c>
      <c r="F17" s="158" t="n">
        <f aca="false">VLOOKUP(B17,'2024'!$A:$O,11,0)</f>
        <v>71675.5700000002</v>
      </c>
      <c r="G17" s="158" t="n">
        <f aca="false">VLOOKUP($B17,'2025'!$A:$O,11,0)</f>
        <v>136200.54</v>
      </c>
      <c r="H17" s="158"/>
      <c r="I17" s="190" t="n">
        <f aca="false">IFERROR(H17/$H$19,"")</f>
        <v>0</v>
      </c>
      <c r="J17" s="190" t="n">
        <f aca="false">IFERROR(H17/G17-1,"")</f>
        <v>-1</v>
      </c>
      <c r="K17" s="158" t="n">
        <f aca="false">H17-G17</f>
        <v>-136200.54</v>
      </c>
      <c r="M17" s="158" t="n">
        <f aca="false">VLOOKUP(C17,'תקציב  '!$B:$S,13,0)*1</f>
        <v>1300521.18644068</v>
      </c>
      <c r="N17" s="190" t="n">
        <f aca="false">IFERROR(H17/M17-1,"")</f>
        <v>-1</v>
      </c>
      <c r="O17" s="158" t="n">
        <f aca="false">H17-M17</f>
        <v>-1300521.18644068</v>
      </c>
      <c r="Q17" s="166" t="n">
        <v>1159556.77966102</v>
      </c>
      <c r="R17" s="190" t="n">
        <f aca="false">IFERROR(G17/Q17-1,"-")</f>
        <v>-0.882540861828417</v>
      </c>
      <c r="S17" s="190" t="n">
        <f aca="false">IFERROR(G17/Q17,"-")</f>
        <v>0.117459138171583</v>
      </c>
      <c r="T17" s="166" t="n">
        <f aca="false">G17-Q17</f>
        <v>-1023356.23966102</v>
      </c>
      <c r="V17" s="158"/>
      <c r="W17" s="5" t="n">
        <f aca="false">H17-V17</f>
        <v>0</v>
      </c>
      <c r="X17" s="191" t="str">
        <f aca="false">IFERROR((G17/V17)-1,"-")</f>
        <v>-</v>
      </c>
    </row>
    <row r="18" customFormat="false" ht="14.25" hidden="false" customHeight="true" outlineLevel="0" collapsed="false">
      <c r="A18" s="168" t="n">
        <v>12</v>
      </c>
      <c r="B18" s="189" t="s">
        <v>150</v>
      </c>
      <c r="C18" s="189" t="s">
        <v>46</v>
      </c>
      <c r="D18" s="189" t="s">
        <v>46</v>
      </c>
      <c r="E18" s="189" t="s">
        <v>32</v>
      </c>
      <c r="F18" s="158" t="n">
        <f aca="false">VLOOKUP(B18,'2024'!$A:$O,11,0)</f>
        <v>3795.33</v>
      </c>
      <c r="G18" s="158" t="n">
        <f aca="false">VLOOKUP($B18,'2025'!$A:$O,11,0)</f>
        <v>1762.26</v>
      </c>
      <c r="H18" s="158"/>
      <c r="I18" s="190" t="n">
        <f aca="false">IFERROR(H18/$H$19,"")</f>
        <v>0</v>
      </c>
      <c r="J18" s="190" t="n">
        <f aca="false">IFERROR(H18/G18-1,"")</f>
        <v>-1</v>
      </c>
      <c r="K18" s="158" t="n">
        <f aca="false">H18-G18</f>
        <v>-1762.26</v>
      </c>
      <c r="M18" s="158" t="n">
        <f aca="false">VLOOKUP(C18,'תקציב  '!$B:$S,13,0)*1</f>
        <v>2536.92833333333</v>
      </c>
      <c r="N18" s="190" t="n">
        <f aca="false">IFERROR(H18/M18-1,"")</f>
        <v>-1</v>
      </c>
      <c r="O18" s="158" t="n">
        <f aca="false">H18-M18</f>
        <v>-2536.92833333333</v>
      </c>
      <c r="Q18" s="166" t="n">
        <v>5000</v>
      </c>
      <c r="R18" s="190" t="n">
        <f aca="false">IFERROR(G18/Q18-1,"-")</f>
        <v>-0.647548</v>
      </c>
      <c r="S18" s="190" t="n">
        <f aca="false">IFERROR(G18/Q18,"-")</f>
        <v>0.352452</v>
      </c>
      <c r="T18" s="166" t="n">
        <f aca="false">G18-Q18</f>
        <v>-3237.74</v>
      </c>
      <c r="V18" s="158"/>
      <c r="W18" s="5" t="n">
        <f aca="false">H18-V18</f>
        <v>0</v>
      </c>
      <c r="X18" s="191" t="str">
        <f aca="false">IFERROR((G18/V18)-1,"-")</f>
        <v>-</v>
      </c>
    </row>
    <row r="19" customFormat="false" ht="15" hidden="false" customHeight="true" outlineLevel="0" collapsed="false">
      <c r="A19" s="169"/>
      <c r="B19" s="202"/>
      <c r="C19" s="202" t="s">
        <v>48</v>
      </c>
      <c r="D19" s="202" t="s">
        <v>48</v>
      </c>
      <c r="E19" s="202"/>
      <c r="F19" s="171" t="n">
        <f aca="false">F16+F17+F18</f>
        <v>1098758.555</v>
      </c>
      <c r="G19" s="171" t="n">
        <f aca="false">G16+G17+G18</f>
        <v>1132929.38</v>
      </c>
      <c r="H19" s="171" t="n">
        <f aca="false">H16+H17+H18</f>
        <v>20995.2</v>
      </c>
      <c r="I19" s="197" t="n">
        <f aca="false">IFERROR(H19/$H$19,"")</f>
        <v>1</v>
      </c>
      <c r="J19" s="197" t="n">
        <f aca="false">IFERROR(H19/G19-1,"")</f>
        <v>-0.981468218257346</v>
      </c>
      <c r="K19" s="171" t="n">
        <f aca="false">K16+K17+K18</f>
        <v>-1111934.18</v>
      </c>
      <c r="M19" s="171" t="n">
        <f aca="false">M16+M17+M18</f>
        <v>3047474.78144068</v>
      </c>
      <c r="N19" s="197" t="n">
        <f aca="false">IFERROR(H19/M19-1,"")</f>
        <v>-0.993110623875262</v>
      </c>
      <c r="O19" s="171" t="n">
        <f aca="false">O16+O17+O18</f>
        <v>-3026479.58144068</v>
      </c>
      <c r="Q19" s="171" t="n">
        <f aca="false">Q16+Q17+Q18</f>
        <v>2809556.77966102</v>
      </c>
      <c r="R19" s="197" t="n">
        <f aca="false">IFERROR(G19/Q19-1,"-")</f>
        <v>-0.596758681582263</v>
      </c>
      <c r="S19" s="197" t="n">
        <f aca="false">IFERROR(G19/Q19,"-")</f>
        <v>0.403241318417737</v>
      </c>
      <c r="T19" s="171" t="n">
        <f aca="false">G19-Q19</f>
        <v>-1676627.39966102</v>
      </c>
      <c r="U19" s="198"/>
      <c r="V19" s="171"/>
      <c r="W19" s="199" t="n">
        <f aca="false">H19-V19</f>
        <v>20995.2</v>
      </c>
      <c r="X19" s="200" t="str">
        <f aca="false">IFERROR((G19/V19)-1,"-")</f>
        <v>-</v>
      </c>
    </row>
    <row r="20" customFormat="false" ht="14.25" hidden="false" customHeight="true" outlineLevel="0" collapsed="false">
      <c r="A20" s="169" t="n">
        <v>50</v>
      </c>
      <c r="B20" s="193" t="s">
        <v>155</v>
      </c>
      <c r="C20" s="193" t="s">
        <v>49</v>
      </c>
      <c r="D20" s="193" t="s">
        <v>50</v>
      </c>
      <c r="E20" s="193" t="s">
        <v>51</v>
      </c>
      <c r="F20" s="158" t="n">
        <f aca="false">VLOOKUP(B20,'2024'!$A:$O,11,0)</f>
        <v>234970.3</v>
      </c>
      <c r="G20" s="158" t="n">
        <f aca="false">VLOOKUP($B20,'2025'!$A:$O,11,0)</f>
        <v>223589.21</v>
      </c>
      <c r="H20" s="158"/>
      <c r="I20" s="190" t="n">
        <f aca="false">IFERROR(H20/$H$19,"")</f>
        <v>0</v>
      </c>
      <c r="J20" s="190" t="n">
        <f aca="false">IFERROR(H20/G20-1,"")</f>
        <v>-1</v>
      </c>
      <c r="K20" s="158" t="n">
        <f aca="false">H20-G20</f>
        <v>-223589.21</v>
      </c>
      <c r="M20" s="158" t="n">
        <f aca="false">VLOOKUP(C20,'תקציב  '!$B:$S,13,0)*1</f>
        <v>443955.5208</v>
      </c>
      <c r="N20" s="190" t="n">
        <f aca="false">IFERROR(H20/M20-1,"")</f>
        <v>-1</v>
      </c>
      <c r="O20" s="158" t="n">
        <f aca="false">H20-M20</f>
        <v>-443955.5208</v>
      </c>
      <c r="Q20" s="166" t="n">
        <v>321888.6</v>
      </c>
      <c r="R20" s="190" t="n">
        <f aca="false">IFERROR(G20/Q20-1,"-")</f>
        <v>-0.305383259922843</v>
      </c>
      <c r="S20" s="190" t="n">
        <f aca="false">IFERROR(G20/Q20,"-")</f>
        <v>0.694616740077157</v>
      </c>
      <c r="T20" s="166" t="n">
        <f aca="false">G20-Q20</f>
        <v>-98299.39</v>
      </c>
      <c r="V20" s="158"/>
      <c r="W20" s="5" t="n">
        <f aca="false">H20-V20</f>
        <v>0</v>
      </c>
      <c r="X20" s="191" t="str">
        <f aca="false">IFERROR((G20/V20)-1,"-")</f>
        <v>-</v>
      </c>
    </row>
    <row r="21" customFormat="false" ht="14.25" hidden="false" customHeight="true" outlineLevel="0" collapsed="false">
      <c r="A21" s="169" t="n">
        <v>20</v>
      </c>
      <c r="B21" s="193" t="s">
        <v>151</v>
      </c>
      <c r="C21" s="193" t="s">
        <v>52</v>
      </c>
      <c r="D21" s="193" t="s">
        <v>53</v>
      </c>
      <c r="E21" s="193" t="s">
        <v>54</v>
      </c>
      <c r="F21" s="158" t="n">
        <f aca="false">VLOOKUP(B21,'2024'!$A:$O,11,0)</f>
        <v>0</v>
      </c>
      <c r="G21" s="158" t="n">
        <f aca="false">VLOOKUP($B21,'2025'!$A:$O,11,0)</f>
        <v>140125.45</v>
      </c>
      <c r="H21" s="158"/>
      <c r="I21" s="190" t="n">
        <f aca="false">IFERROR(H21/$H$19,"")</f>
        <v>0</v>
      </c>
      <c r="J21" s="190" t="n">
        <f aca="false">IFERROR(H21/G21-1,"")</f>
        <v>-1</v>
      </c>
      <c r="K21" s="158" t="n">
        <f aca="false">H21-G21</f>
        <v>-140125.45</v>
      </c>
      <c r="M21" s="158" t="n">
        <f aca="false">VLOOKUP(C21,'תקציב  '!$B:$S,13,0)*1</f>
        <v>156800</v>
      </c>
      <c r="N21" s="190" t="n">
        <f aca="false">IFERROR(H21/M21-1,"")</f>
        <v>-1</v>
      </c>
      <c r="O21" s="158" t="n">
        <f aca="false">H21-M21</f>
        <v>-156800</v>
      </c>
      <c r="Q21" s="166" t="n">
        <v>300000</v>
      </c>
      <c r="R21" s="190" t="n">
        <f aca="false">IFERROR(G21/Q21-1,"-")</f>
        <v>-0.532915166666667</v>
      </c>
      <c r="S21" s="190" t="n">
        <f aca="false">IFERROR(G21/Q21,"-")</f>
        <v>0.467084833333333</v>
      </c>
      <c r="T21" s="166" t="n">
        <f aca="false">G21-Q21</f>
        <v>-159874.55</v>
      </c>
      <c r="V21" s="158"/>
      <c r="W21" s="5" t="n">
        <f aca="false">H21-V21</f>
        <v>0</v>
      </c>
      <c r="X21" s="191" t="str">
        <f aca="false">IFERROR((G21/V21)-1,"-")</f>
        <v>-</v>
      </c>
    </row>
    <row r="22" customFormat="false" ht="14.25" hidden="false" customHeight="true" outlineLevel="0" collapsed="false">
      <c r="A22" s="169" t="n">
        <v>21</v>
      </c>
      <c r="B22" s="193" t="s">
        <v>157</v>
      </c>
      <c r="C22" s="193" t="s">
        <v>55</v>
      </c>
      <c r="D22" s="193" t="s">
        <v>56</v>
      </c>
      <c r="E22" s="193" t="s">
        <v>57</v>
      </c>
      <c r="F22" s="158" t="n">
        <f aca="false">VLOOKUP(B22,'2024'!$A:$O,11,0)</f>
        <v>92018.45</v>
      </c>
      <c r="G22" s="158" t="n">
        <f aca="false">VLOOKUP($B22,'2025'!$A:$O,11,0)</f>
        <v>596.73</v>
      </c>
      <c r="H22" s="158"/>
      <c r="I22" s="190" t="n">
        <f aca="false">IFERROR(H22/$H$19,"")</f>
        <v>0</v>
      </c>
      <c r="J22" s="190" t="n">
        <f aca="false">IFERROR(H22/G22-1,"")</f>
        <v>-1</v>
      </c>
      <c r="K22" s="158" t="n">
        <f aca="false">H22-G22</f>
        <v>-596.73</v>
      </c>
      <c r="M22" s="158" t="n">
        <f aca="false">VLOOKUP(C22,'תקציב  '!$B:$S,13,0)*1</f>
        <v>0</v>
      </c>
      <c r="N22" s="190" t="str">
        <f aca="false">IFERROR(H22/M22-1,"")</f>
        <v/>
      </c>
      <c r="O22" s="158" t="n">
        <f aca="false">H22-M22</f>
        <v>0</v>
      </c>
      <c r="Q22" s="166" t="n">
        <v>0</v>
      </c>
      <c r="R22" s="190" t="str">
        <f aca="false">IFERROR(G22/Q22-1,"-")</f>
        <v>-</v>
      </c>
      <c r="S22" s="190" t="str">
        <f aca="false">IFERROR(G22/Q22,"-")</f>
        <v>-</v>
      </c>
      <c r="T22" s="166" t="n">
        <f aca="false">G22-Q22</f>
        <v>596.73</v>
      </c>
      <c r="V22" s="158"/>
      <c r="W22" s="5" t="n">
        <f aca="false">H22-V22</f>
        <v>0</v>
      </c>
      <c r="X22" s="191" t="str">
        <f aca="false">IFERROR((G22/V22)-1,"-")</f>
        <v>-</v>
      </c>
    </row>
    <row r="23" customFormat="false" ht="14.25" hidden="false" customHeight="true" outlineLevel="0" collapsed="false">
      <c r="A23" s="169" t="n">
        <v>22</v>
      </c>
      <c r="B23" s="193" t="s">
        <v>159</v>
      </c>
      <c r="C23" s="193" t="s">
        <v>58</v>
      </c>
      <c r="D23" s="193" t="s">
        <v>59</v>
      </c>
      <c r="E23" s="193" t="s">
        <v>60</v>
      </c>
      <c r="F23" s="158" t="n">
        <f aca="false">VLOOKUP(B23,'2024'!$A:$O,11,0)</f>
        <v>86858.25</v>
      </c>
      <c r="G23" s="158" t="n">
        <f aca="false">VLOOKUP($B23,'2025'!$A:$O,11,0)</f>
        <v>0</v>
      </c>
      <c r="H23" s="158"/>
      <c r="I23" s="190" t="n">
        <f aca="false">IFERROR(H23/$H$19,"")</f>
        <v>0</v>
      </c>
      <c r="J23" s="190" t="str">
        <f aca="false">IFERROR(H23/G23-1,"")</f>
        <v/>
      </c>
      <c r="K23" s="158" t="n">
        <f aca="false">H23-G23</f>
        <v>0</v>
      </c>
      <c r="M23" s="158" t="n">
        <f aca="false">VLOOKUP(C23,'תקציב  '!$B:$S,13,0)*1</f>
        <v>0</v>
      </c>
      <c r="N23" s="190" t="str">
        <f aca="false">IFERROR(H23/M23-1,"")</f>
        <v/>
      </c>
      <c r="O23" s="158" t="n">
        <f aca="false">H23-M23</f>
        <v>0</v>
      </c>
      <c r="Q23" s="166" t="n">
        <v>0</v>
      </c>
      <c r="R23" s="190" t="str">
        <f aca="false">IFERROR(G23/Q23-1,"-")</f>
        <v>-</v>
      </c>
      <c r="S23" s="190" t="str">
        <f aca="false">IFERROR(G23/Q23,"-")</f>
        <v>-</v>
      </c>
      <c r="T23" s="166" t="n">
        <f aca="false">G23-Q23</f>
        <v>0</v>
      </c>
      <c r="V23" s="158"/>
      <c r="W23" s="5" t="n">
        <f aca="false">H23-V23</f>
        <v>0</v>
      </c>
      <c r="X23" s="191" t="str">
        <f aca="false">IFERROR((G23/V23)-1,"-")</f>
        <v>-</v>
      </c>
    </row>
    <row r="24" customFormat="false" ht="14.25" hidden="false" customHeight="true" outlineLevel="0" collapsed="false">
      <c r="A24" s="169" t="n">
        <v>23</v>
      </c>
      <c r="B24" s="193" t="s">
        <v>154</v>
      </c>
      <c r="C24" s="193" t="s">
        <v>61</v>
      </c>
      <c r="D24" s="193" t="s">
        <v>62</v>
      </c>
      <c r="E24" s="193" t="s">
        <v>63</v>
      </c>
      <c r="F24" s="158" t="n">
        <f aca="false">VLOOKUP(B24,'2024'!$A:$O,11,0)</f>
        <v>0</v>
      </c>
      <c r="G24" s="158" t="n">
        <f aca="false">VLOOKUP($B24,'2025'!$A:$O,11,0)</f>
        <v>15474.02</v>
      </c>
      <c r="H24" s="158"/>
      <c r="I24" s="190" t="n">
        <f aca="false">IFERROR(H24/$H$19,"")</f>
        <v>0</v>
      </c>
      <c r="J24" s="190" t="n">
        <f aca="false">IFERROR(H24/G24-1,"")</f>
        <v>-1</v>
      </c>
      <c r="K24" s="158" t="n">
        <f aca="false">H24-G24</f>
        <v>-15474.02</v>
      </c>
      <c r="M24" s="158" t="n">
        <f aca="false">VLOOKUP(C24,'תקציב  '!$B:$S,13,0)*1</f>
        <v>9225</v>
      </c>
      <c r="N24" s="190" t="n">
        <f aca="false">IFERROR(H24/M24-1,"")</f>
        <v>-1</v>
      </c>
      <c r="O24" s="158" t="n">
        <f aca="false">H24-M24</f>
        <v>-9225</v>
      </c>
      <c r="Q24" s="166" t="n">
        <v>0</v>
      </c>
      <c r="R24" s="190" t="str">
        <f aca="false">IFERROR(G24/Q24-1,"-")</f>
        <v>-</v>
      </c>
      <c r="S24" s="190" t="str">
        <f aca="false">IFERROR(G24/Q24,"-")</f>
        <v>-</v>
      </c>
      <c r="T24" s="166" t="n">
        <f aca="false">G24-Q24</f>
        <v>15474.02</v>
      </c>
      <c r="V24" s="158"/>
      <c r="W24" s="5" t="n">
        <f aca="false">H24-V24</f>
        <v>0</v>
      </c>
      <c r="X24" s="191" t="str">
        <f aca="false">IFERROR((G24/V24)-1,"-")</f>
        <v>-</v>
      </c>
    </row>
    <row r="25" customFormat="false" ht="14.25" hidden="false" customHeight="true" outlineLevel="0" collapsed="false">
      <c r="A25" s="169" t="n">
        <v>24</v>
      </c>
      <c r="B25" s="193" t="s">
        <v>156</v>
      </c>
      <c r="C25" s="193" t="s">
        <v>64</v>
      </c>
      <c r="D25" s="193" t="s">
        <v>65</v>
      </c>
      <c r="E25" s="193" t="s">
        <v>66</v>
      </c>
      <c r="F25" s="158" t="n">
        <f aca="false">VLOOKUP(B25,'2024'!$A:$O,11,0)</f>
        <v>0</v>
      </c>
      <c r="G25" s="158" t="n">
        <f aca="false">VLOOKUP($B25,'2025'!$A:$O,11,0)</f>
        <v>0</v>
      </c>
      <c r="H25" s="158"/>
      <c r="I25" s="190" t="n">
        <f aca="false">IFERROR(H25/$H$19,"")</f>
        <v>0</v>
      </c>
      <c r="J25" s="190" t="str">
        <f aca="false">IFERROR(H25/G25-1,"")</f>
        <v/>
      </c>
      <c r="K25" s="158" t="n">
        <f aca="false">H25-G25</f>
        <v>0</v>
      </c>
      <c r="M25" s="158" t="n">
        <f aca="false">VLOOKUP(C25,'תקציב  '!$B:$S,13,0)*1</f>
        <v>5000</v>
      </c>
      <c r="N25" s="190" t="n">
        <f aca="false">IFERROR(H25/M25-1,"")</f>
        <v>-1</v>
      </c>
      <c r="O25" s="158" t="n">
        <f aca="false">H25-M25</f>
        <v>-5000</v>
      </c>
      <c r="Q25" s="166" t="n">
        <v>0</v>
      </c>
      <c r="R25" s="190" t="str">
        <f aca="false">IFERROR(G25/Q25-1,"-")</f>
        <v>-</v>
      </c>
      <c r="S25" s="190" t="str">
        <f aca="false">IFERROR(G25/Q25,"-")</f>
        <v>-</v>
      </c>
      <c r="T25" s="166" t="n">
        <f aca="false">G25-Q25</f>
        <v>0</v>
      </c>
      <c r="V25" s="158"/>
      <c r="W25" s="5" t="n">
        <f aca="false">H25-V25</f>
        <v>0</v>
      </c>
      <c r="X25" s="191" t="str">
        <f aca="false">IFERROR((G25/V25)-1,"-")</f>
        <v>-</v>
      </c>
    </row>
    <row r="26" customFormat="false" ht="13.5" hidden="false" customHeight="true" outlineLevel="0" collapsed="false">
      <c r="A26" s="169" t="n">
        <v>25</v>
      </c>
      <c r="B26" s="193" t="s">
        <v>162</v>
      </c>
      <c r="C26" s="193" t="s">
        <v>67</v>
      </c>
      <c r="D26" s="193" t="s">
        <v>68</v>
      </c>
      <c r="E26" s="193" t="s">
        <v>69</v>
      </c>
      <c r="F26" s="158" t="n">
        <f aca="false">VLOOKUP(B26,'2024'!$A:$O,11,0)</f>
        <v>0</v>
      </c>
      <c r="G26" s="158" t="n">
        <f aca="false">VLOOKUP($B26,'2025'!$A:$O,11,0)</f>
        <v>0</v>
      </c>
      <c r="H26" s="158"/>
      <c r="I26" s="190" t="n">
        <f aca="false">IFERROR(H26/$H$19,"")</f>
        <v>0</v>
      </c>
      <c r="J26" s="190" t="str">
        <f aca="false">IFERROR(H26/G26-1,"")</f>
        <v/>
      </c>
      <c r="K26" s="158" t="n">
        <f aca="false">H26-G26</f>
        <v>0</v>
      </c>
      <c r="M26" s="158" t="n">
        <f aca="false">VLOOKUP(C26,'תקציב  '!$B:$S,13,0)*1</f>
        <v>0</v>
      </c>
      <c r="N26" s="190" t="str">
        <f aca="false">IFERROR(H26/M26-1,"")</f>
        <v/>
      </c>
      <c r="O26" s="158" t="n">
        <f aca="false">H26-M26</f>
        <v>0</v>
      </c>
      <c r="Q26" s="166" t="n">
        <v>0</v>
      </c>
      <c r="R26" s="190" t="str">
        <f aca="false">IFERROR(G26/Q26-1,"-")</f>
        <v>-</v>
      </c>
      <c r="S26" s="190" t="str">
        <f aca="false">IFERROR(G26/Q26,"-")</f>
        <v>-</v>
      </c>
      <c r="T26" s="166" t="n">
        <f aca="false">G26-Q26</f>
        <v>0</v>
      </c>
      <c r="V26" s="158"/>
      <c r="W26" s="5" t="n">
        <f aca="false">H26-V26</f>
        <v>0</v>
      </c>
      <c r="X26" s="191" t="str">
        <f aca="false">IFERROR((G26/V26)-1,"-")</f>
        <v>-</v>
      </c>
    </row>
    <row r="27" customFormat="false" ht="14.25" hidden="false" customHeight="true" outlineLevel="0" collapsed="false">
      <c r="A27" s="169" t="n">
        <v>26</v>
      </c>
      <c r="B27" s="193" t="s">
        <v>153</v>
      </c>
      <c r="C27" s="193" t="s">
        <v>70</v>
      </c>
      <c r="D27" s="193" t="s">
        <v>71</v>
      </c>
      <c r="E27" s="193" t="s">
        <v>72</v>
      </c>
      <c r="F27" s="158" t="n">
        <f aca="false">VLOOKUP(B27,'2024'!$A:$O,11,0)</f>
        <v>20724.08</v>
      </c>
      <c r="G27" s="158" t="n">
        <f aca="false">VLOOKUP($B27,'2025'!$A:$O,11,0)</f>
        <v>20604.23</v>
      </c>
      <c r="H27" s="158"/>
      <c r="I27" s="190" t="n">
        <f aca="false">IFERROR(H27/$H$19,"")</f>
        <v>0</v>
      </c>
      <c r="J27" s="190" t="n">
        <f aca="false">IFERROR(H27/G27-1,"")</f>
        <v>-1</v>
      </c>
      <c r="K27" s="158" t="n">
        <f aca="false">H27-G27</f>
        <v>-20604.23</v>
      </c>
      <c r="M27" s="158" t="n">
        <f aca="false">VLOOKUP(C27,'תקציב  '!$B:$S,13,0)*1</f>
        <v>0</v>
      </c>
      <c r="N27" s="190" t="str">
        <f aca="false">IFERROR(H27/M27-1,"")</f>
        <v/>
      </c>
      <c r="O27" s="158" t="n">
        <f aca="false">H27-M27</f>
        <v>0</v>
      </c>
      <c r="Q27" s="166" t="n">
        <v>0</v>
      </c>
      <c r="R27" s="190" t="str">
        <f aca="false">IFERROR(G27/Q27-1,"-")</f>
        <v>-</v>
      </c>
      <c r="S27" s="190" t="str">
        <f aca="false">IFERROR(G27/Q27,"-")</f>
        <v>-</v>
      </c>
      <c r="T27" s="166" t="n">
        <f aca="false">G27-Q27</f>
        <v>20604.23</v>
      </c>
      <c r="V27" s="158"/>
      <c r="W27" s="5" t="n">
        <f aca="false">H27-V27</f>
        <v>0</v>
      </c>
      <c r="X27" s="191" t="str">
        <f aca="false">IFERROR((G27/V27)-1,"-")</f>
        <v>-</v>
      </c>
    </row>
    <row r="28" customFormat="false" ht="13.5" hidden="false" customHeight="true" outlineLevel="0" collapsed="false">
      <c r="A28" s="169" t="n">
        <v>27</v>
      </c>
      <c r="B28" s="193" t="s">
        <v>163</v>
      </c>
      <c r="C28" s="193" t="s">
        <v>73</v>
      </c>
      <c r="D28" s="193" t="s">
        <v>74</v>
      </c>
      <c r="E28" s="193" t="s">
        <v>75</v>
      </c>
      <c r="F28" s="158" t="n">
        <f aca="false">VLOOKUP(B28,'2024'!$A:$O,11,0)</f>
        <v>0</v>
      </c>
      <c r="G28" s="158" t="n">
        <f aca="false">VLOOKUP($B28,'2025'!$A:$O,11,0)</f>
        <v>0</v>
      </c>
      <c r="H28" s="158"/>
      <c r="I28" s="190" t="n">
        <f aca="false">IFERROR(H28/$H$19,"")</f>
        <v>0</v>
      </c>
      <c r="J28" s="190" t="str">
        <f aca="false">IFERROR(H28/G28-1,"")</f>
        <v/>
      </c>
      <c r="K28" s="158" t="n">
        <f aca="false">H28-G28</f>
        <v>0</v>
      </c>
      <c r="M28" s="158" t="n">
        <f aca="false">VLOOKUP(C28,'תקציב  '!$B:$S,13,0)*1</f>
        <v>0</v>
      </c>
      <c r="N28" s="190" t="str">
        <f aca="false">IFERROR(H28/M28-1,"")</f>
        <v/>
      </c>
      <c r="O28" s="158" t="n">
        <f aca="false">H28-M28</f>
        <v>0</v>
      </c>
      <c r="Q28" s="166" t="n">
        <v>100000</v>
      </c>
      <c r="R28" s="190" t="n">
        <f aca="false">IFERROR(G28/Q28-1,"-")</f>
        <v>-1</v>
      </c>
      <c r="S28" s="190" t="n">
        <f aca="false">IFERROR(G28/Q28,"-")</f>
        <v>0</v>
      </c>
      <c r="T28" s="166" t="n">
        <f aca="false">G28-Q28</f>
        <v>-100000</v>
      </c>
      <c r="V28" s="158"/>
      <c r="W28" s="5" t="n">
        <f aca="false">H28-V28</f>
        <v>0</v>
      </c>
      <c r="X28" s="191" t="str">
        <f aca="false">IFERROR((G28/V28)-1,"-")</f>
        <v>-</v>
      </c>
    </row>
    <row r="29" customFormat="false" ht="13.5" hidden="false" customHeight="true" outlineLevel="0" collapsed="false">
      <c r="A29" s="169" t="n">
        <v>28</v>
      </c>
      <c r="B29" s="193" t="s">
        <v>164</v>
      </c>
      <c r="C29" s="193" t="s">
        <v>76</v>
      </c>
      <c r="D29" s="193" t="s">
        <v>77</v>
      </c>
      <c r="E29" s="193" t="s">
        <v>78</v>
      </c>
      <c r="F29" s="158" t="n">
        <f aca="false">VLOOKUP(B29,'2024'!$A:$O,11,0)</f>
        <v>0</v>
      </c>
      <c r="G29" s="158" t="n">
        <f aca="false">VLOOKUP($B29,'2025'!$A:$O,11,0)</f>
        <v>36333.04</v>
      </c>
      <c r="H29" s="158"/>
      <c r="I29" s="190" t="n">
        <f aca="false">IFERROR(H29/$H$19,"")</f>
        <v>0</v>
      </c>
      <c r="J29" s="190" t="n">
        <f aca="false">IFERROR(H29/G29-1,"")</f>
        <v>-1</v>
      </c>
      <c r="K29" s="158" t="n">
        <f aca="false">H29-G29</f>
        <v>-36333.04</v>
      </c>
      <c r="M29" s="158" t="n">
        <f aca="false">VLOOKUP(C29,'תקציב  '!$B:$S,13,0)*1</f>
        <v>39765.076</v>
      </c>
      <c r="N29" s="190" t="n">
        <f aca="false">IFERROR(H29/M29-1,"")</f>
        <v>-1</v>
      </c>
      <c r="O29" s="158" t="n">
        <f aca="false">H29-M29</f>
        <v>-39765.076</v>
      </c>
      <c r="Q29" s="166" t="n">
        <v>20000</v>
      </c>
      <c r="R29" s="190" t="n">
        <f aca="false">IFERROR(G29/Q29-1,"-")</f>
        <v>0.816652</v>
      </c>
      <c r="S29" s="190" t="n">
        <f aca="false">IFERROR(G29/Q29,"-")</f>
        <v>1.816652</v>
      </c>
      <c r="T29" s="166" t="n">
        <f aca="false">G29-Q29</f>
        <v>16333.04</v>
      </c>
      <c r="V29" s="158"/>
      <c r="W29" s="5" t="n">
        <f aca="false">H29-V29</f>
        <v>0</v>
      </c>
      <c r="X29" s="191" t="str">
        <f aca="false">IFERROR((G29/V29)-1,"-")</f>
        <v>-</v>
      </c>
    </row>
    <row r="30" customFormat="false" ht="14.25" hidden="false" customHeight="true" outlineLevel="0" collapsed="false">
      <c r="A30" s="169" t="n">
        <v>29</v>
      </c>
      <c r="B30" s="193" t="s">
        <v>158</v>
      </c>
      <c r="C30" s="193" t="s">
        <v>79</v>
      </c>
      <c r="D30" s="193" t="s">
        <v>80</v>
      </c>
      <c r="E30" s="193" t="s">
        <v>81</v>
      </c>
      <c r="F30" s="158" t="n">
        <f aca="false">VLOOKUP(B30,'2024'!$A:$O,11,0)</f>
        <v>3920.16</v>
      </c>
      <c r="G30" s="158" t="n">
        <f aca="false">VLOOKUP($B30,'2025'!$A:$O,11,0)</f>
        <v>0</v>
      </c>
      <c r="H30" s="158"/>
      <c r="I30" s="190" t="n">
        <f aca="false">IFERROR(H30/$H$19,"")</f>
        <v>0</v>
      </c>
      <c r="J30" s="190" t="str">
        <f aca="false">IFERROR(H30/G30-1,"")</f>
        <v/>
      </c>
      <c r="K30" s="158" t="n">
        <f aca="false">H30-G30</f>
        <v>0</v>
      </c>
      <c r="M30" s="158" t="n">
        <f aca="false">VLOOKUP(C30,'תקציב  '!$B:$S,13,0)*1</f>
        <v>35000</v>
      </c>
      <c r="N30" s="190" t="n">
        <f aca="false">IFERROR(H30/M30-1,"")</f>
        <v>-1</v>
      </c>
      <c r="O30" s="158" t="n">
        <f aca="false">H30-M30</f>
        <v>-35000</v>
      </c>
      <c r="Q30" s="166" t="n">
        <v>30000</v>
      </c>
      <c r="R30" s="190" t="n">
        <f aca="false">IFERROR(G30/Q30-1,"-")</f>
        <v>-1</v>
      </c>
      <c r="S30" s="190" t="n">
        <f aca="false">IFERROR(G30/Q30,"-")</f>
        <v>0</v>
      </c>
      <c r="T30" s="166" t="n">
        <f aca="false">G30-Q30</f>
        <v>-30000</v>
      </c>
      <c r="V30" s="158"/>
      <c r="W30" s="5" t="n">
        <f aca="false">H30-V30</f>
        <v>0</v>
      </c>
      <c r="X30" s="191" t="str">
        <f aca="false">IFERROR((G30/V30)-1,"-")</f>
        <v>-</v>
      </c>
    </row>
    <row r="31" customFormat="false" ht="14.25" hidden="false" customHeight="true" outlineLevel="0" collapsed="false">
      <c r="A31" s="169" t="n">
        <v>30</v>
      </c>
      <c r="B31" s="193" t="s">
        <v>152</v>
      </c>
      <c r="C31" s="193" t="s">
        <v>82</v>
      </c>
      <c r="D31" s="193" t="s">
        <v>83</v>
      </c>
      <c r="E31" s="193" t="s">
        <v>81</v>
      </c>
      <c r="F31" s="158" t="n">
        <f aca="false">VLOOKUP(B31,'2024'!$A:$O,11,0)</f>
        <v>0</v>
      </c>
      <c r="G31" s="158" t="n">
        <f aca="false">VLOOKUP($B31,'2025'!$A:$O,11,0)</f>
        <v>22174.82</v>
      </c>
      <c r="H31" s="158"/>
      <c r="I31" s="190" t="n">
        <f aca="false">IFERROR(H31/$H$19,"")</f>
        <v>0</v>
      </c>
      <c r="J31" s="190" t="n">
        <f aca="false">IFERROR(H31/G31-1,"")</f>
        <v>-1</v>
      </c>
      <c r="K31" s="158" t="n">
        <f aca="false">H31-G31</f>
        <v>-22174.82</v>
      </c>
      <c r="M31" s="158" t="n">
        <f aca="false">VLOOKUP(C31,'תקציב  '!$B:$S,13,0)*1</f>
        <v>0</v>
      </c>
      <c r="N31" s="190" t="str">
        <f aca="false">IFERROR(H31/M31-1,"")</f>
        <v/>
      </c>
      <c r="O31" s="158" t="n">
        <f aca="false">H31-M31</f>
        <v>0</v>
      </c>
      <c r="Q31" s="166" t="n">
        <v>0</v>
      </c>
      <c r="R31" s="190" t="str">
        <f aca="false">IFERROR(G31/Q31-1,"-")</f>
        <v>-</v>
      </c>
      <c r="S31" s="190" t="str">
        <f aca="false">IFERROR(G31/Q31,"-")</f>
        <v>-</v>
      </c>
      <c r="T31" s="166" t="n">
        <f aca="false">G31-Q31</f>
        <v>22174.82</v>
      </c>
      <c r="V31" s="158"/>
      <c r="W31" s="5" t="n">
        <f aca="false">H31-V31</f>
        <v>0</v>
      </c>
      <c r="X31" s="191" t="str">
        <f aca="false">IFERROR((G31/V31)-1,"-")</f>
        <v>-</v>
      </c>
    </row>
    <row r="32" customFormat="false" ht="13.5" hidden="false" customHeight="true" outlineLevel="0" collapsed="false">
      <c r="A32" s="169" t="n">
        <v>31</v>
      </c>
      <c r="B32" s="193" t="s">
        <v>84</v>
      </c>
      <c r="C32" s="193" t="s">
        <v>84</v>
      </c>
      <c r="D32" s="193" t="s">
        <v>85</v>
      </c>
      <c r="E32" s="193" t="s">
        <v>86</v>
      </c>
      <c r="F32" s="158" t="n">
        <f aca="false">VLOOKUP(B32,'2024'!$A:$O,11,0)</f>
        <v>0</v>
      </c>
      <c r="G32" s="158" t="n">
        <f aca="false">VLOOKUP($B32,'2025'!$A:$O,11,0)</f>
        <v>0</v>
      </c>
      <c r="H32" s="158"/>
      <c r="I32" s="190" t="n">
        <f aca="false">IFERROR(H32/$H$19,"")</f>
        <v>0</v>
      </c>
      <c r="J32" s="190" t="str">
        <f aca="false">IFERROR(H32/G32-1,"")</f>
        <v/>
      </c>
      <c r="K32" s="158" t="n">
        <f aca="false">H32-G32</f>
        <v>0</v>
      </c>
      <c r="M32" s="158" t="n">
        <f aca="false">VLOOKUP(C32,'תקציב  '!$B:$S,13,0)*1</f>
        <v>0</v>
      </c>
      <c r="N32" s="190" t="str">
        <f aca="false">IFERROR(H32/M32-1,"")</f>
        <v/>
      </c>
      <c r="O32" s="158" t="n">
        <f aca="false">H32-M32</f>
        <v>0</v>
      </c>
      <c r="Q32" s="166" t="n">
        <v>0</v>
      </c>
      <c r="R32" s="190" t="str">
        <f aca="false">IFERROR(G32/Q32-1,"-")</f>
        <v>-</v>
      </c>
      <c r="S32" s="190" t="str">
        <f aca="false">IFERROR(G32/Q32,"-")</f>
        <v>-</v>
      </c>
      <c r="T32" s="166" t="n">
        <f aca="false">G32-Q32</f>
        <v>0</v>
      </c>
      <c r="V32" s="158"/>
      <c r="W32" s="5" t="n">
        <f aca="false">H32-V32</f>
        <v>0</v>
      </c>
      <c r="X32" s="191" t="str">
        <f aca="false">IFERROR((G32/V32)-1,"-")</f>
        <v>-</v>
      </c>
    </row>
    <row r="33" customFormat="false" ht="13.5" hidden="false" customHeight="true" outlineLevel="0" collapsed="false">
      <c r="A33" s="169"/>
      <c r="B33" s="193"/>
      <c r="C33" s="193"/>
      <c r="D33" s="193" t="s">
        <v>171</v>
      </c>
      <c r="E33" s="193" t="s">
        <v>172</v>
      </c>
      <c r="F33" s="158"/>
      <c r="G33" s="158"/>
      <c r="H33" s="158"/>
      <c r="I33" s="190" t="n">
        <f aca="false">IFERROR(H33/$H$19,"")</f>
        <v>0</v>
      </c>
      <c r="J33" s="190" t="str">
        <f aca="false">IFERROR(H33/G33-1,"")</f>
        <v/>
      </c>
      <c r="K33" s="158" t="n">
        <f aca="false">H33-G33</f>
        <v>0</v>
      </c>
      <c r="M33" s="158"/>
      <c r="N33" s="190" t="str">
        <f aca="false">IFERROR(H33/M33-1,"")</f>
        <v/>
      </c>
      <c r="O33" s="158" t="n">
        <f aca="false">H33-M33</f>
        <v>0</v>
      </c>
      <c r="Q33" s="166" t="n">
        <v>0</v>
      </c>
      <c r="R33" s="190" t="str">
        <f aca="false">IFERROR(G33/Q33-1,"-")</f>
        <v>-</v>
      </c>
      <c r="S33" s="190" t="str">
        <f aca="false">IFERROR(G33/Q33,"-")</f>
        <v>-</v>
      </c>
      <c r="T33" s="166" t="n">
        <f aca="false">G33-Q33</f>
        <v>0</v>
      </c>
      <c r="V33" s="158"/>
      <c r="W33" s="5" t="n">
        <f aca="false">H33-V33</f>
        <v>0</v>
      </c>
      <c r="X33" s="191" t="str">
        <f aca="false">IFERROR((G33/V33)-1,"-")</f>
        <v>-</v>
      </c>
    </row>
    <row r="34" customFormat="false" ht="13.5" hidden="false" customHeight="true" outlineLevel="0" collapsed="false">
      <c r="A34" s="169" t="n">
        <v>32</v>
      </c>
      <c r="B34" s="193" t="s">
        <v>161</v>
      </c>
      <c r="C34" s="193" t="s">
        <v>87</v>
      </c>
      <c r="D34" s="193" t="s">
        <v>88</v>
      </c>
      <c r="E34" s="193" t="s">
        <v>89</v>
      </c>
      <c r="F34" s="158" t="n">
        <f aca="false">VLOOKUP(B34,'2024'!$A:$O,11,0)</f>
        <v>0</v>
      </c>
      <c r="G34" s="158" t="n">
        <f aca="false">VLOOKUP($B34,'2025'!$A:$O,11,0)</f>
        <v>0</v>
      </c>
      <c r="H34" s="158"/>
      <c r="I34" s="190" t="n">
        <f aca="false">IFERROR(H34/$H$19,"")</f>
        <v>0</v>
      </c>
      <c r="J34" s="190" t="str">
        <f aca="false">IFERROR(H34/G34-1,"")</f>
        <v/>
      </c>
      <c r="K34" s="158" t="n">
        <f aca="false">H34-G34</f>
        <v>0</v>
      </c>
      <c r="M34" s="158" t="n">
        <f aca="false">VLOOKUP(C34,'תקציב  '!$B:$S,13,0)*1</f>
        <v>0</v>
      </c>
      <c r="N34" s="190" t="str">
        <f aca="false">IFERROR(H34/M34-1,"")</f>
        <v/>
      </c>
      <c r="O34" s="158" t="n">
        <f aca="false">H34-M34</f>
        <v>0</v>
      </c>
      <c r="Q34" s="166" t="n">
        <v>0</v>
      </c>
      <c r="R34" s="190" t="str">
        <f aca="false">IFERROR(G34/Q34-1,"-")</f>
        <v>-</v>
      </c>
      <c r="S34" s="190" t="str">
        <f aca="false">IFERROR(G34/Q34,"-")</f>
        <v>-</v>
      </c>
      <c r="T34" s="166" t="n">
        <f aca="false">G34-Q34</f>
        <v>0</v>
      </c>
      <c r="V34" s="158"/>
      <c r="W34" s="5" t="n">
        <f aca="false">H34-V34</f>
        <v>0</v>
      </c>
      <c r="X34" s="191" t="str">
        <f aca="false">IFERROR((G34/V34)-1,"-")</f>
        <v>-</v>
      </c>
    </row>
    <row r="35" customFormat="false" ht="13.5" hidden="false" customHeight="true" outlineLevel="0" collapsed="false">
      <c r="A35" s="169" t="n">
        <v>33</v>
      </c>
      <c r="B35" s="193" t="s">
        <v>160</v>
      </c>
      <c r="C35" s="193" t="s">
        <v>90</v>
      </c>
      <c r="D35" s="193" t="s">
        <v>91</v>
      </c>
      <c r="E35" s="193" t="s">
        <v>92</v>
      </c>
      <c r="F35" s="158" t="n">
        <f aca="false">VLOOKUP(B35,'2024'!$A:$O,11,0)</f>
        <v>0</v>
      </c>
      <c r="G35" s="158" t="n">
        <f aca="false">VLOOKUP($B35,'2025'!$A:$O,11,0)</f>
        <v>0</v>
      </c>
      <c r="H35" s="158"/>
      <c r="I35" s="190" t="n">
        <f aca="false">IFERROR(H35/$H$19,"")</f>
        <v>0</v>
      </c>
      <c r="J35" s="190" t="str">
        <f aca="false">IFERROR(H35/G35-1,"")</f>
        <v/>
      </c>
      <c r="K35" s="158" t="n">
        <f aca="false">H35-G35</f>
        <v>0</v>
      </c>
      <c r="M35" s="158" t="n">
        <f aca="false">VLOOKUP(C35,'תקציב  '!$B:$S,13,0)*1</f>
        <v>0</v>
      </c>
      <c r="N35" s="190" t="str">
        <f aca="false">IFERROR(H35/M35-1,"")</f>
        <v/>
      </c>
      <c r="O35" s="158" t="n">
        <f aca="false">H35-M35</f>
        <v>0</v>
      </c>
      <c r="Q35" s="166" t="n">
        <v>0</v>
      </c>
      <c r="R35" s="190" t="str">
        <f aca="false">IFERROR(G35/Q35-1,"-")</f>
        <v>-</v>
      </c>
      <c r="S35" s="190" t="str">
        <f aca="false">IFERROR(G35/Q35,"-")</f>
        <v>-</v>
      </c>
      <c r="T35" s="166" t="n">
        <f aca="false">G35-Q35</f>
        <v>0</v>
      </c>
      <c r="V35" s="158"/>
      <c r="W35" s="5" t="n">
        <f aca="false">H35-V35</f>
        <v>0</v>
      </c>
      <c r="X35" s="191" t="str">
        <f aca="false">IFERROR((G35/V35)-1,"-")</f>
        <v>-</v>
      </c>
    </row>
    <row r="36" customFormat="false" ht="14.25" hidden="false" customHeight="true" outlineLevel="0" collapsed="false">
      <c r="A36" s="169"/>
      <c r="B36" s="193" t="s">
        <v>166</v>
      </c>
      <c r="C36" s="193" t="s">
        <v>166</v>
      </c>
      <c r="D36" s="193" t="s">
        <v>173</v>
      </c>
      <c r="E36" s="193" t="s">
        <v>78</v>
      </c>
      <c r="F36" s="158" t="n">
        <f aca="false">VLOOKUP(B36,'2024'!$A:$O,11,0)</f>
        <v>0</v>
      </c>
      <c r="G36" s="158" t="n">
        <f aca="false">VLOOKUP($B36,'2025'!$A:$O,11,0)</f>
        <v>0</v>
      </c>
      <c r="H36" s="158"/>
      <c r="I36" s="190" t="n">
        <f aca="false">IFERROR(H36/$H$19,"")</f>
        <v>0</v>
      </c>
      <c r="J36" s="190" t="str">
        <f aca="false">IFERROR(H36/G36-1,"")</f>
        <v/>
      </c>
      <c r="K36" s="158" t="n">
        <f aca="false">H36-G36</f>
        <v>0</v>
      </c>
      <c r="M36" s="158"/>
      <c r="N36" s="190" t="str">
        <f aca="false">IFERROR(H36/M36-1,"")</f>
        <v/>
      </c>
      <c r="O36" s="158" t="n">
        <f aca="false">H36-M36</f>
        <v>0</v>
      </c>
      <c r="Q36" s="166" t="n">
        <v>0</v>
      </c>
      <c r="R36" s="190" t="str">
        <f aca="false">IFERROR(G36/Q36-1,"-")</f>
        <v>-</v>
      </c>
      <c r="S36" s="190" t="str">
        <f aca="false">IFERROR(G36/Q36,"-")</f>
        <v>-</v>
      </c>
      <c r="T36" s="166" t="n">
        <f aca="false">G36-Q36</f>
        <v>0</v>
      </c>
      <c r="V36" s="158"/>
      <c r="W36" s="5" t="n">
        <f aca="false">H36-V36</f>
        <v>0</v>
      </c>
      <c r="X36" s="191" t="str">
        <f aca="false">IFERROR((G36/V36)-1,"-")</f>
        <v>-</v>
      </c>
    </row>
    <row r="37" customFormat="false" ht="14.25" hidden="false" customHeight="true" outlineLevel="0" collapsed="false">
      <c r="A37" s="169" t="n">
        <v>34</v>
      </c>
      <c r="B37" s="193" t="s">
        <v>165</v>
      </c>
      <c r="C37" s="193" t="s">
        <v>165</v>
      </c>
      <c r="D37" s="193" t="s">
        <v>93</v>
      </c>
      <c r="E37" s="193" t="s">
        <v>174</v>
      </c>
      <c r="F37" s="158" t="n">
        <f aca="false">VLOOKUP(B37,'2024'!$A:$O,11,0)</f>
        <v>0</v>
      </c>
      <c r="G37" s="158" t="n">
        <f aca="false">VLOOKUP($B37,'2025'!$A:$O,11,0)</f>
        <v>0</v>
      </c>
      <c r="H37" s="158"/>
      <c r="I37" s="190" t="n">
        <f aca="false">IFERROR(H37/$H$19,"")</f>
        <v>0</v>
      </c>
      <c r="J37" s="190" t="str">
        <f aca="false">IFERROR(H37/G37-1,"")</f>
        <v/>
      </c>
      <c r="K37" s="158" t="n">
        <f aca="false">H37-G37</f>
        <v>0</v>
      </c>
      <c r="M37" s="158"/>
      <c r="N37" s="190" t="str">
        <f aca="false">IFERROR(H37/M37-1,"")</f>
        <v/>
      </c>
      <c r="O37" s="158" t="n">
        <f aca="false">H37-M37</f>
        <v>0</v>
      </c>
      <c r="Q37" s="166" t="n">
        <v>0</v>
      </c>
      <c r="R37" s="190" t="str">
        <f aca="false">IFERROR(G37/Q37-1,"-")</f>
        <v>-</v>
      </c>
      <c r="S37" s="190" t="str">
        <f aca="false">IFERROR(G37/Q37,"-")</f>
        <v>-</v>
      </c>
      <c r="T37" s="166" t="n">
        <f aca="false">G37-Q37</f>
        <v>0</v>
      </c>
      <c r="V37" s="158"/>
      <c r="W37" s="5" t="n">
        <f aca="false">H37-V37</f>
        <v>0</v>
      </c>
      <c r="X37" s="191" t="str">
        <f aca="false">IFERROR((G37/V37)-1,"-")</f>
        <v>-</v>
      </c>
    </row>
    <row r="38" customFormat="false" ht="13.5" hidden="false" customHeight="true" outlineLevel="0" collapsed="false">
      <c r="A38" s="169" t="n">
        <v>35</v>
      </c>
      <c r="B38" s="193" t="s">
        <v>94</v>
      </c>
      <c r="C38" s="193" t="s">
        <v>94</v>
      </c>
      <c r="D38" s="193" t="s">
        <v>95</v>
      </c>
      <c r="E38" s="193" t="s">
        <v>51</v>
      </c>
      <c r="F38" s="158" t="n">
        <f aca="false">VLOOKUP(B38,'2024'!$A:$O,11,0)</f>
        <v>0</v>
      </c>
      <c r="G38" s="158" t="n">
        <f aca="false">VLOOKUP($B38,'2025'!$A:$O,11,0)</f>
        <v>0</v>
      </c>
      <c r="H38" s="158"/>
      <c r="I38" s="190" t="n">
        <f aca="false">IFERROR(H38/$H$19,"")</f>
        <v>0</v>
      </c>
      <c r="J38" s="190" t="str">
        <f aca="false">IFERROR(H38/G38-1,"")</f>
        <v/>
      </c>
      <c r="K38" s="158" t="n">
        <f aca="false">H38-G38</f>
        <v>0</v>
      </c>
      <c r="M38" s="158" t="n">
        <f aca="false">VLOOKUP(C38,'תקציב  '!$B:$S,13,0)*1</f>
        <v>0</v>
      </c>
      <c r="N38" s="190" t="str">
        <f aca="false">IFERROR(H38/M38-1,"")</f>
        <v/>
      </c>
      <c r="O38" s="158" t="n">
        <f aca="false">H38-M38</f>
        <v>0</v>
      </c>
      <c r="Q38" s="166" t="n">
        <v>0</v>
      </c>
      <c r="R38" s="190" t="str">
        <f aca="false">IFERROR(G38/Q38-1,"-")</f>
        <v>-</v>
      </c>
      <c r="S38" s="190" t="str">
        <f aca="false">IFERROR(G38/Q38,"-")</f>
        <v>-</v>
      </c>
      <c r="T38" s="166" t="n">
        <f aca="false">G38-Q38</f>
        <v>0</v>
      </c>
      <c r="V38" s="158"/>
      <c r="W38" s="5" t="n">
        <f aca="false">H38-V38</f>
        <v>0</v>
      </c>
      <c r="X38" s="191" t="str">
        <f aca="false">IFERROR((G38/V38)-1,"-")</f>
        <v>-</v>
      </c>
    </row>
    <row r="39" customFormat="false" ht="13.5" hidden="false" customHeight="true" outlineLevel="0" collapsed="false">
      <c r="A39" s="226" t="n">
        <v>36</v>
      </c>
      <c r="B39" s="227"/>
      <c r="C39" s="227" t="s">
        <v>97</v>
      </c>
      <c r="D39" s="227" t="s">
        <v>97</v>
      </c>
      <c r="E39" s="227"/>
      <c r="F39" s="158"/>
      <c r="G39" s="158"/>
      <c r="H39" s="158"/>
      <c r="I39" s="229" t="n">
        <f aca="false">IFERROR(H39/$H$19,"")</f>
        <v>0</v>
      </c>
      <c r="J39" s="190" t="str">
        <f aca="false">IFERROR(H39/G39-1,"")</f>
        <v/>
      </c>
      <c r="K39" s="158" t="n">
        <f aca="false">H39-G39</f>
        <v>0</v>
      </c>
      <c r="M39" s="158" t="n">
        <f aca="false">VLOOKUP(C39,'תקציב  '!$B:$S,13,0)*1</f>
        <v>0</v>
      </c>
      <c r="N39" s="229" t="str">
        <f aca="false">IFERROR(H39/M39-1,"")</f>
        <v/>
      </c>
      <c r="O39" s="158" t="n">
        <f aca="false">H39-M39</f>
        <v>0</v>
      </c>
      <c r="Q39" s="166" t="n">
        <v>100000</v>
      </c>
      <c r="R39" s="190" t="n">
        <f aca="false">IFERROR(G39/Q39-1,"-")</f>
        <v>-1</v>
      </c>
      <c r="S39" s="190" t="n">
        <f aca="false">IFERROR(G39/Q39,"-")</f>
        <v>0</v>
      </c>
      <c r="T39" s="166" t="n">
        <f aca="false">G39-Q39</f>
        <v>-100000</v>
      </c>
      <c r="V39" s="158"/>
      <c r="W39" s="5" t="n">
        <f aca="false">H39-V39</f>
        <v>0</v>
      </c>
      <c r="X39" s="191" t="str">
        <f aca="false">IFERROR((G39/V39)-1,"-")</f>
        <v>-</v>
      </c>
    </row>
    <row r="40" customFormat="false" ht="15" hidden="false" customHeight="true" outlineLevel="0" collapsed="false">
      <c r="A40" s="169"/>
      <c r="B40" s="206"/>
      <c r="C40" s="206" t="s">
        <v>98</v>
      </c>
      <c r="D40" s="206" t="s">
        <v>98</v>
      </c>
      <c r="E40" s="206"/>
      <c r="F40" s="173" t="n">
        <f aca="false">SUM(F20:F39)+F51+F52</f>
        <v>438491.24</v>
      </c>
      <c r="G40" s="173" t="n">
        <f aca="false">SUM(G20:G39)+G51+G52</f>
        <v>458897.5</v>
      </c>
      <c r="H40" s="173" t="n">
        <f aca="false">SUM(H20:H39)+H51+H52</f>
        <v>0</v>
      </c>
      <c r="I40" s="174" t="n">
        <f aca="false">IFERROR(H40/$H$19,"")</f>
        <v>0</v>
      </c>
      <c r="J40" s="174" t="n">
        <f aca="false">IFERROR(H40/G40-1,"")</f>
        <v>-1</v>
      </c>
      <c r="K40" s="173" t="n">
        <f aca="false">SUM(K20:K39)+K51+K52</f>
        <v>-458897.5</v>
      </c>
      <c r="M40" s="173" t="n">
        <f aca="false">SUM(M20:M39)+M51+M52</f>
        <v>689745.5968</v>
      </c>
      <c r="N40" s="174" t="n">
        <f aca="false">IFERROR(H40/M40-1,"")</f>
        <v>-1</v>
      </c>
      <c r="O40" s="173" t="n">
        <f aca="false">SUM(O20:O39)+O51+O52</f>
        <v>-689745.5968</v>
      </c>
      <c r="Q40" s="173" t="n">
        <f aca="false">SUM(Q20:Q39)+Q51+Q52</f>
        <v>871888.6</v>
      </c>
      <c r="R40" s="174" t="n">
        <f aca="false">IFERROR(G40/Q40-1,"-")</f>
        <v>-0.473674159749307</v>
      </c>
      <c r="S40" s="174" t="n">
        <f aca="false">IFERROR(G40/Q40,"-")</f>
        <v>0.526325840250693</v>
      </c>
      <c r="T40" s="173" t="n">
        <f aca="false">G40-Q40</f>
        <v>-412991.1</v>
      </c>
      <c r="U40" s="198"/>
      <c r="V40" s="173"/>
      <c r="W40" s="5" t="n">
        <f aca="false">H40-V40</f>
        <v>0</v>
      </c>
      <c r="X40" s="200" t="str">
        <f aca="false">IFERROR((G40/V40)-1,"-")</f>
        <v>-</v>
      </c>
    </row>
    <row r="41" customFormat="false" ht="15" hidden="false" customHeight="true" outlineLevel="0" collapsed="false">
      <c r="A41" s="169"/>
      <c r="B41" s="207"/>
      <c r="C41" s="207" t="s">
        <v>175</v>
      </c>
      <c r="D41" s="207" t="s">
        <v>175</v>
      </c>
      <c r="E41" s="207"/>
      <c r="F41" s="175" t="n">
        <f aca="false">F40+F19</f>
        <v>1537249.795</v>
      </c>
      <c r="G41" s="175" t="n">
        <f aca="false">G40+G19</f>
        <v>1591826.88</v>
      </c>
      <c r="H41" s="175" t="n">
        <f aca="false">H40+H19</f>
        <v>20995.2</v>
      </c>
      <c r="I41" s="147" t="n">
        <f aca="false">IFERROR(H41/$H$19,"")</f>
        <v>1</v>
      </c>
      <c r="J41" s="147" t="n">
        <f aca="false">IFERROR(H41/G41-1,"")</f>
        <v>-0.986810626039937</v>
      </c>
      <c r="K41" s="175" t="n">
        <f aca="false">K40+K19</f>
        <v>-1570831.68</v>
      </c>
      <c r="M41" s="175" t="n">
        <f aca="false">M40+M19</f>
        <v>3737220.37824068</v>
      </c>
      <c r="N41" s="147" t="n">
        <f aca="false">IFERROR(H41/M41-1,"")</f>
        <v>-0.99438213488232</v>
      </c>
      <c r="O41" s="175" t="n">
        <f aca="false">O40+O19</f>
        <v>-3716225.17824068</v>
      </c>
      <c r="Q41" s="175" t="n">
        <f aca="false">Q40+Q19</f>
        <v>3681445.37966102</v>
      </c>
      <c r="R41" s="147" t="n">
        <f aca="false">IFERROR(G41/Q41-1,"-")</f>
        <v>-0.567608176724716</v>
      </c>
      <c r="S41" s="147" t="n">
        <f aca="false">IFERROR(G41/Q41,"-")</f>
        <v>0.432391823275284</v>
      </c>
      <c r="T41" s="175" t="n">
        <f aca="false">G41-Q41</f>
        <v>-2089618.49966102</v>
      </c>
      <c r="U41" s="198"/>
      <c r="V41" s="175"/>
      <c r="W41" s="199" t="n">
        <f aca="false">H41-V41</f>
        <v>20995.2</v>
      </c>
      <c r="X41" s="200" t="str">
        <f aca="false">IFERROR((G41/V41)-1,"-")</f>
        <v>-</v>
      </c>
    </row>
    <row r="42" customFormat="false" ht="15" hidden="false" customHeight="true" outlineLevel="0" collapsed="false">
      <c r="A42" s="230"/>
      <c r="B42" s="223"/>
      <c r="C42" s="223" t="s">
        <v>121</v>
      </c>
      <c r="D42" s="223" t="s">
        <v>121</v>
      </c>
      <c r="E42" s="223"/>
      <c r="F42" s="243" t="n">
        <f aca="false">F40/F41</f>
        <v>0.285243973637999</v>
      </c>
      <c r="G42" s="243" t="n">
        <f aca="false">G40/G41</f>
        <v>0.288283547517429</v>
      </c>
      <c r="H42" s="243" t="n">
        <f aca="false">H40/H41</f>
        <v>0</v>
      </c>
      <c r="I42" s="224" t="n">
        <f aca="false">IFERROR(H42/$H$19,"")</f>
        <v>0</v>
      </c>
      <c r="J42" s="224" t="n">
        <f aca="false">IFERROR(H42/G42-1,"")</f>
        <v>-1</v>
      </c>
      <c r="K42" s="243"/>
      <c r="M42" s="243" t="n">
        <f aca="false">M41-'תקציב  '!N41*1</f>
        <v>0</v>
      </c>
      <c r="N42" s="224"/>
      <c r="O42" s="243"/>
      <c r="Q42" s="210"/>
      <c r="R42" s="210"/>
      <c r="S42" s="210"/>
      <c r="T42" s="210"/>
      <c r="V42" s="244" t="str">
        <f aca="false">IFERROR(V40/V41,"")</f>
        <v/>
      </c>
      <c r="W42" s="5" t="str">
        <f aca="false">IFERROR(H42-V42,"-")</f>
        <v>-</v>
      </c>
    </row>
    <row r="43" customFormat="false" ht="14.25" hidden="false" customHeight="true" outlineLevel="0" collapsed="false">
      <c r="F43" s="1" t="n">
        <f aca="false">F41-'2024'!K38</f>
        <v>0</v>
      </c>
    </row>
    <row r="50" customFormat="false" ht="14.25" hidden="false" customHeight="true" outlineLevel="0" collapsed="false">
      <c r="A50" s="165"/>
      <c r="B50" s="189"/>
      <c r="C50" s="189" t="s">
        <v>176</v>
      </c>
      <c r="D50" s="189" t="s">
        <v>176</v>
      </c>
      <c r="E50" s="189" t="s">
        <v>32</v>
      </c>
      <c r="F50" s="158"/>
      <c r="G50" s="158"/>
      <c r="H50" s="158" t="n">
        <v>0</v>
      </c>
      <c r="I50" s="190" t="n">
        <f aca="false">IFERROR(H50/$H$19,"")</f>
        <v>0</v>
      </c>
      <c r="J50" s="190" t="str">
        <f aca="false">IFERROR(H50/G50-1,"-")</f>
        <v>-</v>
      </c>
      <c r="K50" s="158" t="n">
        <f aca="false">H50-G50</f>
        <v>0</v>
      </c>
      <c r="M50" s="158"/>
      <c r="N50" s="190" t="str">
        <f aca="false">IFERROR(H50/M50-1,"-")</f>
        <v>-</v>
      </c>
      <c r="O50" s="158" t="n">
        <f aca="false">H50-M50</f>
        <v>0</v>
      </c>
    </row>
    <row r="51" customFormat="false" ht="14.25" hidden="false" customHeight="true" outlineLevel="0" collapsed="false">
      <c r="A51" s="169"/>
      <c r="B51" s="193"/>
      <c r="C51" s="193" t="s">
        <v>177</v>
      </c>
      <c r="D51" s="193" t="s">
        <v>177</v>
      </c>
      <c r="E51" s="193" t="s">
        <v>178</v>
      </c>
      <c r="F51" s="158"/>
      <c r="G51" s="158"/>
      <c r="H51" s="158" t="n">
        <v>0</v>
      </c>
      <c r="I51" s="190" t="n">
        <f aca="false">IFERROR(H51/$H$19,"")</f>
        <v>0</v>
      </c>
      <c r="J51" s="190" t="str">
        <f aca="false">IFERROR(H51/G51-1,"-")</f>
        <v>-</v>
      </c>
      <c r="K51" s="158" t="n">
        <f aca="false">H51-G51</f>
        <v>0</v>
      </c>
      <c r="M51" s="158"/>
      <c r="N51" s="190" t="str">
        <f aca="false">IFERROR(H51/M51-1,"-")</f>
        <v>-</v>
      </c>
      <c r="O51" s="158" t="n">
        <f aca="false">H51-M51</f>
        <v>0</v>
      </c>
    </row>
    <row r="52" customFormat="false" ht="14.25" hidden="false" customHeight="true" outlineLevel="0" collapsed="false">
      <c r="A52" s="169"/>
      <c r="B52" s="193"/>
      <c r="C52" s="193" t="s">
        <v>179</v>
      </c>
      <c r="D52" s="193" t="s">
        <v>179</v>
      </c>
      <c r="E52" s="193" t="s">
        <v>179</v>
      </c>
      <c r="F52" s="158"/>
      <c r="G52" s="158"/>
      <c r="H52" s="158" t="n">
        <v>0</v>
      </c>
      <c r="I52" s="190" t="n">
        <f aca="false">IFERROR(H52/$H$19,"")</f>
        <v>0</v>
      </c>
      <c r="J52" s="190" t="str">
        <f aca="false">IFERROR(H52/G52-1,"-")</f>
        <v>-</v>
      </c>
      <c r="K52" s="158" t="n">
        <f aca="false">H52-G52</f>
        <v>0</v>
      </c>
      <c r="M52" s="158"/>
      <c r="N52" s="190" t="str">
        <f aca="false">IFERROR(H52/M52-1,"-")</f>
        <v>-</v>
      </c>
      <c r="O52" s="158" t="n">
        <f aca="false">H52-M52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P1" activeCellId="0" sqref="P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1" width="28"/>
    <col collapsed="false" customWidth="true" hidden="false" outlineLevel="0" max="4" min="4" style="1" width="28"/>
    <col collapsed="false" customWidth="true" hidden="false" outlineLevel="0" max="5" min="5" style="2" width="12.5"/>
    <col collapsed="false" customWidth="true" hidden="false" outlineLevel="0" max="8" min="6" style="1" width="10.88"/>
    <col collapsed="false" customWidth="true" hidden="false" outlineLevel="0" max="9" min="9" style="111" width="10.75"/>
    <col collapsed="false" customWidth="true" hidden="false" outlineLevel="0" max="10" min="10" style="1" width="11.88"/>
    <col collapsed="false" customWidth="true" hidden="false" outlineLevel="0" max="12" min="12" style="1" width="10.88"/>
    <col collapsed="false" customWidth="true" hidden="false" outlineLevel="0" max="13" min="13" style="111" width="9.75"/>
    <col collapsed="false" customWidth="true" hidden="false" outlineLevel="0" max="14" min="14" style="1" width="11.5"/>
    <col collapsed="false" customWidth="true" hidden="false" outlineLevel="0" max="16" min="16" style="1" width="10.88"/>
    <col collapsed="false" customWidth="true" hidden="false" outlineLevel="0" max="17" min="17" style="111" width="6.75"/>
    <col collapsed="false" customWidth="true" hidden="false" outlineLevel="0" max="18" min="18" style="1" width="13"/>
  </cols>
  <sheetData>
    <row r="1" customFormat="false" ht="15.75" hidden="false" customHeight="true" outlineLevel="0" collapsed="false">
      <c r="B1" s="7"/>
      <c r="C1" s="7" t="s">
        <v>236</v>
      </c>
      <c r="D1" s="7" t="s">
        <v>236</v>
      </c>
      <c r="E1" s="159"/>
      <c r="F1" s="159"/>
      <c r="G1" s="159"/>
      <c r="H1" s="159"/>
      <c r="I1" s="160"/>
      <c r="J1" s="159"/>
      <c r="L1" s="159"/>
      <c r="M1" s="160"/>
      <c r="N1" s="159"/>
      <c r="P1" s="7"/>
      <c r="Q1" s="160"/>
      <c r="R1" s="7"/>
    </row>
    <row r="2" customFormat="false" ht="15" hidden="false" customHeight="true" outlineLevel="0" collapsed="false">
      <c r="A2" s="161" t="s">
        <v>2</v>
      </c>
      <c r="B2" s="162"/>
      <c r="C2" s="162"/>
      <c r="D2" s="162"/>
      <c r="E2" s="163" t="s">
        <v>3</v>
      </c>
      <c r="F2" s="163" t="s">
        <v>237</v>
      </c>
      <c r="G2" s="163" t="s">
        <v>238</v>
      </c>
      <c r="H2" s="163" t="s">
        <v>239</v>
      </c>
      <c r="I2" s="164" t="s">
        <v>168</v>
      </c>
      <c r="J2" s="163" t="s">
        <v>169</v>
      </c>
      <c r="L2" s="163" t="s">
        <v>170</v>
      </c>
      <c r="M2" s="164" t="s">
        <v>114</v>
      </c>
      <c r="N2" s="163" t="s">
        <v>115</v>
      </c>
      <c r="P2" s="186" t="s">
        <v>1</v>
      </c>
      <c r="Q2" s="164" t="s">
        <v>212</v>
      </c>
      <c r="R2" s="162" t="s">
        <v>215</v>
      </c>
    </row>
    <row r="3" customFormat="false" ht="14.25" hidden="false" customHeight="true" outlineLevel="0" collapsed="false">
      <c r="A3" s="165" t="n">
        <v>5</v>
      </c>
      <c r="B3" s="166" t="s">
        <v>143</v>
      </c>
      <c r="C3" s="166" t="s">
        <v>31</v>
      </c>
      <c r="D3" s="166" t="s">
        <v>31</v>
      </c>
      <c r="E3" s="26" t="s">
        <v>32</v>
      </c>
      <c r="F3" s="158" t="n">
        <f aca="false">ינואר!E3+פברואר!E3+מרץ!E3+אפריל!E3+מאי!E3+יוני!E3+יולי!F3+אוגוסט!F3+ספטמבר!F3+אוקטובר!F3</f>
        <v>1550839.86</v>
      </c>
      <c r="G3" s="158" t="n">
        <f aca="false">ינואר!F3+פברואר!F3+מרץ!F3+אפריל!F3+מאי!F3+יוני!F3+יולי!G3+אוגוסט!G3+ספטמבר!G3+אוקטובר!G3</f>
        <v>1345376.89</v>
      </c>
      <c r="H3" s="158" t="n">
        <f aca="false">ינואר!G3+פברואר!G3+מרץ!G3+אפריל!G3+מאי!G3+יוני!G3+יולי!H3+אוגוסט!H3+ספטמבר!H3+אוקטובר!H3</f>
        <v>1328770.55</v>
      </c>
      <c r="I3" s="167" t="n">
        <f aca="false">IFERROR(H3/G3-1,"")</f>
        <v>-0.0123432624147425</v>
      </c>
      <c r="J3" s="158" t="n">
        <f aca="false">H3-G3</f>
        <v>-16606.3400000001</v>
      </c>
      <c r="L3" s="158" t="n">
        <f aca="false">ינואר!J3+פברואר!J3+מרץ!J3+אפריל!J3+מאי!J3+יוני!J3+יולי!M3+אוגוסט!M3+ספטמבר!M3+אוקטובר!M3</f>
        <v>2041428.57142857</v>
      </c>
      <c r="M3" s="167" t="n">
        <f aca="false">IFERROR(H3/L3-1,"")</f>
        <v>-0.349097701189643</v>
      </c>
      <c r="N3" s="158" t="n">
        <f aca="false">H3-L3</f>
        <v>-712658.021428572</v>
      </c>
      <c r="P3" s="166" t="n">
        <v>1540443.3</v>
      </c>
      <c r="Q3" s="167" t="n">
        <f aca="false">IFERROR(H3/P3,"-")</f>
        <v>0.862589716869163</v>
      </c>
      <c r="R3" s="166" t="n">
        <f aca="false">H3-P3</f>
        <v>-211672.75</v>
      </c>
    </row>
    <row r="4" customFormat="false" ht="14.25" hidden="false" customHeight="true" outlineLevel="0" collapsed="false">
      <c r="A4" s="168" t="n">
        <v>1</v>
      </c>
      <c r="B4" s="166" t="s">
        <v>33</v>
      </c>
      <c r="C4" s="166" t="s">
        <v>33</v>
      </c>
      <c r="D4" s="166" t="s">
        <v>33</v>
      </c>
      <c r="E4" s="26" t="s">
        <v>32</v>
      </c>
      <c r="F4" s="158" t="n">
        <f aca="false">ינואר!E4+פברואר!E4+מרץ!E4+אפריל!E4+מאי!E4+יוני!E4+יולי!F4+אוגוסט!F4+ספטמבר!F4+אוקטובר!F4</f>
        <v>4629210.404</v>
      </c>
      <c r="G4" s="158" t="n">
        <f aca="false">ינואר!F4+פברואר!F4+מרץ!F4+אפריל!F4+מאי!F4+יוני!F4+יולי!G4+אוגוסט!G4+ספטמבר!G4+אוקטובר!G4</f>
        <v>5111299.92260004</v>
      </c>
      <c r="H4" s="158" t="n">
        <f aca="false">ינואר!G4+פברואר!G4+מרץ!G4+אפריל!G4+מאי!G4+יוני!G4+יולי!H4+אוגוסט!H4+ספטמבר!H4+אוקטובר!H4</f>
        <v>4231396.26</v>
      </c>
      <c r="I4" s="167" t="n">
        <f aca="false">IFERROR(H4/G4-1,"")</f>
        <v>-0.172148705011316</v>
      </c>
      <c r="J4" s="158" t="n">
        <f aca="false">H4-G4</f>
        <v>-879903.662600038</v>
      </c>
      <c r="L4" s="158" t="n">
        <f aca="false">ינואר!J4+פברואר!J4+מרץ!J4+אפריל!J4+מאי!J4+יוני!J4+יולי!M4+אוגוסט!M4+ספטמבר!M4+אוקטובר!M4</f>
        <v>5605571.42857143</v>
      </c>
      <c r="M4" s="167" t="n">
        <f aca="false">IFERROR(H4/L4-1,"")</f>
        <v>-0.24514452916741</v>
      </c>
      <c r="N4" s="158" t="n">
        <f aca="false">H4-L4</f>
        <v>-1374175.16857143</v>
      </c>
      <c r="P4" s="166" t="n">
        <v>4974937.893</v>
      </c>
      <c r="Q4" s="167" t="n">
        <f aca="false">IFERROR(H4/P4,"-")</f>
        <v>0.850542529576861</v>
      </c>
      <c r="R4" s="166" t="n">
        <f aca="false">H4-P4</f>
        <v>-743541.632999999</v>
      </c>
    </row>
    <row r="5" customFormat="false" ht="14.25" hidden="false" customHeight="true" outlineLevel="0" collapsed="false">
      <c r="A5" s="168" t="n">
        <v>7</v>
      </c>
      <c r="B5" s="166" t="s">
        <v>34</v>
      </c>
      <c r="C5" s="166" t="s">
        <v>34</v>
      </c>
      <c r="D5" s="166" t="s">
        <v>34</v>
      </c>
      <c r="E5" s="26" t="s">
        <v>32</v>
      </c>
      <c r="F5" s="158" t="n">
        <f aca="false">ינואר!E5+פברואר!E5+מרץ!E5+אפריל!E5+מאי!E5+יוני!E5+יולי!F5+אוגוסט!F5+ספטמבר!F5+אוקטובר!F5</f>
        <v>920996.258</v>
      </c>
      <c r="G5" s="158" t="n">
        <f aca="false">ינואר!F5+פברואר!F5+מרץ!F5+אפריל!F5+מאי!F5+יוני!F5+יולי!G5+אוגוסט!G5+ספטמבר!G5+אוקטובר!G5</f>
        <v>681509.19</v>
      </c>
      <c r="H5" s="158" t="n">
        <f aca="false">ינואר!G5+פברואר!G5+מרץ!G5+אפריל!G5+מאי!G5+יוני!G5+יולי!H5+אוגוסט!H5+ספטמבר!H5+אוקטובר!H5</f>
        <v>651059.045</v>
      </c>
      <c r="I5" s="167" t="n">
        <f aca="false">IFERROR(H5/G5-1,"")</f>
        <v>-0.0446804613155694</v>
      </c>
      <c r="J5" s="158" t="n">
        <f aca="false">H5-G5</f>
        <v>-30450.145</v>
      </c>
      <c r="L5" s="158" t="n">
        <f aca="false">ינואר!J5+פברואר!J5+מרץ!J5+אפריל!J5+מאי!J5+יוני!J5+יולי!M5+אוגוסט!M5+ספטמבר!M5+אוקטובר!M5</f>
        <v>739285.714285714</v>
      </c>
      <c r="M5" s="167" t="n">
        <f aca="false">IFERROR(H5/L5-1,"")</f>
        <v>-0.119340422222222</v>
      </c>
      <c r="N5" s="158" t="n">
        <f aca="false">H5-L5</f>
        <v>-88226.6692857142</v>
      </c>
      <c r="P5" s="166" t="n">
        <v>837274.565</v>
      </c>
      <c r="Q5" s="167" t="n">
        <f aca="false">IFERROR(H5/P5,"-")</f>
        <v>0.777593243860215</v>
      </c>
      <c r="R5" s="166" t="n">
        <f aca="false">H5-P5</f>
        <v>-186215.52</v>
      </c>
    </row>
    <row r="6" customFormat="false" ht="14.25" hidden="false" customHeight="true" outlineLevel="0" collapsed="false">
      <c r="A6" s="168" t="n">
        <v>4</v>
      </c>
      <c r="B6" s="166" t="s">
        <v>35</v>
      </c>
      <c r="C6" s="166" t="s">
        <v>35</v>
      </c>
      <c r="D6" s="166" t="s">
        <v>35</v>
      </c>
      <c r="E6" s="26" t="s">
        <v>32</v>
      </c>
      <c r="F6" s="158" t="n">
        <f aca="false">ינואר!E6+פברואר!E6+מרץ!E6+אפריל!E6+מאי!E6+יוני!E6+יולי!F6+אוגוסט!F6+ספטמבר!F6+אוקטובר!F6</f>
        <v>1541817.373</v>
      </c>
      <c r="G6" s="158" t="n">
        <f aca="false">ינואר!F6+פברואר!F6+מרץ!F6+אפריל!F6+מאי!F6+יוני!F6+יולי!G6+אוגוסט!G6+ספטמבר!G6+אוקטובר!G6</f>
        <v>1629180.0094</v>
      </c>
      <c r="H6" s="158" t="n">
        <f aca="false">ינואר!G6+פברואר!G6+מרץ!G6+אפריל!G6+מאי!G6+יוני!G6+יולי!H6+אוגוסט!H6+ספטמבר!H6+אוקטובר!H6</f>
        <v>1409547.845</v>
      </c>
      <c r="I6" s="167" t="n">
        <f aca="false">IFERROR(H6/G6-1,"")</f>
        <v>-0.134811477634622</v>
      </c>
      <c r="J6" s="158" t="n">
        <f aca="false">H6-G6</f>
        <v>-219632.164400002</v>
      </c>
      <c r="L6" s="158" t="n">
        <f aca="false">ינואר!J6+פברואר!J6+מרץ!J6+אפריל!J6+מאי!J6+יוני!J6+יולי!M6+אוגוסט!M6+ספטמבר!M6+אוקטובר!M6</f>
        <v>1602714.28571429</v>
      </c>
      <c r="M6" s="167" t="n">
        <f aca="false">IFERROR(H6/L6-1,"")</f>
        <v>-0.120524564132275</v>
      </c>
      <c r="N6" s="158" t="n">
        <f aca="false">H6-L6</f>
        <v>-193166.440714285</v>
      </c>
      <c r="P6" s="166" t="n">
        <v>1718523.978</v>
      </c>
      <c r="Q6" s="167" t="n">
        <f aca="false">IFERROR(H6/P6,"-")</f>
        <v>0.820208424813727</v>
      </c>
      <c r="R6" s="166" t="n">
        <f aca="false">H6-P6</f>
        <v>-308976.133</v>
      </c>
    </row>
    <row r="7" customFormat="false" ht="14.25" hidden="false" customHeight="true" outlineLevel="0" collapsed="false">
      <c r="A7" s="168" t="n">
        <v>3</v>
      </c>
      <c r="B7" s="166" t="s">
        <v>148</v>
      </c>
      <c r="C7" s="166" t="s">
        <v>36</v>
      </c>
      <c r="D7" s="166" t="s">
        <v>36</v>
      </c>
      <c r="E7" s="26" t="s">
        <v>32</v>
      </c>
      <c r="F7" s="158" t="n">
        <f aca="false">ינואר!E7+פברואר!E7+מרץ!E7+אפריל!E7+מאי!E7+יוני!E7+יולי!F7+אוגוסט!F7+ספטמבר!F7+אוקטובר!F7</f>
        <v>3420711.8</v>
      </c>
      <c r="G7" s="158" t="n">
        <f aca="false">ינואר!F7+פברואר!F7+מרץ!F7+אפריל!F7+מאי!F7+יוני!F7+יולי!G7+אוגוסט!G7+ספטמבר!G7+אוקטובר!G7</f>
        <v>3133795.55</v>
      </c>
      <c r="H7" s="158" t="n">
        <f aca="false">ינואר!G7+פברואר!G7+מרץ!G7+אפריל!G7+מאי!G7+יוני!G7+יולי!H7+אוגוסט!H7+ספטמבר!H7+אוקטובר!H7</f>
        <v>2727663.25</v>
      </c>
      <c r="I7" s="167" t="n">
        <f aca="false">IFERROR(H7/G7-1,"")</f>
        <v>-0.129597573779183</v>
      </c>
      <c r="J7" s="158" t="n">
        <f aca="false">H7-G7</f>
        <v>-406132.3</v>
      </c>
      <c r="L7" s="158" t="n">
        <f aca="false">ינואר!J7+פברואר!J7+מרץ!J7+אפריל!J7+מאי!J7+יוני!J7+יולי!M7+אוגוסט!M7+ספטמבר!M7+אוקטובר!M7</f>
        <v>3650000</v>
      </c>
      <c r="M7" s="167" t="n">
        <f aca="false">IFERROR(H7/L7-1,"")</f>
        <v>-0.252695</v>
      </c>
      <c r="N7" s="158" t="n">
        <f aca="false">H7-L7</f>
        <v>-922336.75</v>
      </c>
      <c r="P7" s="166" t="n">
        <v>3062410.85</v>
      </c>
      <c r="Q7" s="167" t="n">
        <f aca="false">IFERROR(H7/P7,"-")</f>
        <v>0.890691479231142</v>
      </c>
      <c r="R7" s="166" t="n">
        <f aca="false">H7-P7</f>
        <v>-334747.6</v>
      </c>
    </row>
    <row r="8" customFormat="false" ht="14.25" hidden="false" customHeight="true" outlineLevel="0" collapsed="false">
      <c r="A8" s="168" t="n">
        <v>8</v>
      </c>
      <c r="B8" s="166" t="s">
        <v>147</v>
      </c>
      <c r="C8" s="166" t="s">
        <v>37</v>
      </c>
      <c r="D8" s="166" t="s">
        <v>37</v>
      </c>
      <c r="E8" s="26" t="s">
        <v>32</v>
      </c>
      <c r="F8" s="158" t="n">
        <f aca="false">ינואר!E8+פברואר!E8+מרץ!E8+אפריל!E8+מאי!E8+יוני!E8+יולי!F8+אוגוסט!F8+ספטמבר!F8+אוקטובר!F8</f>
        <v>672460.43</v>
      </c>
      <c r="G8" s="158" t="n">
        <f aca="false">ינואר!F8+פברואר!F8+מרץ!F8+אפריל!F8+מאי!F8+יוני!F8+יולי!G8+אוגוסט!G8+ספטמבר!G8+אוקטובר!G8</f>
        <v>764587.37</v>
      </c>
      <c r="H8" s="158" t="n">
        <f aca="false">ינואר!G8+פברואר!G8+מרץ!G8+אפריל!G8+מאי!G8+יוני!G8+יולי!H8+אוגוסט!H8+ספטמבר!H8+אוקטובר!H8</f>
        <v>520254.741</v>
      </c>
      <c r="I8" s="167" t="n">
        <f aca="false">IFERROR(H8/G8-1,"")</f>
        <v>-0.319561424353635</v>
      </c>
      <c r="J8" s="158" t="n">
        <f aca="false">H8-G8</f>
        <v>-244332.629</v>
      </c>
      <c r="L8" s="158" t="n">
        <f aca="false">ינואר!J8+פברואר!J8+מרץ!J8+אפריל!J8+מאי!J8+יוני!J8+יולי!M8+אוגוסט!M8+ספטמבר!M8+אוקטובר!M8</f>
        <v>1021428.57142857</v>
      </c>
      <c r="M8" s="167" t="n">
        <f aca="false">IFERROR(H8/L8-1,"")</f>
        <v>-0.490659694125873</v>
      </c>
      <c r="N8" s="158" t="n">
        <f aca="false">H8-L8</f>
        <v>-501173.83042857</v>
      </c>
      <c r="P8" s="166" t="n">
        <v>743097.611</v>
      </c>
      <c r="Q8" s="167" t="n">
        <f aca="false">IFERROR(H8/P8,"-")</f>
        <v>0.700116287952916</v>
      </c>
      <c r="R8" s="166" t="n">
        <f aca="false">H8-P8</f>
        <v>-222842.87</v>
      </c>
    </row>
    <row r="9" customFormat="false" ht="14.25" hidden="false" customHeight="true" outlineLevel="0" collapsed="false">
      <c r="A9" s="168" t="n">
        <v>6</v>
      </c>
      <c r="B9" s="166" t="s">
        <v>137</v>
      </c>
      <c r="C9" s="166" t="s">
        <v>38</v>
      </c>
      <c r="D9" s="166" t="s">
        <v>38</v>
      </c>
      <c r="E9" s="26" t="s">
        <v>32</v>
      </c>
      <c r="F9" s="158" t="n">
        <f aca="false">ינואר!E9+פברואר!E9+מרץ!E9+אפריל!E9+מאי!E9+יוני!E9+יולי!F9+אוגוסט!F9+ספטמבר!F9+אוקטובר!F9</f>
        <v>773135.41</v>
      </c>
      <c r="G9" s="158" t="n">
        <f aca="false">ינואר!F9+פברואר!F9+מרץ!F9+אפריל!F9+מאי!F9+יוני!F9+יולי!G9+אוגוסט!G9+ספטמבר!G9+אוקטובר!G9</f>
        <v>689002.54</v>
      </c>
      <c r="H9" s="158" t="n">
        <f aca="false">ינואר!G9+פברואר!G9+מרץ!G9+אפריל!G9+מאי!G9+יוני!G9+יולי!H9+אוגוסט!H9+ספטמבר!H9+אוקטובר!H9</f>
        <v>678114.16</v>
      </c>
      <c r="I9" s="167" t="n">
        <f aca="false">IFERROR(H9/G9-1,"")</f>
        <v>-0.0158031057476218</v>
      </c>
      <c r="J9" s="158" t="n">
        <f aca="false">H9-G9</f>
        <v>-10888.38</v>
      </c>
      <c r="L9" s="158" t="n">
        <f aca="false">ינואר!J9+פברואר!J9+מרץ!J9+אפריל!J9+מאי!J9+יוני!J9+יולי!M9+אוגוסט!M9+ספטמבר!M9+אוקטובר!M9</f>
        <v>1624321.42857143</v>
      </c>
      <c r="M9" s="167" t="n">
        <f aca="false">IFERROR(H9/L9-1,"")</f>
        <v>-0.582524648094809</v>
      </c>
      <c r="N9" s="158" t="n">
        <f aca="false">H9-L9</f>
        <v>-946207.268571429</v>
      </c>
      <c r="P9" s="166" t="n">
        <v>875277.57</v>
      </c>
      <c r="Q9" s="167" t="n">
        <f aca="false">IFERROR(H9/P9,"-")</f>
        <v>0.77474184560676</v>
      </c>
      <c r="R9" s="166" t="n">
        <f aca="false">H9-P9</f>
        <v>-197163.41</v>
      </c>
    </row>
    <row r="10" customFormat="false" ht="14.25" hidden="false" customHeight="true" outlineLevel="0" collapsed="false">
      <c r="A10" s="169" t="n">
        <v>10</v>
      </c>
      <c r="B10" s="166" t="s">
        <v>138</v>
      </c>
      <c r="C10" s="166" t="s">
        <v>39</v>
      </c>
      <c r="D10" s="166" t="s">
        <v>39</v>
      </c>
      <c r="E10" s="26" t="s">
        <v>32</v>
      </c>
      <c r="F10" s="158" t="n">
        <f aca="false">ינואר!E10+פברואר!E10+מרץ!E10+אפריל!E10+מאי!E10+יוני!E10+יולי!F10+אוגוסט!F10+ספטמבר!F10+אוקטובר!F10</f>
        <v>159847.44</v>
      </c>
      <c r="G10" s="158" t="n">
        <f aca="false">ינואר!F10+פברואר!F10+מרץ!F10+אפריל!F10+מאי!F10+יוני!F10+יולי!G10+אוגוסט!G10+ספטמבר!G10+אוקטובר!G10</f>
        <v>146019.48</v>
      </c>
      <c r="H10" s="158" t="n">
        <f aca="false">ינואר!G10+פברואר!G10+מרץ!G10+אפריל!G10+מאי!G10+יוני!G10+יולי!H10+אוגוסט!H10+ספטמבר!H10+אוקטובר!H10</f>
        <v>79418.59</v>
      </c>
      <c r="I10" s="167" t="n">
        <f aca="false">IFERROR(H10/G10-1,"")</f>
        <v>-0.456109623181784</v>
      </c>
      <c r="J10" s="158" t="n">
        <f aca="false">H10-G10</f>
        <v>-66600.89</v>
      </c>
      <c r="L10" s="158" t="n">
        <f aca="false">ינואר!J10+פברואר!J10+מרץ!J10+אפריל!J10+מאי!J10+יוני!J10+יולי!M10+אוגוסט!M10+ספטמבר!M10+אוקטובר!M10</f>
        <v>156071.428571428</v>
      </c>
      <c r="M10" s="167" t="n">
        <f aca="false">IFERROR(H10/L10-1,"")</f>
        <v>-0.491139469107551</v>
      </c>
      <c r="N10" s="158" t="n">
        <f aca="false">H10-L10</f>
        <v>-76652.8385714285</v>
      </c>
      <c r="P10" s="166" t="n">
        <v>121235.08</v>
      </c>
      <c r="Q10" s="167" t="n">
        <f aca="false">IFERROR(H10/P10,"-")</f>
        <v>0.655079288931884</v>
      </c>
      <c r="R10" s="166" t="n">
        <f aca="false">H10-P10</f>
        <v>-41816.49</v>
      </c>
    </row>
    <row r="11" customFormat="false" ht="14.25" hidden="false" customHeight="true" outlineLevel="0" collapsed="false">
      <c r="A11" s="168" t="n">
        <v>11</v>
      </c>
      <c r="B11" s="166" t="s">
        <v>141</v>
      </c>
      <c r="C11" s="166" t="s">
        <v>40</v>
      </c>
      <c r="D11" s="166" t="s">
        <v>40</v>
      </c>
      <c r="E11" s="26" t="s">
        <v>32</v>
      </c>
      <c r="F11" s="158" t="n">
        <f aca="false">ינואר!E11+פברואר!E11+מרץ!E11+אפריל!E11+מאי!E11+יוני!E11+יולי!F11+אוגוסט!F11+ספטמבר!F11+אוקטובר!F11</f>
        <v>51258.7</v>
      </c>
      <c r="G11" s="158" t="n">
        <f aca="false">ינואר!F11+פברואר!F11+מרץ!F11+אפריל!F11+מאי!F11+יוני!F11+יולי!G11+אוגוסט!G11+ספטמבר!G11+אוקטובר!G11</f>
        <v>49591.07</v>
      </c>
      <c r="H11" s="158" t="n">
        <f aca="false">ינואר!G11+פברואר!G11+מרץ!G11+אפריל!G11+מאי!G11+יוני!G11+יולי!H11+אוגוסט!H11+ספטמבר!H11+אוקטובר!H11</f>
        <v>45013.96</v>
      </c>
      <c r="I11" s="167" t="n">
        <f aca="false">IFERROR(H11/G11-1,"")</f>
        <v>-0.0922970607409762</v>
      </c>
      <c r="J11" s="158" t="n">
        <f aca="false">H11-G11</f>
        <v>-4577.11</v>
      </c>
      <c r="L11" s="158" t="n">
        <f aca="false">ינואר!J11+פברואר!J11+מרץ!J11+אפריל!J11+מאי!J11+יוני!J11+יולי!M11+אוגוסט!M11+ספטמבר!M11+אוקטובר!M11</f>
        <v>82142.8571428571</v>
      </c>
      <c r="M11" s="167" t="n">
        <f aca="false">IFERROR(H11/L11-1,"")</f>
        <v>-0.452003965217391</v>
      </c>
      <c r="N11" s="158" t="n">
        <f aca="false">H11-L11</f>
        <v>-37128.8971428571</v>
      </c>
      <c r="P11" s="166" t="n">
        <v>74015.41</v>
      </c>
      <c r="Q11" s="167" t="n">
        <f aca="false">IFERROR(H11/P11,"-")</f>
        <v>0.608170109440723</v>
      </c>
      <c r="R11" s="166" t="n">
        <f aca="false">H11-P11</f>
        <v>-29001.45</v>
      </c>
    </row>
    <row r="12" customFormat="false" ht="14.25" hidden="false" customHeight="true" outlineLevel="0" collapsed="false">
      <c r="A12" s="168" t="n">
        <v>14</v>
      </c>
      <c r="B12" s="166" t="s">
        <v>142</v>
      </c>
      <c r="C12" s="166" t="s">
        <v>41</v>
      </c>
      <c r="D12" s="166" t="s">
        <v>41</v>
      </c>
      <c r="E12" s="26" t="s">
        <v>32</v>
      </c>
      <c r="F12" s="158" t="n">
        <f aca="false">ינואר!E12+פברואר!E12+מרץ!E12+אפריל!E12+מאי!E12+יוני!E12+יולי!F12+אוגוסט!F12+ספטמבר!F12+אוקטובר!F12</f>
        <v>2380.1</v>
      </c>
      <c r="G12" s="158" t="n">
        <f aca="false">ינואר!F12+פברואר!F12+מרץ!F12+אפריל!F12+מאי!F12+יוני!F12+יולי!G12+אוגוסט!G12+ספטמבר!G12+אוקטובר!G12</f>
        <v>3646.88</v>
      </c>
      <c r="H12" s="158" t="n">
        <f aca="false">ינואר!G12+פברואר!G12+מרץ!G12+אפריל!G12+מאי!G12+יוני!G12+יולי!H12+אוגוסט!H12+ספטמבר!H12+אוקטובר!H12</f>
        <v>4305.02</v>
      </c>
      <c r="I12" s="167" t="n">
        <f aca="false">IFERROR(H12/G12-1,"")</f>
        <v>0.180466590619927</v>
      </c>
      <c r="J12" s="158" t="n">
        <f aca="false">H12-G12</f>
        <v>658.139999999999</v>
      </c>
      <c r="L12" s="158" t="n">
        <f aca="false">ינואר!J12+פברואר!J12+מרץ!J12+אפריל!J12+מאי!J12+יוני!J12+יולי!M12+אוגוסט!M12+ספטמבר!M12+אוקטובר!M12</f>
        <v>0</v>
      </c>
      <c r="M12" s="167" t="str">
        <f aca="false">IFERROR(H12/L12-1,"")</f>
        <v/>
      </c>
      <c r="N12" s="158" t="n">
        <f aca="false">H12-L12</f>
        <v>4305.02</v>
      </c>
      <c r="P12" s="166" t="n">
        <v>23576.15</v>
      </c>
      <c r="Q12" s="167" t="n">
        <f aca="false">IFERROR(H12/P12,"-")</f>
        <v>0.182600636660354</v>
      </c>
      <c r="R12" s="166" t="n">
        <f aca="false">H12-P12</f>
        <v>-19271.13</v>
      </c>
    </row>
    <row r="13" customFormat="false" ht="14.25" hidden="false" customHeight="true" outlineLevel="0" collapsed="false">
      <c r="A13" s="168" t="n">
        <v>15</v>
      </c>
      <c r="B13" s="166" t="s">
        <v>139</v>
      </c>
      <c r="C13" s="166" t="s">
        <v>47</v>
      </c>
      <c r="D13" s="166" t="s">
        <v>47</v>
      </c>
      <c r="E13" s="26" t="s">
        <v>32</v>
      </c>
      <c r="F13" s="158" t="n">
        <f aca="false">ינואר!E13+פברואר!E13+מרץ!E13+אפריל!E13+מאי!E13+יוני!E13+יולי!F13+אוגוסט!F13+ספטמבר!F13+אוקטובר!F13</f>
        <v>1597.46</v>
      </c>
      <c r="G13" s="158" t="n">
        <f aca="false">ינואר!F13+פברואר!F13+מרץ!F13+אפריל!F13+מאי!F13+יוני!F13+יולי!G13+אוגוסט!G13+ספטמבר!G13+אוקטובר!G13</f>
        <v>514.2</v>
      </c>
      <c r="H13" s="158" t="n">
        <f aca="false">ינואר!G13+פברואר!G13+מרץ!G13+אפריל!G13+מאי!G13+יוני!G13+יולי!H13+אוגוסט!H13+ספטמבר!H13+אוקטובר!H13</f>
        <v>1896.82</v>
      </c>
      <c r="I13" s="167" t="n">
        <f aca="false">IFERROR(H13/G13-1,"")</f>
        <v>2.68887592376507</v>
      </c>
      <c r="J13" s="158" t="n">
        <f aca="false">H13-G13</f>
        <v>1382.62</v>
      </c>
      <c r="L13" s="158" t="n">
        <f aca="false">ינואר!J13+פברואר!J13+מרץ!J13+אפריל!J13+מאי!J13+יוני!J13+יולי!M13+אוגוסט!M13+ספטמבר!M13+אוקטובר!M13</f>
        <v>12500</v>
      </c>
      <c r="M13" s="167" t="n">
        <f aca="false">IFERROR(H13/L13-1,"")</f>
        <v>-0.8482544</v>
      </c>
      <c r="N13" s="158" t="n">
        <f aca="false">H13-L13</f>
        <v>-10603.18</v>
      </c>
      <c r="P13" s="166" t="n">
        <v>21896.82</v>
      </c>
      <c r="Q13" s="167" t="n">
        <f aca="false">IFERROR(H13/P13,"-")</f>
        <v>0.0866253638656207</v>
      </c>
      <c r="R13" s="166" t="n">
        <f aca="false">H13-P13</f>
        <v>-20000</v>
      </c>
    </row>
    <row r="14" customFormat="false" ht="14.25" hidden="false" customHeight="true" outlineLevel="0" collapsed="false">
      <c r="A14" s="168" t="n">
        <v>13</v>
      </c>
      <c r="B14" s="166" t="s">
        <v>145</v>
      </c>
      <c r="C14" s="166" t="s">
        <v>43</v>
      </c>
      <c r="D14" s="166" t="s">
        <v>43</v>
      </c>
      <c r="E14" s="26" t="s">
        <v>32</v>
      </c>
      <c r="F14" s="158" t="n">
        <f aca="false">ינואר!E14+פברואר!E14+מרץ!E14+אפריל!E14+מאי!E14+יוני!E14+יולי!F14+אוגוסט!F14+ספטמבר!F14+אוקטובר!F14</f>
        <v>6361.93</v>
      </c>
      <c r="G14" s="158" t="n">
        <f aca="false">ינואר!F14+פברואר!F14+מרץ!F14+אפריל!F14+מאי!F14+יוני!F14+יולי!G14+אוגוסט!G14+ספטמבר!G14+אוקטובר!G14</f>
        <v>11718.66</v>
      </c>
      <c r="H14" s="158" t="n">
        <f aca="false">ינואר!G14+פברואר!G14+מרץ!G14+אפריל!G14+מאי!G14+יוני!G14+יולי!H14+אוגוסט!H14+ספטמבר!H14+אוקטובר!H14</f>
        <v>14953.48</v>
      </c>
      <c r="I14" s="167" t="n">
        <f aca="false">IFERROR(H14/G14-1,"")</f>
        <v>0.27604009332125</v>
      </c>
      <c r="J14" s="158" t="n">
        <f aca="false">H14-G14</f>
        <v>3234.82</v>
      </c>
      <c r="L14" s="158" t="n">
        <f aca="false">ינואר!J14+פברואר!J14+מרץ!J14+אפריל!J14+מאי!J14+יוני!J14+יולי!M14+אוגוסט!M14+ספטמבר!M14+אוקטובר!M14</f>
        <v>350000</v>
      </c>
      <c r="M14" s="167" t="n">
        <f aca="false">IFERROR(H14/L14-1,"")</f>
        <v>-0.957275771428572</v>
      </c>
      <c r="N14" s="158" t="n">
        <f aca="false">H14-L14</f>
        <v>-335046.52</v>
      </c>
      <c r="P14" s="166" t="n">
        <v>27748.72</v>
      </c>
      <c r="Q14" s="167" t="n">
        <f aca="false">IFERROR(H14/P14,"-")</f>
        <v>0.538889001006173</v>
      </c>
      <c r="R14" s="166" t="n">
        <f aca="false">H14-P14</f>
        <v>-12795.24</v>
      </c>
    </row>
    <row r="15" customFormat="false" ht="14.25" hidden="false" customHeight="true" outlineLevel="0" collapsed="false">
      <c r="A15" s="168" t="n">
        <v>9</v>
      </c>
      <c r="B15" s="166" t="s">
        <v>140</v>
      </c>
      <c r="C15" s="166" t="s">
        <v>44</v>
      </c>
      <c r="D15" s="166" t="s">
        <v>44</v>
      </c>
      <c r="E15" s="26" t="s">
        <v>32</v>
      </c>
      <c r="F15" s="158" t="n">
        <f aca="false">ינואר!E15+פברואר!E15+מרץ!E15+אפריל!E15+מאי!E15+יוני!E15+יולי!F15+אוגוסט!F15+ספטמבר!F15+אוקטובר!F15</f>
        <v>63348.48</v>
      </c>
      <c r="G15" s="158" t="n">
        <f aca="false">ינואר!F15+פברואר!F15+מרץ!F15+אפריל!F15+מאי!F15+יוני!F15+יולי!G15+אוגוסט!G15+ספטמבר!G15+אוקטובר!G15</f>
        <v>81409.48</v>
      </c>
      <c r="H15" s="158" t="n">
        <f aca="false">ינואר!G15+פברואר!G15+מרץ!G15+אפריל!G15+מאי!G15+יוני!G15+יולי!H15+אוגוסט!H15+ספטמבר!H15+אוקטובר!H15</f>
        <v>118677.26</v>
      </c>
      <c r="I15" s="167" t="n">
        <f aca="false">IFERROR(H15/G15-1,"")</f>
        <v>0.457781820986942</v>
      </c>
      <c r="J15" s="158" t="n">
        <f aca="false">H15-G15</f>
        <v>37267.78</v>
      </c>
      <c r="L15" s="158" t="n">
        <f aca="false">ינואר!J15+פברואר!J15+מרץ!J15+אפריל!J15+מאי!J15+יוני!J15+יולי!M15+אוגוסט!M15+ספטמבר!M15+אוקטובר!M15</f>
        <v>164285.714285715</v>
      </c>
      <c r="M15" s="167" t="n">
        <f aca="false">IFERROR(H15/L15-1,"")</f>
        <v>-0.277616678260871</v>
      </c>
      <c r="N15" s="158" t="n">
        <f aca="false">H15-L15</f>
        <v>-45608.4542857145</v>
      </c>
      <c r="P15" s="166" t="n">
        <v>189111.1</v>
      </c>
      <c r="Q15" s="167" t="n">
        <f aca="false">IFERROR(H15/P15,"-")</f>
        <v>0.627553115602416</v>
      </c>
      <c r="R15" s="166" t="n">
        <f aca="false">H15-P15</f>
        <v>-70433.84</v>
      </c>
    </row>
    <row r="16" customFormat="false" ht="15" hidden="false" customHeight="true" outlineLevel="0" collapsed="false">
      <c r="A16" s="170"/>
      <c r="B16" s="171"/>
      <c r="C16" s="171" t="s">
        <v>119</v>
      </c>
      <c r="D16" s="171" t="s">
        <v>119</v>
      </c>
      <c r="E16" s="171"/>
      <c r="F16" s="171" t="n">
        <f aca="false">SUM(F3:F15)</f>
        <v>13793965.645</v>
      </c>
      <c r="G16" s="171" t="n">
        <f aca="false">SUM(G3:G15)</f>
        <v>13647651.242</v>
      </c>
      <c r="H16" s="171" t="n">
        <f aca="false">SUM(H3:H15)</f>
        <v>11811070.981</v>
      </c>
      <c r="I16" s="172" t="n">
        <f aca="false">IFERROR(H16/G16-1,"")</f>
        <v>-0.134571160153041</v>
      </c>
      <c r="J16" s="171" t="n">
        <f aca="false">SUM(J3:J15)</f>
        <v>-1836580.26100004</v>
      </c>
      <c r="L16" s="171" t="n">
        <f aca="false">SUM(L3:L15)</f>
        <v>17049750</v>
      </c>
      <c r="M16" s="172" t="n">
        <f aca="false">IFERROR(H16/L16-1,"")</f>
        <v>-0.307258406662854</v>
      </c>
      <c r="N16" s="171" t="n">
        <f aca="false">SUM(N3:N15)</f>
        <v>-5238679.019</v>
      </c>
      <c r="P16" s="171" t="n">
        <f aca="false">SUM(P3:P15)</f>
        <v>14209549.047</v>
      </c>
      <c r="Q16" s="172" t="n">
        <f aca="false">IFERROR(H16/P16,"-")</f>
        <v>0.83120660211899</v>
      </c>
      <c r="R16" s="171" t="n">
        <f aca="false">E16-P16</f>
        <v>-14209549.047</v>
      </c>
    </row>
    <row r="17" customFormat="false" ht="14.25" hidden="false" customHeight="true" outlineLevel="0" collapsed="false">
      <c r="A17" s="168" t="n">
        <v>2</v>
      </c>
      <c r="B17" s="166" t="s">
        <v>149</v>
      </c>
      <c r="C17" s="166" t="s">
        <v>45</v>
      </c>
      <c r="D17" s="166" t="s">
        <v>45</v>
      </c>
      <c r="E17" s="26" t="s">
        <v>32</v>
      </c>
      <c r="F17" s="158" t="n">
        <f aca="false">ינואר!E17+פברואר!E17+מרץ!E17+אפריל!E17+מאי!E17+יוני!E17+יולי!F17+אוגוסט!F17+ספטמבר!F17+אוקטובר!F17</f>
        <v>501296.48</v>
      </c>
      <c r="G17" s="158" t="n">
        <f aca="false">ינואר!F17+פברואר!F17+מרץ!F17+אפריל!F17+מאי!F17+יוני!F17+יולי!G17+אוגוסט!G17+ספטמבר!G17+אוקטובר!G17</f>
        <v>1193343.75</v>
      </c>
      <c r="H17" s="158" t="n">
        <f aca="false">ינואר!G17+פברואר!G17+מרץ!G17+אפריל!G17+מאי!G17+יוני!G17+יולי!H17+אוגוסט!H17+ספטמבר!H17+אוקטובר!H17</f>
        <v>3368003.31000003</v>
      </c>
      <c r="I17" s="167" t="n">
        <f aca="false">IFERROR(H17/G17-1,"")</f>
        <v>1.82232450624561</v>
      </c>
      <c r="J17" s="158" t="n">
        <f aca="false">H17-G17</f>
        <v>2174659.56000003</v>
      </c>
      <c r="L17" s="158" t="n">
        <f aca="false">ינואר!J17+פברואר!J17+מרץ!J17+אפריל!J17+מאי!J17+יוני!J17+יולי!M17+אוגוסט!M17+ספטמבר!M17+אוקטובר!M17</f>
        <v>7614968.6440678</v>
      </c>
      <c r="M17" s="167" t="n">
        <f aca="false">IFERROR(H17/L17-1,"")</f>
        <v>-0.557712780258949</v>
      </c>
      <c r="N17" s="158" t="n">
        <f aca="false">H17-L17</f>
        <v>-4246965.33406777</v>
      </c>
      <c r="P17" s="166" t="n">
        <v>5299395.82711868</v>
      </c>
      <c r="Q17" s="167" t="n">
        <f aca="false">IFERROR(H17/P17,"-")</f>
        <v>0.635544771493553</v>
      </c>
      <c r="R17" s="166" t="n">
        <f aca="false">H17-P17</f>
        <v>-1931392.51711865</v>
      </c>
    </row>
    <row r="18" customFormat="false" ht="14.25" hidden="false" customHeight="true" outlineLevel="0" collapsed="false">
      <c r="A18" s="168" t="n">
        <v>12</v>
      </c>
      <c r="B18" s="166" t="s">
        <v>150</v>
      </c>
      <c r="C18" s="166" t="s">
        <v>46</v>
      </c>
      <c r="D18" s="166" t="s">
        <v>46</v>
      </c>
      <c r="E18" s="26" t="s">
        <v>32</v>
      </c>
      <c r="F18" s="158" t="n">
        <f aca="false">ינואר!E18+פברואר!E18+מרץ!E18+אפריל!E18+מאי!E18+יוני!E18+יולי!F18+אוגוסט!F18+ספטמבר!F18+אוקטובר!F18</f>
        <v>29099.26</v>
      </c>
      <c r="G18" s="158" t="n">
        <f aca="false">ינואר!F18+פברואר!F18+מרץ!F18+אפריל!F18+מאי!F18+יוני!F18+יולי!G18+אוגוסט!G18+ספטמבר!G18+אוקטובר!G18</f>
        <v>24705.4</v>
      </c>
      <c r="H18" s="158" t="n">
        <f aca="false">ינואר!G18+פברואר!G18+מרץ!G18+אפריל!G18+מאי!G18+יוני!G18+יולי!H18+אוגוסט!H18+ספטמבר!H18+אוקטובר!H18</f>
        <v>13580.48</v>
      </c>
      <c r="I18" s="167" t="n">
        <f aca="false">IFERROR(H18/G18-1,"")</f>
        <v>-0.45030317258575</v>
      </c>
      <c r="J18" s="158" t="n">
        <f aca="false">H18-G18</f>
        <v>-11124.92</v>
      </c>
      <c r="L18" s="158" t="n">
        <f aca="false">ינואר!J18+פברואר!J18+מרץ!J18+אפריל!J18+מאי!J18+יוני!J18+יולי!M18+אוגוסט!M18+ספטמבר!M18+אוקטובר!M18</f>
        <v>25369.2833333333</v>
      </c>
      <c r="M18" s="167" t="n">
        <f aca="false">IFERROR(H18/L18-1,"")</f>
        <v>-0.464688070941433</v>
      </c>
      <c r="N18" s="158" t="n">
        <f aca="false">H18-L18</f>
        <v>-11788.8033333333</v>
      </c>
      <c r="P18" s="166" t="n">
        <v>29807.02</v>
      </c>
      <c r="Q18" s="167" t="n">
        <f aca="false">IFERROR(H18/P18,"-")</f>
        <v>0.455613476288472</v>
      </c>
      <c r="R18" s="166" t="n">
        <f aca="false">H18-P18</f>
        <v>-16226.54</v>
      </c>
    </row>
    <row r="19" customFormat="false" ht="15" hidden="false" customHeight="true" outlineLevel="0" collapsed="false">
      <c r="A19" s="169"/>
      <c r="B19" s="171"/>
      <c r="C19" s="171" t="s">
        <v>48</v>
      </c>
      <c r="D19" s="171" t="s">
        <v>48</v>
      </c>
      <c r="E19" s="171"/>
      <c r="F19" s="171" t="n">
        <f aca="false">F16+F17+F18</f>
        <v>14324361.385</v>
      </c>
      <c r="G19" s="171" t="n">
        <f aca="false">G16+G17+G18</f>
        <v>14865700.392</v>
      </c>
      <c r="H19" s="171" t="n">
        <f aca="false">H16+H17+H18</f>
        <v>15192654.771</v>
      </c>
      <c r="I19" s="172" t="n">
        <f aca="false">IFERROR(H19/G19-1,"")</f>
        <v>0.0219938765331194</v>
      </c>
      <c r="J19" s="171" t="n">
        <f aca="false">J16+J17+J18</f>
        <v>326954.378999994</v>
      </c>
      <c r="L19" s="171" t="n">
        <f aca="false">L16+L17+L18</f>
        <v>24690087.9274011</v>
      </c>
      <c r="M19" s="172" t="n">
        <f aca="false">IFERROR(H19/L19-1,"")</f>
        <v>-0.384665829636873</v>
      </c>
      <c r="N19" s="171" t="n">
        <f aca="false">N16+N17+N18</f>
        <v>-9497433.15640111</v>
      </c>
      <c r="P19" s="171" t="n">
        <f aca="false">P16+P17+P18</f>
        <v>19538751.8941187</v>
      </c>
      <c r="Q19" s="172" t="n">
        <f aca="false">IFERROR(H19/P19,"-")</f>
        <v>0.777565263806494</v>
      </c>
      <c r="R19" s="171" t="n">
        <f aca="false">E19-P19</f>
        <v>-19538751.8941187</v>
      </c>
    </row>
    <row r="20" customFormat="false" ht="14.25" hidden="false" customHeight="true" outlineLevel="0" collapsed="false">
      <c r="A20" s="169" t="n">
        <v>50</v>
      </c>
      <c r="B20" s="166" t="s">
        <v>155</v>
      </c>
      <c r="C20" s="166" t="s">
        <v>49</v>
      </c>
      <c r="D20" s="166" t="s">
        <v>50</v>
      </c>
      <c r="E20" s="26" t="s">
        <v>51</v>
      </c>
      <c r="F20" s="158" t="n">
        <f aca="false">ינואר!E20+פברואר!E20+מרץ!E20+אפריל!E20+מאי!E20+יוני!E20+יולי!F20+אוגוסט!F20+ספטמבר!F20+אוקטובר!F20</f>
        <v>3141550.98</v>
      </c>
      <c r="G20" s="158" t="n">
        <f aca="false">ינואר!F20+פברואר!F20+מרץ!F20+אפריל!F20+מאי!F20+יוני!F20+יולי!G20+אוגוסט!G20+ספטמבר!G20+אוקטובר!G20</f>
        <v>2252006.72</v>
      </c>
      <c r="H20" s="158" t="n">
        <f aca="false">ינואר!G20+פברואר!G20+מרץ!G20+אפריל!G20+מאי!G20+יוני!G20+יולי!H20+אוגוסט!H20+ספטמבר!H20+אוקטובר!H20</f>
        <v>1879662.74</v>
      </c>
      <c r="I20" s="167" t="n">
        <f aca="false">IFERROR(H20/G20-1,"")</f>
        <v>-0.165338751742268</v>
      </c>
      <c r="J20" s="158" t="n">
        <f aca="false">H20-G20</f>
        <v>-372343.98</v>
      </c>
      <c r="L20" s="158" t="n">
        <f aca="false">ינואר!J20+פברואר!J20+מרץ!J20+אפריל!J20+מאי!J20+יוני!J20+יולי!M20+אוגוסט!M20+ספטמבר!M20+אוקטובר!M20</f>
        <v>3975861.7449375</v>
      </c>
      <c r="M20" s="167" t="n">
        <f aca="false">IFERROR(H20/L20-1,"")</f>
        <v>-0.527231362510683</v>
      </c>
      <c r="N20" s="158" t="n">
        <f aca="false">H20-L20</f>
        <v>-2096199.0049375</v>
      </c>
      <c r="P20" s="166" t="n">
        <v>2474341.01</v>
      </c>
      <c r="Q20" s="167" t="n">
        <f aca="false">IFERROR(H20/P20,"-")</f>
        <v>0.759661959448346</v>
      </c>
      <c r="R20" s="166" t="n">
        <f aca="false">H20-P20</f>
        <v>-594678.27</v>
      </c>
    </row>
    <row r="21" customFormat="false" ht="14.25" hidden="false" customHeight="true" outlineLevel="0" collapsed="false">
      <c r="A21" s="169" t="n">
        <v>20</v>
      </c>
      <c r="B21" s="166" t="s">
        <v>151</v>
      </c>
      <c r="C21" s="166" t="s">
        <v>52</v>
      </c>
      <c r="D21" s="166" t="s">
        <v>53</v>
      </c>
      <c r="E21" s="26" t="s">
        <v>54</v>
      </c>
      <c r="F21" s="158" t="n">
        <f aca="false">ינואר!E21+פברואר!E21+מרץ!E21+אפריל!E21+מאי!E21+יוני!E21+יולי!F21+אוגוסט!F21+ספטמבר!F21+אוקטובר!F21</f>
        <v>741409.27</v>
      </c>
      <c r="G21" s="158" t="n">
        <f aca="false">ינואר!F21+פברואר!F21+מרץ!F21+אפריל!F21+מאי!F21+יוני!F21+יולי!G21+אוגוסט!G21+ספטמבר!G21+אוקטובר!G21</f>
        <v>757795.91</v>
      </c>
      <c r="H21" s="158" t="n">
        <f aca="false">ינואר!G21+פברואר!G21+מרץ!G21+אפריל!G21+מאי!G21+יוני!G21+יולי!H21+אוגוסט!H21+ספטמבר!H21+אוקטובר!H21</f>
        <v>474182.59</v>
      </c>
      <c r="I21" s="167" t="n">
        <f aca="false">IFERROR(H21/G21-1,"")</f>
        <v>-0.374260821756085</v>
      </c>
      <c r="J21" s="158" t="n">
        <f aca="false">H21-G21</f>
        <v>-283613.32</v>
      </c>
      <c r="L21" s="158" t="n">
        <f aca="false">ינואר!J21+פברואר!J21+מרץ!J21+אפריל!J21+מאי!J21+יוני!J21+יולי!M21+אוגוסט!M21+ספטמבר!M21+אוקטובר!M21</f>
        <v>833000</v>
      </c>
      <c r="M21" s="167" t="n">
        <f aca="false">IFERROR(H21/L21-1,"")</f>
        <v>-0.430753193277311</v>
      </c>
      <c r="N21" s="158" t="n">
        <f aca="false">H21-L21</f>
        <v>-358817.41</v>
      </c>
      <c r="P21" s="166" t="n">
        <v>772081.02</v>
      </c>
      <c r="Q21" s="167" t="n">
        <f aca="false">IFERROR(H21/P21,"-")</f>
        <v>0.614161697693333</v>
      </c>
      <c r="R21" s="166" t="n">
        <f aca="false">H21-P21</f>
        <v>-297898.43</v>
      </c>
    </row>
    <row r="22" customFormat="false" ht="14.25" hidden="false" customHeight="true" outlineLevel="0" collapsed="false">
      <c r="A22" s="169" t="n">
        <v>21</v>
      </c>
      <c r="B22" s="166" t="s">
        <v>157</v>
      </c>
      <c r="C22" s="166" t="s">
        <v>55</v>
      </c>
      <c r="D22" s="166" t="s">
        <v>56</v>
      </c>
      <c r="E22" s="26" t="s">
        <v>57</v>
      </c>
      <c r="F22" s="158" t="n">
        <f aca="false">ינואר!E22+פברואר!E22+מרץ!E22+אפריל!E22+מאי!E22+יוני!E22+יולי!F22+אוגוסט!F22+ספטמבר!F22+אוקטובר!F22</f>
        <v>504940.7</v>
      </c>
      <c r="G22" s="158" t="n">
        <f aca="false">ינואר!F22+פברואר!F22+מרץ!F22+אפריל!F22+מאי!F22+יוני!F22+יולי!G22+אוגוסט!G22+ספטמבר!G22+אוקטובר!G22</f>
        <v>351867.51</v>
      </c>
      <c r="H22" s="158" t="n">
        <f aca="false">ינואר!G22+פברואר!G22+מרץ!G22+אפריל!G22+מאי!G22+יוני!G22+יולי!H22+אוגוסט!H22+ספטמבר!H22+אוקטובר!H22</f>
        <v>344263.09</v>
      </c>
      <c r="I22" s="167" t="n">
        <f aca="false">IFERROR(H22/G22-1,"")</f>
        <v>-0.0216116003435497</v>
      </c>
      <c r="J22" s="158" t="n">
        <f aca="false">H22-G22</f>
        <v>-7604.41999999998</v>
      </c>
      <c r="L22" s="158" t="n">
        <f aca="false">ינואר!J22+פברואר!J22+מרץ!J22+אפריל!J22+מאי!J22+יוני!J22+יולי!M22+אוגוסט!M22+ספטמבר!M22+אוקטובר!M22</f>
        <v>450000.27</v>
      </c>
      <c r="M22" s="167" t="n">
        <f aca="false">IFERROR(H22/L22-1,"")</f>
        <v>-0.234971370128289</v>
      </c>
      <c r="N22" s="158" t="n">
        <f aca="false">H22-L22</f>
        <v>-105737.18</v>
      </c>
      <c r="P22" s="166" t="n">
        <v>393276.52</v>
      </c>
      <c r="Q22" s="167" t="n">
        <f aca="false">IFERROR(H22/P22,"-")</f>
        <v>0.875371583332765</v>
      </c>
      <c r="R22" s="166" t="n">
        <f aca="false">H22-P22</f>
        <v>-49013.43</v>
      </c>
    </row>
    <row r="23" customFormat="false" ht="14.25" hidden="false" customHeight="true" outlineLevel="0" collapsed="false">
      <c r="A23" s="169" t="n">
        <v>22</v>
      </c>
      <c r="B23" s="166" t="s">
        <v>159</v>
      </c>
      <c r="C23" s="166" t="s">
        <v>58</v>
      </c>
      <c r="D23" s="166" t="s">
        <v>59</v>
      </c>
      <c r="E23" s="26" t="s">
        <v>60</v>
      </c>
      <c r="F23" s="158" t="n">
        <f aca="false">ינואר!E23+פברואר!E23+מרץ!E23+אפריל!E23+מאי!E23+יוני!E23+יולי!F23+אוגוסט!F23+ספטמבר!F23+אוקטובר!F23</f>
        <v>409442.72</v>
      </c>
      <c r="G23" s="158" t="n">
        <f aca="false">ינואר!F23+פברואר!F23+מרץ!F23+אפריל!F23+מאי!F23+יוני!F23+יולי!G23+אוגוסט!G23+ספטמבר!G23+אוקטובר!G23</f>
        <v>330674.85</v>
      </c>
      <c r="H23" s="158" t="n">
        <f aca="false">ינואר!G23+פברואר!G23+מרץ!G23+אפריל!G23+מאי!G23+יוני!G23+יולי!H23+אוגוסט!H23+ספטמבר!H23+אוקטובר!H23</f>
        <v>358276.36</v>
      </c>
      <c r="I23" s="167" t="n">
        <f aca="false">IFERROR(H23/G23-1,"")</f>
        <v>0.0834702427475207</v>
      </c>
      <c r="J23" s="158" t="n">
        <f aca="false">H23-G23</f>
        <v>27601.51</v>
      </c>
      <c r="L23" s="158" t="n">
        <f aca="false">ינואר!J23+פברואר!J23+מרץ!J23+אפריל!J23+מאי!J23+יוני!J23+יולי!M23+אוגוסט!M23+ספטמבר!M23+אוקטובר!M23</f>
        <v>417158.97</v>
      </c>
      <c r="M23" s="167" t="n">
        <f aca="false">IFERROR(H23/L23-1,"")</f>
        <v>-0.14115148956284</v>
      </c>
      <c r="N23" s="158" t="n">
        <f aca="false">H23-L23</f>
        <v>-58882.61</v>
      </c>
      <c r="P23" s="166" t="n">
        <v>382053.13</v>
      </c>
      <c r="Q23" s="167" t="n">
        <f aca="false">IFERROR(H23/P23,"-")</f>
        <v>0.937765802363666</v>
      </c>
      <c r="R23" s="166" t="n">
        <f aca="false">H23-P23</f>
        <v>-23776.77</v>
      </c>
    </row>
    <row r="24" customFormat="false" ht="14.25" hidden="false" customHeight="true" outlineLevel="0" collapsed="false">
      <c r="A24" s="169" t="n">
        <v>23</v>
      </c>
      <c r="B24" s="166" t="s">
        <v>154</v>
      </c>
      <c r="C24" s="166" t="s">
        <v>61</v>
      </c>
      <c r="D24" s="166" t="s">
        <v>62</v>
      </c>
      <c r="E24" s="26" t="s">
        <v>63</v>
      </c>
      <c r="F24" s="158" t="n">
        <f aca="false">ינואר!E24+פברואר!E24+מרץ!E24+אפריל!E24+מאי!E24+יוני!E24+יולי!F24+אוגוסט!F24+ספטמבר!F24+אוקטובר!F24</f>
        <v>110944.93</v>
      </c>
      <c r="G24" s="158" t="n">
        <f aca="false">ינואר!F24+פברואר!F24+מרץ!F24+אפריל!F24+מאי!F24+יוני!F24+יולי!G24+אוגוסט!G24+ספטמבר!G24+אוקטובר!G24</f>
        <v>106654.67</v>
      </c>
      <c r="H24" s="158" t="n">
        <f aca="false">ינואר!G24+פברואר!G24+מרץ!G24+אפריל!G24+מאי!G24+יוני!G24+יולי!H24+אוגוסט!H24+ספטמבר!H24+אוקטובר!H24</f>
        <v>111290.53</v>
      </c>
      <c r="I24" s="167" t="n">
        <f aca="false">IFERROR(H24/G24-1,"")</f>
        <v>0.0434660760752437</v>
      </c>
      <c r="J24" s="158" t="n">
        <f aca="false">H24-G24</f>
        <v>4635.86</v>
      </c>
      <c r="L24" s="158" t="n">
        <f aca="false">ינואר!J24+פברואר!J24+מרץ!J24+אפריל!J24+מאי!J24+יוני!J24+יולי!M24+אוגוסט!M24+ספטמבר!M24+אוקטובר!M24</f>
        <v>122999.92</v>
      </c>
      <c r="M24" s="167" t="n">
        <f aca="false">IFERROR(H24/L24-1,"")</f>
        <v>-0.0951983546005558</v>
      </c>
      <c r="N24" s="158" t="n">
        <f aca="false">H24-L24</f>
        <v>-11709.39</v>
      </c>
      <c r="P24" s="166" t="n">
        <v>111678.59</v>
      </c>
      <c r="Q24" s="167" t="n">
        <f aca="false">IFERROR(H24/P24,"-")</f>
        <v>0.996525206845824</v>
      </c>
      <c r="R24" s="166" t="n">
        <f aca="false">H24-P24</f>
        <v>-388.059999999998</v>
      </c>
    </row>
    <row r="25" customFormat="false" ht="14.25" hidden="false" customHeight="true" outlineLevel="0" collapsed="false">
      <c r="A25" s="169" t="n">
        <v>24</v>
      </c>
      <c r="B25" s="166" t="s">
        <v>156</v>
      </c>
      <c r="C25" s="166" t="s">
        <v>64</v>
      </c>
      <c r="D25" s="166" t="s">
        <v>65</v>
      </c>
      <c r="E25" s="26" t="s">
        <v>66</v>
      </c>
      <c r="F25" s="158" t="n">
        <f aca="false">ינואר!E25+פברואר!E25+מרץ!E25+אפריל!E25+מאי!E25+יוני!E25+יולי!F25+אוגוסט!F25+ספטמבר!F25+אוקטובר!F25</f>
        <v>116140.05</v>
      </c>
      <c r="G25" s="158" t="n">
        <f aca="false">ינואר!F25+פברואר!F25+מרץ!F25+אפריל!F25+מאי!F25+יוני!F25+יולי!G25+אוגוסט!G25+ספטמבר!G25+אוקטובר!G25</f>
        <v>52899.82</v>
      </c>
      <c r="H25" s="158" t="n">
        <f aca="false">ינואר!G25+פברואר!G25+מרץ!G25+אפריל!G25+מאי!G25+יוני!G25+יולי!H25+אוגוסט!H25+ספטמבר!H25+אוקטובר!H25</f>
        <v>0</v>
      </c>
      <c r="I25" s="167" t="n">
        <f aca="false">IFERROR(H25/G25-1,"")</f>
        <v>-1</v>
      </c>
      <c r="J25" s="158" t="n">
        <f aca="false">H25-G25</f>
        <v>-52899.82</v>
      </c>
      <c r="L25" s="158" t="n">
        <f aca="false">ינואר!J25+פברואר!J25+מרץ!J25+אפריל!J25+מאי!J25+יוני!J25+יולי!M25+אוגוסט!M25+ספטמבר!M25+אוקטובר!M25</f>
        <v>40000</v>
      </c>
      <c r="M25" s="167" t="n">
        <f aca="false">IFERROR(H25/L25-1,"")</f>
        <v>-1</v>
      </c>
      <c r="N25" s="158" t="n">
        <f aca="false">H25-L25</f>
        <v>-40000</v>
      </c>
      <c r="P25" s="166" t="n">
        <v>0</v>
      </c>
      <c r="Q25" s="167" t="str">
        <f aca="false">IFERROR(H25/P25,"-")</f>
        <v>-</v>
      </c>
      <c r="R25" s="166" t="n">
        <f aca="false">H25-P25</f>
        <v>0</v>
      </c>
    </row>
    <row r="26" customFormat="false" ht="13.5" hidden="false" customHeight="true" outlineLevel="0" collapsed="false">
      <c r="A26" s="169" t="n">
        <v>25</v>
      </c>
      <c r="B26" s="166" t="s">
        <v>162</v>
      </c>
      <c r="C26" s="166" t="s">
        <v>67</v>
      </c>
      <c r="D26" s="166" t="s">
        <v>68</v>
      </c>
      <c r="E26" s="26" t="s">
        <v>69</v>
      </c>
      <c r="F26" s="158" t="n">
        <f aca="false">ינואר!E26+פברואר!E26+מרץ!E26+אפריל!E26+מאי!E26+יוני!E26+יולי!F26+אוגוסט!F26+ספטמבר!F26+אוקטובר!F26</f>
        <v>249206.12</v>
      </c>
      <c r="G26" s="158" t="n">
        <f aca="false">ינואר!F26+פברואר!F26+מרץ!F26+אפריל!F26+מאי!F26+יוני!F26+יולי!G26+אוגוסט!G26+ספטמבר!G26+אוקטובר!G26</f>
        <v>172805.93</v>
      </c>
      <c r="H26" s="158" t="n">
        <f aca="false">ינואר!G26+פברואר!G26+מרץ!G26+אפריל!G26+מאי!G26+יוני!G26+יולי!H26+אוגוסט!H26+ספטמבר!H26+אוקטובר!H26</f>
        <v>365555.25</v>
      </c>
      <c r="I26" s="167" t="n">
        <f aca="false">IFERROR(H26/G26-1,"")</f>
        <v>1.11540917606242</v>
      </c>
      <c r="J26" s="158" t="n">
        <f aca="false">H26-G26</f>
        <v>192749.32</v>
      </c>
      <c r="L26" s="158" t="n">
        <f aca="false">ינואר!J26+פברואר!J26+מרץ!J26+אפריל!J26+מאי!J26+יוני!J26+יולי!M26+אוגוסט!M26+ספטמבר!M26+אוקטובר!M26</f>
        <v>300000</v>
      </c>
      <c r="M26" s="167" t="n">
        <f aca="false">IFERROR(H26/L26-1,"")</f>
        <v>0.2185175</v>
      </c>
      <c r="N26" s="158" t="n">
        <f aca="false">H26-L26</f>
        <v>65555.25</v>
      </c>
      <c r="P26" s="166" t="n">
        <v>454147.47</v>
      </c>
      <c r="Q26" s="167" t="n">
        <f aca="false">IFERROR(H26/P26,"-")</f>
        <v>0.804926316114896</v>
      </c>
      <c r="R26" s="166" t="n">
        <f aca="false">H26-P26</f>
        <v>-88592.22</v>
      </c>
    </row>
    <row r="27" customFormat="false" ht="14.25" hidden="false" customHeight="true" outlineLevel="0" collapsed="false">
      <c r="A27" s="169" t="n">
        <v>26</v>
      </c>
      <c r="B27" s="166" t="s">
        <v>153</v>
      </c>
      <c r="C27" s="166" t="s">
        <v>70</v>
      </c>
      <c r="D27" s="166" t="s">
        <v>71</v>
      </c>
      <c r="E27" s="26" t="s">
        <v>72</v>
      </c>
      <c r="F27" s="158" t="n">
        <f aca="false">ינואר!E27+פברואר!E27+מרץ!E27+אפריל!E27+מאי!E27+יוני!E27+יולי!F27+אוגוסט!F27+ספטמבר!F27+אוקטובר!F27</f>
        <v>162967.91</v>
      </c>
      <c r="G27" s="158" t="n">
        <f aca="false">ינואר!F27+פברואר!F27+מרץ!F27+אפריל!F27+מאי!F27+יוני!F27+יולי!G27+אוגוסט!G27+ספטמבר!G27+אוקטובר!G27</f>
        <v>86855.65</v>
      </c>
      <c r="H27" s="158" t="n">
        <f aca="false">ינואר!G27+פברואר!G27+מרץ!G27+אפריל!G27+מאי!G27+יוני!G27+יולי!H27+אוגוסט!H27+ספטמבר!H27+אוקטובר!H27</f>
        <v>60694.01</v>
      </c>
      <c r="I27" s="167" t="n">
        <f aca="false">IFERROR(H27/G27-1,"")</f>
        <v>-0.301208269122389</v>
      </c>
      <c r="J27" s="158" t="n">
        <f aca="false">H27-G27</f>
        <v>-26161.64</v>
      </c>
      <c r="L27" s="158" t="n">
        <f aca="false">ינואר!J27+פברואר!J27+מרץ!J27+אפריל!J27+מאי!J27+יוני!J27+יולי!M27+אוגוסט!M27+ספטמבר!M27+אוקטובר!M27</f>
        <v>160000</v>
      </c>
      <c r="M27" s="167" t="n">
        <f aca="false">IFERROR(H27/L27-1,"")</f>
        <v>-0.6206624375</v>
      </c>
      <c r="N27" s="158" t="n">
        <f aca="false">H27-L27</f>
        <v>-99305.99</v>
      </c>
      <c r="P27" s="166" t="n">
        <v>80694.01</v>
      </c>
      <c r="Q27" s="167" t="n">
        <f aca="false">IFERROR(H27/P27,"-")</f>
        <v>0.752150128615495</v>
      </c>
      <c r="R27" s="166" t="n">
        <f aca="false">H27-P27</f>
        <v>-20000</v>
      </c>
    </row>
    <row r="28" customFormat="false" ht="13.5" hidden="false" customHeight="true" outlineLevel="0" collapsed="false">
      <c r="A28" s="169" t="n">
        <v>27</v>
      </c>
      <c r="B28" s="166" t="s">
        <v>163</v>
      </c>
      <c r="C28" s="166" t="s">
        <v>73</v>
      </c>
      <c r="D28" s="166" t="s">
        <v>74</v>
      </c>
      <c r="E28" s="26" t="s">
        <v>75</v>
      </c>
      <c r="F28" s="158" t="n">
        <f aca="false">ינואר!E28+פברואר!E28+מרץ!E28+אפריל!E28+מאי!E28+יוני!E28+יולי!F28+אוגוסט!F28+ספטמבר!F28+אוקטובר!F28</f>
        <v>171813.81</v>
      </c>
      <c r="G28" s="158" t="n">
        <f aca="false">ינואר!F28+פברואר!F28+מרץ!F28+אפריל!F28+מאי!F28+יוני!F28+יולי!G28+אוגוסט!G28+ספטמבר!G28+אוקטובר!G28</f>
        <v>0.22</v>
      </c>
      <c r="H28" s="158" t="n">
        <f aca="false">ינואר!G28+פברואר!G28+מרץ!G28+אפריל!G28+מאי!G28+יוני!G28+יולי!H28+אוגוסט!H28+ספטמבר!H28+אוקטובר!H28</f>
        <v>0</v>
      </c>
      <c r="I28" s="167" t="n">
        <f aca="false">IFERROR(H28/G28-1,"")</f>
        <v>-1</v>
      </c>
      <c r="J28" s="158" t="n">
        <f aca="false">H28-G28</f>
        <v>-0.22</v>
      </c>
      <c r="L28" s="158" t="n">
        <f aca="false">ינואר!J28+פברואר!J28+מרץ!J28+אפריל!J28+מאי!J28+יוני!J28+יולי!M28+אוגוסט!M28+ספטמבר!M28+אוקטובר!M28</f>
        <v>250000</v>
      </c>
      <c r="M28" s="167" t="n">
        <f aca="false">IFERROR(H28/L28-1,"")</f>
        <v>-1</v>
      </c>
      <c r="N28" s="158" t="n">
        <f aca="false">H28-L28</f>
        <v>-250000</v>
      </c>
      <c r="P28" s="166" t="n">
        <v>250000</v>
      </c>
      <c r="Q28" s="167" t="n">
        <f aca="false">IFERROR(H28/P28,"-")</f>
        <v>0</v>
      </c>
      <c r="R28" s="166" t="n">
        <f aca="false">H28-P28</f>
        <v>-250000</v>
      </c>
    </row>
    <row r="29" customFormat="false" ht="13.5" hidden="false" customHeight="true" outlineLevel="0" collapsed="false">
      <c r="A29" s="169" t="n">
        <v>28</v>
      </c>
      <c r="B29" s="166" t="s">
        <v>164</v>
      </c>
      <c r="C29" s="166" t="s">
        <v>76</v>
      </c>
      <c r="D29" s="166" t="s">
        <v>77</v>
      </c>
      <c r="E29" s="26" t="s">
        <v>78</v>
      </c>
      <c r="F29" s="158" t="n">
        <f aca="false">ינואר!E29+פברואר!E29+מרץ!E29+אפריל!E29+מאי!E29+יוני!E29+יולי!F29+אוגוסט!F29+ספטמבר!F29+אוקטובר!F29</f>
        <v>286240.18</v>
      </c>
      <c r="G29" s="158" t="n">
        <f aca="false">ינואר!F29+פברואר!F29+מרץ!F29+אפריל!F29+מאי!F29+יוני!F29+יולי!G29+אוגוסט!G29+ספטמבר!G29+אוקטובר!G29</f>
        <v>335404.13</v>
      </c>
      <c r="H29" s="158" t="n">
        <f aca="false">ינואר!G29+פברואר!G29+מרץ!G29+אפריל!G29+מאי!G29+יוני!G29+יולי!H29+אוגוסט!H29+ספטמבר!H29+אוקטובר!H29</f>
        <v>300835.11</v>
      </c>
      <c r="I29" s="167" t="n">
        <f aca="false">IFERROR(H29/G29-1,"")</f>
        <v>-0.103066769034716</v>
      </c>
      <c r="J29" s="158" t="n">
        <f aca="false">H29-G29</f>
        <v>-34569.02</v>
      </c>
      <c r="L29" s="158" t="n">
        <f aca="false">ינואר!J29+פברואר!J29+מרץ!J29+אפריל!J29+מאי!J29+יוני!J29+יולי!M29+אוגוסט!M29+ספטמבר!M29+אוקטובר!M29</f>
        <v>370469.848</v>
      </c>
      <c r="M29" s="167" t="n">
        <f aca="false">IFERROR(H29/L29-1,"")</f>
        <v>-0.187963307610394</v>
      </c>
      <c r="N29" s="158" t="n">
        <f aca="false">H29-L29</f>
        <v>-69634.738</v>
      </c>
      <c r="P29" s="166" t="n">
        <v>323207.09</v>
      </c>
      <c r="Q29" s="167" t="n">
        <f aca="false">IFERROR(H29/P29,"-")</f>
        <v>0.930781283294249</v>
      </c>
      <c r="R29" s="166" t="n">
        <f aca="false">H29-P29</f>
        <v>-22371.98</v>
      </c>
    </row>
    <row r="30" customFormat="false" ht="14.25" hidden="false" customHeight="true" outlineLevel="0" collapsed="false">
      <c r="A30" s="169" t="n">
        <v>29</v>
      </c>
      <c r="B30" s="166" t="s">
        <v>158</v>
      </c>
      <c r="C30" s="166" t="s">
        <v>79</v>
      </c>
      <c r="D30" s="166" t="s">
        <v>80</v>
      </c>
      <c r="E30" s="26" t="s">
        <v>81</v>
      </c>
      <c r="F30" s="158" t="n">
        <f aca="false">ינואר!E30+פברואר!E30+מרץ!E30+אפריל!E30+מאי!E30+יוני!E30+יולי!F30+אוגוסט!F30+ספטמבר!F30+אוקטובר!F30</f>
        <v>107690.85</v>
      </c>
      <c r="G30" s="158" t="n">
        <f aca="false">ינואר!F30+פברואר!F30+מרץ!F30+אפריל!F30+מאי!F30+יוני!F30+יולי!G30+אוגוסט!G30+ספטמבר!G30+אוקטובר!G30</f>
        <v>32010.18</v>
      </c>
      <c r="H30" s="158" t="n">
        <f aca="false">ינואר!G30+פברואר!G30+מרץ!G30+אפריל!G30+מאי!G30+יוני!G30+יולי!H30+אוגוסט!H30+ספטמבר!H30+אוקטובר!H30</f>
        <v>43116.44</v>
      </c>
      <c r="I30" s="167" t="n">
        <f aca="false">IFERROR(H30/G30-1,"")</f>
        <v>0.346960248271019</v>
      </c>
      <c r="J30" s="158" t="n">
        <f aca="false">H30-G30</f>
        <v>11106.26</v>
      </c>
      <c r="L30" s="158" t="n">
        <f aca="false">ינואר!J30+פברואר!J30+מרץ!J30+אפריל!J30+מאי!J30+יוני!J30+יולי!M30+אוגוסט!M30+ספטמבר!M30+אוקטובר!M30</f>
        <v>70000</v>
      </c>
      <c r="M30" s="167" t="n">
        <f aca="false">IFERROR(H30/L30-1,"")</f>
        <v>-0.384050857142857</v>
      </c>
      <c r="N30" s="158" t="n">
        <f aca="false">H30-L30</f>
        <v>-26883.56</v>
      </c>
      <c r="P30" s="166" t="n">
        <v>73116.44</v>
      </c>
      <c r="Q30" s="167" t="n">
        <f aca="false">IFERROR(H30/P30,"-")</f>
        <v>0.589695559575931</v>
      </c>
      <c r="R30" s="166" t="n">
        <f aca="false">H30-P30</f>
        <v>-30000</v>
      </c>
    </row>
    <row r="31" customFormat="false" ht="14.25" hidden="false" customHeight="true" outlineLevel="0" collapsed="false">
      <c r="A31" s="169" t="n">
        <v>30</v>
      </c>
      <c r="B31" s="166" t="s">
        <v>152</v>
      </c>
      <c r="C31" s="166" t="s">
        <v>82</v>
      </c>
      <c r="D31" s="166" t="s">
        <v>83</v>
      </c>
      <c r="E31" s="26" t="s">
        <v>81</v>
      </c>
      <c r="F31" s="158" t="n">
        <f aca="false">ינואר!E31+פברואר!E31+מרץ!E31+אפריל!E31+מאי!E31+יוני!E31+יולי!F31+אוגוסט!F31+ספטמבר!F31+אוקטובר!F31</f>
        <v>41028.36</v>
      </c>
      <c r="G31" s="158" t="n">
        <f aca="false">ינואר!F31+פברואר!F31+מרץ!F31+אפריל!F31+מאי!F31+יוני!F31+יולי!G31+אוגוסט!G31+ספטמבר!G31+אוקטובר!G31</f>
        <v>60908.12</v>
      </c>
      <c r="H31" s="158" t="n">
        <f aca="false">ינואר!G31+פברואר!G31+מרץ!G31+אפריל!G31+מאי!G31+יוני!G31+יולי!H31+אוגוסט!H31+ספטמבר!H31+אוקטובר!H31</f>
        <v>39400.13</v>
      </c>
      <c r="I31" s="167" t="n">
        <f aca="false">IFERROR(H31/G31-1,"")</f>
        <v>-0.353121882599561</v>
      </c>
      <c r="J31" s="158" t="n">
        <f aca="false">H31-G31</f>
        <v>-21507.99</v>
      </c>
      <c r="L31" s="158" t="n">
        <f aca="false">ינואר!J31+פברואר!J31+מרץ!J31+אפריל!J31+מאי!J31+יוני!J31+יולי!M31+אוגוסט!M31+ספטמבר!M31+אוקטובר!M31</f>
        <v>40000</v>
      </c>
      <c r="M31" s="167" t="n">
        <f aca="false">IFERROR(H31/L31-1,"")</f>
        <v>-0.0149967499999999</v>
      </c>
      <c r="N31" s="158" t="n">
        <f aca="false">H31-L31</f>
        <v>-599.869999999995</v>
      </c>
      <c r="P31" s="166" t="n">
        <v>42809.5</v>
      </c>
      <c r="Q31" s="167" t="n">
        <f aca="false">IFERROR(H31/P31,"-")</f>
        <v>0.920359499643771</v>
      </c>
      <c r="R31" s="166" t="n">
        <f aca="false">H31-P31</f>
        <v>-3409.37</v>
      </c>
    </row>
    <row r="32" customFormat="false" ht="13.5" hidden="false" customHeight="true" outlineLevel="0" collapsed="false">
      <c r="A32" s="169" t="n">
        <v>31</v>
      </c>
      <c r="B32" s="166" t="s">
        <v>84</v>
      </c>
      <c r="C32" s="166" t="s">
        <v>84</v>
      </c>
      <c r="D32" s="166" t="s">
        <v>85</v>
      </c>
      <c r="E32" s="26" t="s">
        <v>86</v>
      </c>
      <c r="F32" s="158" t="n">
        <f aca="false">ינואר!E32+פברואר!E32+מרץ!E32+אפריל!E32+מאי!E32+יוני!E32+יולי!F32+אוגוסט!F32+ספטמבר!F32+אוקטובר!F32</f>
        <v>31722.98</v>
      </c>
      <c r="G32" s="158" t="n">
        <f aca="false">ינואר!F32+פברואר!F32+מרץ!F32+אפריל!F32+מאי!F32+יוני!F32+יולי!G32+אוגוסט!G32+ספטמבר!G32+אוקטובר!G32</f>
        <v>81786.57</v>
      </c>
      <c r="H32" s="158" t="n">
        <f aca="false">ינואר!G32+פברואר!G32+מרץ!G32+אפריל!G32+מאי!G32+יוני!G32+יולי!H32+אוגוסט!H32+ספטמבר!H32+אוקטובר!H32</f>
        <v>10037.15</v>
      </c>
      <c r="I32" s="167" t="n">
        <f aca="false">IFERROR(H32/G32-1,"")</f>
        <v>-0.877276305877603</v>
      </c>
      <c r="J32" s="158" t="n">
        <f aca="false">H32-G32</f>
        <v>-71749.42</v>
      </c>
      <c r="L32" s="158" t="n">
        <f aca="false">ינואר!J32+פברואר!J32+מרץ!J32+אפריל!J32+מאי!J32+יוני!J32+יולי!M32+אוגוסט!M32+ספטמבר!M32+אוקטובר!M32</f>
        <v>85000</v>
      </c>
      <c r="M32" s="167" t="n">
        <f aca="false">IFERROR(H32/L32-1,"")</f>
        <v>-0.881915882352941</v>
      </c>
      <c r="N32" s="158" t="n">
        <f aca="false">H32-L32</f>
        <v>-74962.85</v>
      </c>
      <c r="P32" s="166" t="n">
        <v>17500</v>
      </c>
      <c r="Q32" s="167" t="n">
        <f aca="false">IFERROR(H32/P32,"-")</f>
        <v>0.573551428571429</v>
      </c>
      <c r="R32" s="166" t="n">
        <f aca="false">H32-P32</f>
        <v>-7462.85</v>
      </c>
    </row>
    <row r="33" customFormat="false" ht="13.5" hidden="false" customHeight="true" outlineLevel="0" collapsed="false">
      <c r="A33" s="169"/>
      <c r="B33" s="166"/>
      <c r="C33" s="166"/>
      <c r="D33" s="166" t="s">
        <v>171</v>
      </c>
      <c r="E33" s="26" t="s">
        <v>172</v>
      </c>
      <c r="F33" s="158" t="n">
        <f aca="false">ינואר!E33+פברואר!E33+מרץ!E33+אפריל!E33+מאי!E33+יוני!E33+יולי!F33+אוגוסט!F33+ספטמבר!F33+אוקטובר!F33</f>
        <v>0</v>
      </c>
      <c r="G33" s="158" t="n">
        <f aca="false">ינואר!F33+פברואר!F33+מרץ!F33+אפריל!F33+מאי!F33+יוני!F33+יולי!G33+אוגוסט!G33+ספטמבר!G33+אוקטובר!G33</f>
        <v>0</v>
      </c>
      <c r="H33" s="158" t="n">
        <f aca="false">ינואר!G33+פברואר!G33+מרץ!G33+אפריל!G33+מאי!G33+יוני!G33+יולי!H33+אוגוסט!H33+ספטמבר!H33+אוקטובר!H33</f>
        <v>0</v>
      </c>
      <c r="I33" s="167" t="str">
        <f aca="false">IFERROR(H33/G33-1,"")</f>
        <v/>
      </c>
      <c r="J33" s="158" t="n">
        <f aca="false">H33-G33</f>
        <v>0</v>
      </c>
      <c r="L33" s="158" t="n">
        <f aca="false">ינואר!J33+פברואר!J33+מרץ!J33+אפריל!J33+מאי!J33+יוני!J33+יולי!M33+אוגוסט!M33+ספטמבר!M33+אוקטובר!M33</f>
        <v>0</v>
      </c>
      <c r="M33" s="167" t="str">
        <f aca="false">IFERROR(H33/L33-1,"")</f>
        <v/>
      </c>
      <c r="N33" s="158" t="n">
        <f aca="false">H33-L33</f>
        <v>0</v>
      </c>
      <c r="P33" s="166" t="n">
        <v>0</v>
      </c>
      <c r="Q33" s="167" t="str">
        <f aca="false">IFERROR(H33/P33,"-")</f>
        <v>-</v>
      </c>
      <c r="R33" s="166" t="n">
        <f aca="false">H33-P33</f>
        <v>0</v>
      </c>
    </row>
    <row r="34" customFormat="false" ht="13.5" hidden="false" customHeight="true" outlineLevel="0" collapsed="false">
      <c r="A34" s="169" t="n">
        <v>32</v>
      </c>
      <c r="B34" s="166" t="s">
        <v>161</v>
      </c>
      <c r="C34" s="166" t="s">
        <v>87</v>
      </c>
      <c r="D34" s="166" t="s">
        <v>88</v>
      </c>
      <c r="E34" s="26" t="s">
        <v>89</v>
      </c>
      <c r="F34" s="158" t="n">
        <f aca="false">ינואר!E34+פברואר!E34+מרץ!E34+אפריל!E34+מאי!E34+יוני!E34+יולי!F34+אוגוסט!F34+ספטמבר!F34+אוקטובר!F34</f>
        <v>35826.78</v>
      </c>
      <c r="G34" s="158" t="n">
        <f aca="false">ינואר!F34+פברואר!F34+מרץ!F34+אפריל!F34+מאי!F34+יוני!F34+יולי!G34+אוגוסט!G34+ספטמבר!G34+אוקטובר!G34</f>
        <v>39713.57</v>
      </c>
      <c r="H34" s="158" t="n">
        <f aca="false">ינואר!G34+פברואר!G34+מרץ!G34+אפריל!G34+מאי!G34+יוני!G34+יולי!H34+אוגוסט!H34+ספטמבר!H34+אוקטובר!H34</f>
        <v>37142.71</v>
      </c>
      <c r="I34" s="167" t="n">
        <f aca="false">IFERROR(H34/G34-1,"")</f>
        <v>-0.0647350515201731</v>
      </c>
      <c r="J34" s="158" t="n">
        <f aca="false">H34-G34</f>
        <v>-2570.86</v>
      </c>
      <c r="L34" s="158" t="n">
        <f aca="false">ינואר!J34+פברואר!J34+מרץ!J34+אפריל!J34+מאי!J34+יוני!J34+יולי!M34+אוגוסט!M34+ספטמבר!M34+אוקטובר!M34</f>
        <v>40000</v>
      </c>
      <c r="M34" s="167" t="n">
        <f aca="false">IFERROR(H34/L34-1,"")</f>
        <v>-0.07143225</v>
      </c>
      <c r="N34" s="158" t="n">
        <f aca="false">H34-L34</f>
        <v>-2857.29</v>
      </c>
      <c r="P34" s="166" t="n">
        <v>38792.66</v>
      </c>
      <c r="Q34" s="167" t="n">
        <f aca="false">IFERROR(H34/P34,"-")</f>
        <v>0.957467469361472</v>
      </c>
      <c r="R34" s="166" t="n">
        <f aca="false">H34-P34</f>
        <v>-1649.95</v>
      </c>
    </row>
    <row r="35" customFormat="false" ht="13.5" hidden="false" customHeight="true" outlineLevel="0" collapsed="false">
      <c r="A35" s="169" t="n">
        <v>33</v>
      </c>
      <c r="B35" s="166" t="s">
        <v>160</v>
      </c>
      <c r="C35" s="166" t="s">
        <v>90</v>
      </c>
      <c r="D35" s="166" t="s">
        <v>91</v>
      </c>
      <c r="E35" s="26" t="s">
        <v>92</v>
      </c>
      <c r="F35" s="158" t="n">
        <f aca="false">ינואר!E35+פברואר!E35+מרץ!E35+אפריל!E35+מאי!E35+יוני!E35+יולי!F35+אוגוסט!F35+ספטמבר!F35+אוקטובר!F35</f>
        <v>59175.03</v>
      </c>
      <c r="G35" s="158" t="n">
        <f aca="false">ינואר!F35+פברואר!F35+מרץ!F35+אפריל!F35+מאי!F35+יוני!F35+יולי!G35+אוגוסט!G35+ספטמבר!G35+אוקטובר!G35</f>
        <v>30531.53</v>
      </c>
      <c r="H35" s="158" t="n">
        <f aca="false">ינואר!G35+פברואר!G35+מרץ!G35+אפריל!G35+מאי!G35+יוני!G35+יולי!H35+אוגוסט!H35+ספטמבר!H35+אוקטובר!H35</f>
        <v>26105.72</v>
      </c>
      <c r="I35" s="167" t="n">
        <f aca="false">IFERROR(H35/G35-1,"")</f>
        <v>-0.144958670593973</v>
      </c>
      <c r="J35" s="158" t="n">
        <f aca="false">H35-G35</f>
        <v>-4425.81</v>
      </c>
      <c r="L35" s="158" t="n">
        <f aca="false">ינואר!J35+פברואר!J35+מרץ!J35+אפריל!J35+מאי!J35+יוני!J35+יולי!M35+אוגוסט!M35+ספטמבר!M35+אוקטובר!M35</f>
        <v>40000</v>
      </c>
      <c r="M35" s="167" t="n">
        <f aca="false">IFERROR(H35/L35-1,"")</f>
        <v>-0.347357</v>
      </c>
      <c r="N35" s="158" t="n">
        <f aca="false">H35-L35</f>
        <v>-13894.28</v>
      </c>
      <c r="P35" s="166" t="n">
        <v>0</v>
      </c>
      <c r="Q35" s="167" t="str">
        <f aca="false">IFERROR(H35/P35,"-")</f>
        <v>-</v>
      </c>
      <c r="R35" s="166" t="n">
        <f aca="false">H35-P35</f>
        <v>26105.72</v>
      </c>
    </row>
    <row r="36" customFormat="false" ht="14.25" hidden="false" customHeight="true" outlineLevel="0" collapsed="false">
      <c r="A36" s="169"/>
      <c r="B36" s="166" t="s">
        <v>166</v>
      </c>
      <c r="C36" s="166" t="s">
        <v>166</v>
      </c>
      <c r="D36" s="166" t="s">
        <v>173</v>
      </c>
      <c r="E36" s="26" t="s">
        <v>78</v>
      </c>
      <c r="F36" s="158" t="n">
        <f aca="false">ינואר!E36+פברואר!E36+מרץ!E36+אפריל!E36+מאי!E36+יוני!E36+יולי!F36+אוגוסט!F36+ספטמבר!F36+אוקטובר!F36</f>
        <v>41531.96</v>
      </c>
      <c r="G36" s="158" t="n">
        <f aca="false">ינואר!F36+פברואר!F36+מרץ!F36+אפריל!F36+מאי!F36+יוני!F36+יולי!G36+אוגוסט!G36+ספטמבר!G36+אוקטובר!G36</f>
        <v>0</v>
      </c>
      <c r="H36" s="158" t="n">
        <f aca="false">ינואר!G36+פברואר!G36+מרץ!G36+אפריל!G36+מאי!G36+יוני!G36+יולי!H36+אוגוסט!H36+ספטמבר!H36+אוקטובר!H36</f>
        <v>0</v>
      </c>
      <c r="I36" s="167" t="str">
        <f aca="false">IFERROR(H36/G36-1,"")</f>
        <v/>
      </c>
      <c r="J36" s="158" t="n">
        <f aca="false">H36-G36</f>
        <v>0</v>
      </c>
      <c r="L36" s="158" t="n">
        <f aca="false">ינואר!J36+פברואר!J36+מרץ!J36+אפריל!J36+מאי!J36+יוני!J36+יולי!M36+אוגוסט!M36+ספטמבר!M36+אוקטובר!M36</f>
        <v>0</v>
      </c>
      <c r="M36" s="167" t="str">
        <f aca="false">IFERROR(H36/L36-1,"")</f>
        <v/>
      </c>
      <c r="N36" s="158" t="n">
        <f aca="false">H36-L36</f>
        <v>0</v>
      </c>
      <c r="P36" s="166" t="n">
        <v>0</v>
      </c>
      <c r="Q36" s="167" t="str">
        <f aca="false">IFERROR(H36/P36,"-")</f>
        <v>-</v>
      </c>
      <c r="R36" s="166" t="n">
        <f aca="false">H36-P36</f>
        <v>0</v>
      </c>
    </row>
    <row r="37" customFormat="false" ht="14.25" hidden="false" customHeight="true" outlineLevel="0" collapsed="false">
      <c r="A37" s="169" t="n">
        <v>34</v>
      </c>
      <c r="B37" s="166" t="s">
        <v>165</v>
      </c>
      <c r="C37" s="166" t="s">
        <v>165</v>
      </c>
      <c r="D37" s="166" t="s">
        <v>93</v>
      </c>
      <c r="E37" s="26" t="s">
        <v>174</v>
      </c>
      <c r="F37" s="158" t="n">
        <f aca="false">ינואר!E37+פברואר!E37+מרץ!E37+אפריל!E37+מאי!E37+יוני!E37+יולי!F37+אוגוסט!F37+ספטמבר!F37+אוקטובר!F37</f>
        <v>22310.96</v>
      </c>
      <c r="G37" s="158" t="n">
        <f aca="false">ינואר!F37+פברואר!F37+מרץ!F37+אפריל!F37+מאי!F37+יוני!F37+יולי!G37+אוגוסט!G37+ספטמבר!G37+אוקטובר!G37</f>
        <v>0</v>
      </c>
      <c r="H37" s="158" t="n">
        <f aca="false">ינואר!G37+פברואר!G37+מרץ!G37+אפריל!G37+מאי!G37+יוני!G37+יולי!H37+אוגוסט!H37+ספטמבר!H37+אוקטובר!H37</f>
        <v>0</v>
      </c>
      <c r="I37" s="167" t="str">
        <f aca="false">IFERROR(H37/G37-1,"")</f>
        <v/>
      </c>
      <c r="J37" s="158" t="n">
        <f aca="false">H37-G37</f>
        <v>0</v>
      </c>
      <c r="L37" s="158" t="n">
        <f aca="false">ינואר!J37+פברואר!J37+מרץ!J37+אפריל!J37+מאי!J37+יוני!J37+יולי!M37+אוגוסט!M37+ספטמבר!M37+אוקטובר!M37</f>
        <v>0</v>
      </c>
      <c r="M37" s="167" t="str">
        <f aca="false">IFERROR(H37/L37-1,"")</f>
        <v/>
      </c>
      <c r="N37" s="158" t="n">
        <f aca="false">H37-L37</f>
        <v>0</v>
      </c>
      <c r="P37" s="166" t="n">
        <v>0</v>
      </c>
      <c r="Q37" s="167" t="str">
        <f aca="false">IFERROR(H37/P37,"-")</f>
        <v>-</v>
      </c>
      <c r="R37" s="166" t="n">
        <f aca="false">H37-P37</f>
        <v>0</v>
      </c>
    </row>
    <row r="38" customFormat="false" ht="13.5" hidden="false" customHeight="true" outlineLevel="0" collapsed="false">
      <c r="A38" s="169" t="n">
        <v>35</v>
      </c>
      <c r="B38" s="166" t="s">
        <v>94</v>
      </c>
      <c r="C38" s="166" t="s">
        <v>94</v>
      </c>
      <c r="D38" s="166" t="s">
        <v>95</v>
      </c>
      <c r="E38" s="26" t="s">
        <v>51</v>
      </c>
      <c r="F38" s="158" t="n">
        <f aca="false">ינואר!E38+פברואר!E38+מרץ!E38+אפריל!E38+מאי!E38+יוני!E38+יולי!F38+אוגוסט!F38+ספטמבר!F38+אוקטובר!F38</f>
        <v>-1.37</v>
      </c>
      <c r="G38" s="158" t="n">
        <f aca="false">ינואר!F38+פברואר!F38+מרץ!F38+אפריל!F38+מאי!F38+יוני!F38+יולי!G38+אוגוסט!G38+ספטמבר!G38+אוקטובר!G38</f>
        <v>248.59</v>
      </c>
      <c r="H38" s="158" t="n">
        <f aca="false">ינואר!G38+פברואר!G38+מרץ!G38+אפריל!G38+מאי!G38+יוני!G38+יולי!H38+אוגוסט!H38+ספטמבר!H38+אוקטובר!H38</f>
        <v>0</v>
      </c>
      <c r="I38" s="167" t="n">
        <f aca="false">IFERROR(H38/G38-1,"")</f>
        <v>-1</v>
      </c>
      <c r="J38" s="158" t="n">
        <f aca="false">H38-G38</f>
        <v>-248.59</v>
      </c>
      <c r="L38" s="158" t="n">
        <f aca="false">ינואר!J38+פברואר!J38+מרץ!J38+אפריל!J38+מאי!J38+יוני!J38+יולי!M38+אוגוסט!M38+ספטמבר!M38+אוקטובר!M38</f>
        <v>400000</v>
      </c>
      <c r="M38" s="167" t="n">
        <f aca="false">IFERROR(H38/L38-1,"")</f>
        <v>-1</v>
      </c>
      <c r="N38" s="158" t="n">
        <f aca="false">H38-L38</f>
        <v>-400000</v>
      </c>
      <c r="P38" s="166" t="n">
        <v>0</v>
      </c>
      <c r="Q38" s="167" t="str">
        <f aca="false">IFERROR(H38/P38,"-")</f>
        <v>-</v>
      </c>
      <c r="R38" s="166" t="n">
        <f aca="false">H38-P38</f>
        <v>0</v>
      </c>
    </row>
    <row r="39" customFormat="false" ht="13.5" hidden="false" customHeight="true" outlineLevel="0" collapsed="false">
      <c r="A39" s="169" t="n">
        <v>36</v>
      </c>
      <c r="B39" s="166"/>
      <c r="C39" s="166" t="s">
        <v>97</v>
      </c>
      <c r="D39" s="166" t="s">
        <v>97</v>
      </c>
      <c r="E39" s="26"/>
      <c r="F39" s="158" t="n">
        <f aca="false">ינואר!E39+פברואר!E39+מרץ!E39+אפריל!E39+מאי!E39+יוני!E39+יולי!F39+אוגוסט!F39+ספטמבר!F39+אוקטובר!F39</f>
        <v>0</v>
      </c>
      <c r="G39" s="158" t="n">
        <f aca="false">ינואר!F39+פברואר!F39+מרץ!F39+אפריל!F39+מאי!F39+יוני!F39+יולי!G39+אוגוסט!G39+ספטמבר!G39+אוקטובר!G39</f>
        <v>0</v>
      </c>
      <c r="H39" s="158" t="n">
        <f aca="false">ינואר!G39+פברואר!G39+מרץ!G39+אפריל!G39+מאי!G39+יוני!G39+יולי!H39+אוגוסט!H39+ספטמבר!H39+אוקטובר!H39</f>
        <v>0</v>
      </c>
      <c r="I39" s="167" t="str">
        <f aca="false">IFERROR(H39/G39-1,"")</f>
        <v/>
      </c>
      <c r="J39" s="158" t="n">
        <f aca="false">H39-G39</f>
        <v>0</v>
      </c>
      <c r="L39" s="158" t="n">
        <f aca="false">ינואר!J39+פברואר!J39+מרץ!J39+אפריל!J39+מאי!J39+יוני!J39+יולי!M39+אוגוסט!M39+ספטמבר!M39+אוקטובר!M39</f>
        <v>200000</v>
      </c>
      <c r="M39" s="167" t="n">
        <f aca="false">IFERROR(H39/L39-1,"")</f>
        <v>-1</v>
      </c>
      <c r="N39" s="158" t="n">
        <f aca="false">H39-L39</f>
        <v>-200000</v>
      </c>
      <c r="P39" s="166" t="n">
        <v>100000</v>
      </c>
      <c r="Q39" s="167" t="n">
        <f aca="false">IFERROR(H39/P39,"-")</f>
        <v>0</v>
      </c>
      <c r="R39" s="166" t="n">
        <f aca="false">H39-P39</f>
        <v>-100000</v>
      </c>
    </row>
    <row r="40" customFormat="false" ht="15" hidden="false" customHeight="true" outlineLevel="0" collapsed="false">
      <c r="A40" s="169"/>
      <c r="B40" s="173"/>
      <c r="C40" s="173" t="s">
        <v>98</v>
      </c>
      <c r="D40" s="173" t="s">
        <v>98</v>
      </c>
      <c r="E40" s="173"/>
      <c r="F40" s="173" t="n">
        <f aca="false">SUM(F20:F39)</f>
        <v>6233942.22</v>
      </c>
      <c r="G40" s="173" t="n">
        <f aca="false">SUM(G20:G39)</f>
        <v>4692163.97</v>
      </c>
      <c r="H40" s="173" t="n">
        <f aca="false">SUM(H20:H39)</f>
        <v>4050561.83</v>
      </c>
      <c r="I40" s="174" t="n">
        <f aca="false">IFERROR(H40/G40-1,"")</f>
        <v>-0.136739070523147</v>
      </c>
      <c r="J40" s="173" t="n">
        <f aca="false">SUM(J20:J39)</f>
        <v>-641602.14</v>
      </c>
      <c r="L40" s="173" t="n">
        <f aca="false">SUM(L20:L39)</f>
        <v>7794490.7529375</v>
      </c>
      <c r="M40" s="174" t="n">
        <f aca="false">IFERROR(H40/L40-1,"")</f>
        <v>-0.480330151334971</v>
      </c>
      <c r="N40" s="173" t="n">
        <f aca="false">SUM(N20:N39)</f>
        <v>-3743928.9229375</v>
      </c>
      <c r="P40" s="173" t="n">
        <f aca="false">SUM(P20:P39)</f>
        <v>5513697.44</v>
      </c>
      <c r="Q40" s="174" t="n">
        <f aca="false">IFERROR(H40/P40,"-")</f>
        <v>0.734636217180608</v>
      </c>
      <c r="R40" s="173" t="n">
        <f aca="false">E40-P40</f>
        <v>-5513697.44</v>
      </c>
    </row>
    <row r="41" customFormat="false" ht="15" hidden="false" customHeight="true" outlineLevel="0" collapsed="false">
      <c r="A41" s="169"/>
      <c r="B41" s="175"/>
      <c r="C41" s="175" t="s">
        <v>175</v>
      </c>
      <c r="D41" s="175" t="s">
        <v>175</v>
      </c>
      <c r="E41" s="175"/>
      <c r="F41" s="175" t="n">
        <f aca="false">F40+F19</f>
        <v>20558303.605</v>
      </c>
      <c r="G41" s="175" t="n">
        <f aca="false">G40+G19</f>
        <v>19557864.362</v>
      </c>
      <c r="H41" s="175" t="n">
        <f aca="false">H40+H19</f>
        <v>19243216.601</v>
      </c>
      <c r="I41" s="147" t="n">
        <f aca="false">IFERROR(H41/G41-1,"")</f>
        <v>-0.0160880429057149</v>
      </c>
      <c r="J41" s="175" t="n">
        <f aca="false">J40+J19</f>
        <v>-314647.761000006</v>
      </c>
      <c r="L41" s="175" t="n">
        <f aca="false">L40+L19</f>
        <v>32484578.6803386</v>
      </c>
      <c r="M41" s="147" t="n">
        <f aca="false">IFERROR(H41/L41-1,"")</f>
        <v>-0.407619942054319</v>
      </c>
      <c r="N41" s="175" t="n">
        <f aca="false">N40+N19</f>
        <v>-13241362.0793386</v>
      </c>
      <c r="P41" s="175" t="n">
        <f aca="false">P40+P19</f>
        <v>25052449.3341187</v>
      </c>
      <c r="Q41" s="147" t="n">
        <f aca="false">IFERROR(H41/P41,"-")</f>
        <v>0.768117174666546</v>
      </c>
      <c r="R41" s="175" t="n">
        <f aca="false">E41-P41</f>
        <v>-25052449.3341187</v>
      </c>
    </row>
    <row r="42" customFormat="false" ht="15" hidden="false" customHeight="true" outlineLevel="0" collapsed="false">
      <c r="B42" s="176"/>
      <c r="C42" s="176" t="s">
        <v>121</v>
      </c>
      <c r="D42" s="176" t="s">
        <v>121</v>
      </c>
      <c r="E42" s="223"/>
      <c r="F42" s="177" t="n">
        <f aca="false">F40/F41</f>
        <v>0.303232325963113</v>
      </c>
      <c r="G42" s="177" t="n">
        <f aca="false">G40/G41</f>
        <v>0.23991187806357</v>
      </c>
      <c r="H42" s="177" t="n">
        <f aca="false">H40/H41</f>
        <v>0.2104929707952</v>
      </c>
      <c r="I42" s="177" t="n">
        <f aca="false">IFERROR(H42/G42-1,"")</f>
        <v>-0.122623804647869</v>
      </c>
      <c r="J42" s="177"/>
      <c r="L42" s="177" t="n">
        <f aca="false">L40-ינואר!J40-פברואר!J40-מרץ!J40-אפריל!J40-מאי!J40-יוני!J40-יולי!M40-אוגוסט!M40-ספטמבר!M40-אוקטובר!M40</f>
        <v>0</v>
      </c>
      <c r="M42" s="177" t="str">
        <f aca="false">IFERROR(H42/L42-1,"")</f>
        <v/>
      </c>
      <c r="N42" s="177"/>
      <c r="P42" s="242"/>
      <c r="Q42" s="177" t="str">
        <f aca="false">IFERROR(H42/P42,"-")</f>
        <v>-</v>
      </c>
      <c r="R42" s="242"/>
    </row>
    <row r="43" customFormat="false" ht="14.25" hidden="false" customHeight="true" outlineLevel="0" collapsed="false">
      <c r="F43" s="1" t="n">
        <f aca="false">F41-ינואר!E41-פברואר!E41-מרץ!E41-אפריל!E41-מאי!E41-יוני!E41-יולי!F41-אוגוסט!F41-ספטמבר!F41-אוקטובר!F41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Q1" activeCellId="0" sqref="Q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179" width="26"/>
    <col collapsed="false" customWidth="true" hidden="false" outlineLevel="0" max="4" min="4" style="179" width="26"/>
    <col collapsed="false" customWidth="true" hidden="false" outlineLevel="0" max="5" min="5" style="179" width="12.25"/>
    <col collapsed="false" customWidth="true" hidden="false" outlineLevel="0" max="8" min="6" style="1" width="9.87"/>
    <col collapsed="false" customWidth="true" hidden="false" outlineLevel="0" max="9" min="9" style="1" width="6.88"/>
    <col collapsed="false" customWidth="true" hidden="false" outlineLevel="0" max="11" min="10" style="1" width="11.88"/>
    <col collapsed="false" customWidth="true" hidden="false" outlineLevel="0" max="13" min="13" style="1" width="10.62"/>
    <col collapsed="false" customWidth="true" hidden="false" outlineLevel="0" max="14" min="14" style="1" width="11"/>
    <col collapsed="false" customWidth="true" hidden="false" outlineLevel="0" max="15" min="15" style="1" width="10.5"/>
    <col collapsed="false" customWidth="true" hidden="false" outlineLevel="0" max="17" min="17" style="1" width="9.87"/>
    <col collapsed="false" customWidth="true" hidden="false" outlineLevel="0" max="20" min="18" style="1" width="11.88"/>
    <col collapsed="false" customWidth="true" hidden="false" outlineLevel="0" max="22" min="22" style="1" width="9.87"/>
    <col collapsed="false" customWidth="true" hidden="false" outlineLevel="0" max="23" min="23" style="1" width="10.5"/>
    <col collapsed="false" customWidth="true" hidden="false" outlineLevel="0" max="24" min="24" style="180" width="9"/>
  </cols>
  <sheetData>
    <row r="1" customFormat="false" ht="15.75" hidden="false" customHeight="true" outlineLevel="0" collapsed="false">
      <c r="B1" s="181"/>
      <c r="C1" s="181" t="s">
        <v>240</v>
      </c>
      <c r="D1" s="181" t="s">
        <v>240</v>
      </c>
      <c r="E1" s="181"/>
      <c r="F1" s="7"/>
      <c r="G1" s="7"/>
      <c r="H1" s="7"/>
      <c r="I1" s="7"/>
      <c r="J1" s="7"/>
      <c r="K1" s="7"/>
      <c r="M1" s="7"/>
      <c r="N1" s="7"/>
      <c r="O1" s="7"/>
      <c r="Q1" s="7"/>
      <c r="R1" s="7"/>
      <c r="S1" s="7"/>
      <c r="T1" s="7"/>
      <c r="V1" s="7"/>
    </row>
    <row r="2" customFormat="false" ht="15" hidden="false" customHeight="true" outlineLevel="0" collapsed="false">
      <c r="A2" s="161" t="s">
        <v>2</v>
      </c>
      <c r="B2" s="38"/>
      <c r="C2" s="38"/>
      <c r="D2" s="38"/>
      <c r="E2" s="163" t="s">
        <v>3</v>
      </c>
      <c r="F2" s="163" t="n">
        <v>11.2024</v>
      </c>
      <c r="G2" s="163" t="n">
        <v>11.2025</v>
      </c>
      <c r="H2" s="163" t="n">
        <v>11.2026</v>
      </c>
      <c r="I2" s="185" t="s">
        <v>211</v>
      </c>
      <c r="J2" s="185" t="s">
        <v>168</v>
      </c>
      <c r="K2" s="163" t="s">
        <v>169</v>
      </c>
      <c r="M2" s="163" t="s">
        <v>170</v>
      </c>
      <c r="N2" s="185" t="s">
        <v>114</v>
      </c>
      <c r="O2" s="163" t="s">
        <v>115</v>
      </c>
      <c r="Q2" s="186" t="s">
        <v>1</v>
      </c>
      <c r="R2" s="185" t="s">
        <v>214</v>
      </c>
      <c r="S2" s="185" t="s">
        <v>212</v>
      </c>
      <c r="T2" s="163" t="s">
        <v>215</v>
      </c>
      <c r="U2" s="187"/>
      <c r="V2" s="162" t="n">
        <v>11.2026</v>
      </c>
      <c r="W2" s="187"/>
    </row>
    <row r="3" customFormat="false" ht="14.25" hidden="false" customHeight="true" outlineLevel="0" collapsed="false">
      <c r="A3" s="165" t="n">
        <v>5</v>
      </c>
      <c r="B3" s="189" t="s">
        <v>143</v>
      </c>
      <c r="C3" s="189" t="s">
        <v>31</v>
      </c>
      <c r="D3" s="189" t="s">
        <v>31</v>
      </c>
      <c r="E3" s="189" t="s">
        <v>32</v>
      </c>
      <c r="F3" s="158" t="n">
        <f aca="false">VLOOKUP(B3,'2024'!$A:$O,12,0)</f>
        <v>183470.34</v>
      </c>
      <c r="G3" s="158" t="n">
        <f aca="false">VLOOKUP($B3,'2025'!$A:$O,12,0)</f>
        <v>265660.9</v>
      </c>
      <c r="H3" s="158"/>
      <c r="I3" s="190" t="str">
        <f aca="false">IFERROR(H3/$H$19,"")</f>
        <v/>
      </c>
      <c r="J3" s="190" t="n">
        <f aca="false">IFERROR(H3/G3-1,"")</f>
        <v>-1</v>
      </c>
      <c r="K3" s="158" t="n">
        <f aca="false">H3-G3</f>
        <v>-265660.9</v>
      </c>
      <c r="M3" s="158" t="n">
        <f aca="false">VLOOKUP(C3,'תקציב  '!$B:$S,14,0)*1</f>
        <v>235079.365079365</v>
      </c>
      <c r="N3" s="190" t="n">
        <f aca="false">IFERROR(H3/M3-1,"")</f>
        <v>-1</v>
      </c>
      <c r="O3" s="158" t="n">
        <f aca="false">H3-M3</f>
        <v>-235079.365079365</v>
      </c>
      <c r="Q3" s="166" t="n">
        <v>200000</v>
      </c>
      <c r="R3" s="190" t="n">
        <f aca="false">IFERROR(H3/Q3-1,"-")</f>
        <v>-1</v>
      </c>
      <c r="S3" s="190" t="n">
        <f aca="false">IFERROR(H3/Q3,"-")</f>
        <v>0</v>
      </c>
      <c r="T3" s="158" t="n">
        <f aca="false">H3-Q3</f>
        <v>-200000</v>
      </c>
      <c r="V3" s="158"/>
      <c r="W3" s="5" t="n">
        <f aca="false">H3-V3</f>
        <v>0</v>
      </c>
      <c r="X3" s="191" t="str">
        <f aca="false">IFERROR((G3/V3)-1,"-")</f>
        <v>-</v>
      </c>
    </row>
    <row r="4" customFormat="false" ht="14.25" hidden="false" customHeight="true" outlineLevel="0" collapsed="false">
      <c r="A4" s="168" t="n">
        <v>1</v>
      </c>
      <c r="B4" s="189" t="s">
        <v>33</v>
      </c>
      <c r="C4" s="189" t="s">
        <v>33</v>
      </c>
      <c r="D4" s="189" t="s">
        <v>33</v>
      </c>
      <c r="E4" s="189" t="s">
        <v>32</v>
      </c>
      <c r="F4" s="158" t="n">
        <f aca="false">VLOOKUP(C4,'2024'!$A:$O,12,0)</f>
        <v>399305.088</v>
      </c>
      <c r="G4" s="158" t="n">
        <f aca="false">VLOOKUP($B4,'2025'!$A:$O,12,0)</f>
        <v>507426.01</v>
      </c>
      <c r="H4" s="158"/>
      <c r="I4" s="190" t="str">
        <f aca="false">IFERROR(H4/$H$19,"")</f>
        <v/>
      </c>
      <c r="J4" s="190" t="n">
        <f aca="false">IFERROR(H4/G4-1,"")</f>
        <v>-1</v>
      </c>
      <c r="K4" s="158" t="n">
        <f aca="false">H4-G4</f>
        <v>-507426.01</v>
      </c>
      <c r="M4" s="158" t="n">
        <f aca="false">VLOOKUP(C4,'תקציב  '!$B:$S,14,0)*1</f>
        <v>574698.412698413</v>
      </c>
      <c r="N4" s="190" t="n">
        <f aca="false">IFERROR(H4/M4-1,"")</f>
        <v>-1</v>
      </c>
      <c r="O4" s="158" t="n">
        <f aca="false">H4-M4</f>
        <v>-574698.412698413</v>
      </c>
      <c r="Q4" s="166" t="n">
        <v>550000</v>
      </c>
      <c r="R4" s="190" t="n">
        <f aca="false">IFERROR(H4/Q4-1,"-")</f>
        <v>-1</v>
      </c>
      <c r="S4" s="190" t="n">
        <f aca="false">IFERROR(H4/Q4,"-")</f>
        <v>0</v>
      </c>
      <c r="T4" s="158" t="n">
        <f aca="false">H4-Q4</f>
        <v>-550000</v>
      </c>
      <c r="V4" s="158"/>
      <c r="W4" s="5" t="n">
        <f aca="false">H4-V4</f>
        <v>0</v>
      </c>
      <c r="X4" s="191" t="str">
        <f aca="false">IFERROR((G4/V4)-1,"-")</f>
        <v>-</v>
      </c>
    </row>
    <row r="5" customFormat="false" ht="14.25" hidden="false" customHeight="true" outlineLevel="0" collapsed="false">
      <c r="A5" s="168" t="n">
        <v>7</v>
      </c>
      <c r="B5" s="189" t="s">
        <v>34</v>
      </c>
      <c r="C5" s="189" t="s">
        <v>34</v>
      </c>
      <c r="D5" s="189" t="s">
        <v>34</v>
      </c>
      <c r="E5" s="189" t="s">
        <v>32</v>
      </c>
      <c r="F5" s="158" t="n">
        <f aca="false">VLOOKUP(C5,'2024'!$A:$O,12,0)</f>
        <v>78931.671</v>
      </c>
      <c r="G5" s="158" t="n">
        <f aca="false">VLOOKUP($B5,'2025'!$A:$O,12,0)</f>
        <v>85930.39</v>
      </c>
      <c r="H5" s="158"/>
      <c r="I5" s="190" t="str">
        <f aca="false">IFERROR(H5/$H$19,"")</f>
        <v/>
      </c>
      <c r="J5" s="190" t="n">
        <f aca="false">IFERROR(H5/G5-1,"")</f>
        <v>-1</v>
      </c>
      <c r="K5" s="158" t="n">
        <f aca="false">H5-G5</f>
        <v>-85930.39</v>
      </c>
      <c r="M5" s="158" t="n">
        <f aca="false">VLOOKUP(C5,'תקציב  '!$B:$S,14,0)*1</f>
        <v>78571.4285714286</v>
      </c>
      <c r="N5" s="190" t="n">
        <f aca="false">IFERROR(H5/M5-1,"")</f>
        <v>-1</v>
      </c>
      <c r="O5" s="158" t="n">
        <f aca="false">H5-M5</f>
        <v>-78571.4285714286</v>
      </c>
      <c r="Q5" s="166" t="n">
        <v>100000</v>
      </c>
      <c r="R5" s="190" t="n">
        <f aca="false">IFERROR(H5/Q5-1,"-")</f>
        <v>-1</v>
      </c>
      <c r="S5" s="190" t="n">
        <f aca="false">IFERROR(H5/Q5,"-")</f>
        <v>0</v>
      </c>
      <c r="T5" s="158" t="n">
        <f aca="false">H5-Q5</f>
        <v>-100000</v>
      </c>
      <c r="V5" s="158"/>
      <c r="W5" s="5" t="n">
        <f aca="false">H5-V5</f>
        <v>0</v>
      </c>
      <c r="X5" s="191" t="str">
        <f aca="false">IFERROR((G5/V5)-1,"-")</f>
        <v>-</v>
      </c>
    </row>
    <row r="6" customFormat="false" ht="14.25" hidden="false" customHeight="true" outlineLevel="0" collapsed="false">
      <c r="A6" s="168" t="n">
        <v>4</v>
      </c>
      <c r="B6" s="189" t="s">
        <v>35</v>
      </c>
      <c r="C6" s="189" t="s">
        <v>35</v>
      </c>
      <c r="D6" s="189" t="s">
        <v>35</v>
      </c>
      <c r="E6" s="189" t="s">
        <v>32</v>
      </c>
      <c r="F6" s="158" t="n">
        <f aca="false">VLOOKUP(C6,'2024'!$A:$O,12,0)</f>
        <v>144720.944</v>
      </c>
      <c r="G6" s="158" t="n">
        <f aca="false">VLOOKUP($B6,'2025'!$A:$O,12,0)</f>
        <v>167763.05</v>
      </c>
      <c r="H6" s="158"/>
      <c r="I6" s="190" t="str">
        <f aca="false">IFERROR(H6/$H$19,"")</f>
        <v/>
      </c>
      <c r="J6" s="190" t="n">
        <f aca="false">IFERROR(H6/G6-1,"")</f>
        <v>-1</v>
      </c>
      <c r="K6" s="158" t="n">
        <f aca="false">H6-G6</f>
        <v>-167763.05</v>
      </c>
      <c r="M6" s="158" t="n">
        <f aca="false">VLOOKUP(B6,'תקציב  '!$B:$S,14,0)*1</f>
        <v>170873.015873016</v>
      </c>
      <c r="N6" s="190" t="n">
        <f aca="false">IFERROR(H6/M6-1,"")</f>
        <v>-1</v>
      </c>
      <c r="O6" s="158" t="n">
        <f aca="false">H6-M6</f>
        <v>-170873.015873016</v>
      </c>
      <c r="Q6" s="166" t="n">
        <v>200000</v>
      </c>
      <c r="R6" s="190" t="n">
        <f aca="false">IFERROR(H6/Q6-1,"-")</f>
        <v>-1</v>
      </c>
      <c r="S6" s="190" t="n">
        <f aca="false">IFERROR(H6/Q6,"-")</f>
        <v>0</v>
      </c>
      <c r="T6" s="158" t="n">
        <f aca="false">H6-Q6</f>
        <v>-200000</v>
      </c>
      <c r="V6" s="158"/>
      <c r="W6" s="5" t="n">
        <f aca="false">H6-V6</f>
        <v>0</v>
      </c>
      <c r="X6" s="191" t="str">
        <f aca="false">IFERROR((G6/V6)-1,"-")</f>
        <v>-</v>
      </c>
    </row>
    <row r="7" customFormat="false" ht="14.25" hidden="false" customHeight="true" outlineLevel="0" collapsed="false">
      <c r="A7" s="168" t="n">
        <v>3</v>
      </c>
      <c r="B7" s="189" t="s">
        <v>148</v>
      </c>
      <c r="C7" s="189" t="s">
        <v>36</v>
      </c>
      <c r="D7" s="189" t="s">
        <v>36</v>
      </c>
      <c r="E7" s="189" t="s">
        <v>32</v>
      </c>
      <c r="F7" s="158" t="n">
        <f aca="false">VLOOKUP(B7,'2024'!$A:$O,12,0)</f>
        <v>319604.5</v>
      </c>
      <c r="G7" s="158" t="n">
        <f aca="false">VLOOKUP($B7,'2025'!$A:$O,12,0)</f>
        <v>308121.37</v>
      </c>
      <c r="H7" s="158"/>
      <c r="I7" s="190" t="str">
        <f aca="false">IFERROR(H7/$H$19,"")</f>
        <v/>
      </c>
      <c r="J7" s="190" t="n">
        <f aca="false">IFERROR(H7/G7-1,"")</f>
        <v>-1</v>
      </c>
      <c r="K7" s="158" t="n">
        <f aca="false">H7-G7</f>
        <v>-308121.37</v>
      </c>
      <c r="M7" s="158" t="n">
        <f aca="false">VLOOKUP(C7,'תקציב  '!$B:$S,14,0)*1</f>
        <v>365000</v>
      </c>
      <c r="N7" s="190" t="n">
        <f aca="false">IFERROR(H7/M7-1,"")</f>
        <v>-1</v>
      </c>
      <c r="O7" s="158" t="n">
        <f aca="false">H7-M7</f>
        <v>-365000</v>
      </c>
      <c r="Q7" s="166" t="n">
        <v>330000</v>
      </c>
      <c r="R7" s="190" t="n">
        <f aca="false">IFERROR(H7/Q7-1,"-")</f>
        <v>-1</v>
      </c>
      <c r="S7" s="190" t="n">
        <f aca="false">IFERROR(H7/Q7,"-")</f>
        <v>0</v>
      </c>
      <c r="T7" s="158" t="n">
        <f aca="false">H7-Q7</f>
        <v>-330000</v>
      </c>
      <c r="V7" s="158"/>
      <c r="W7" s="5" t="n">
        <f aca="false">H7-V7</f>
        <v>0</v>
      </c>
      <c r="X7" s="191" t="str">
        <f aca="false">IFERROR((G7/V7)-1,"-")</f>
        <v>-</v>
      </c>
    </row>
    <row r="8" customFormat="false" ht="14.25" hidden="false" customHeight="true" outlineLevel="0" collapsed="false">
      <c r="A8" s="168" t="n">
        <v>8</v>
      </c>
      <c r="B8" s="189" t="s">
        <v>147</v>
      </c>
      <c r="C8" s="189" t="s">
        <v>37</v>
      </c>
      <c r="D8" s="189" t="s">
        <v>37</v>
      </c>
      <c r="E8" s="189" t="s">
        <v>32</v>
      </c>
      <c r="F8" s="158" t="n">
        <f aca="false">VLOOKUP(B8,'2024'!$A:$O,12,0)</f>
        <v>57000.57</v>
      </c>
      <c r="G8" s="158" t="n">
        <f aca="false">VLOOKUP($B8,'2025'!$A:$O,12,0)</f>
        <v>68004.57</v>
      </c>
      <c r="H8" s="158"/>
      <c r="I8" s="190" t="str">
        <f aca="false">IFERROR(H8/$H$19,"")</f>
        <v/>
      </c>
      <c r="J8" s="190" t="n">
        <f aca="false">IFERROR(H8/G8-1,"")</f>
        <v>-1</v>
      </c>
      <c r="K8" s="158" t="n">
        <f aca="false">H8-G8</f>
        <v>-68004.57</v>
      </c>
      <c r="M8" s="158" t="n">
        <f aca="false">VLOOKUP(C8,'תקציב  '!$B:$S,14,0)*1</f>
        <v>107301.587301587</v>
      </c>
      <c r="N8" s="190" t="n">
        <f aca="false">IFERROR(H8/M8-1,"")</f>
        <v>-1</v>
      </c>
      <c r="O8" s="158" t="n">
        <f aca="false">H8-M8</f>
        <v>-107301.587301587</v>
      </c>
      <c r="Q8" s="166" t="n">
        <v>100000</v>
      </c>
      <c r="R8" s="190" t="n">
        <f aca="false">IFERROR(H8/Q8-1,"-")</f>
        <v>-1</v>
      </c>
      <c r="S8" s="190" t="n">
        <f aca="false">IFERROR(H8/Q8,"-")</f>
        <v>0</v>
      </c>
      <c r="T8" s="158" t="n">
        <f aca="false">H8-Q8</f>
        <v>-100000</v>
      </c>
      <c r="V8" s="158"/>
      <c r="W8" s="5" t="n">
        <f aca="false">H8-V8</f>
        <v>0</v>
      </c>
      <c r="X8" s="191" t="str">
        <f aca="false">IFERROR((G8/V8)-1,"-")</f>
        <v>-</v>
      </c>
    </row>
    <row r="9" customFormat="false" ht="14.25" hidden="false" customHeight="true" outlineLevel="0" collapsed="false">
      <c r="A9" s="168" t="n">
        <v>6</v>
      </c>
      <c r="B9" s="189" t="s">
        <v>137</v>
      </c>
      <c r="C9" s="189" t="s">
        <v>38</v>
      </c>
      <c r="D9" s="189" t="s">
        <v>38</v>
      </c>
      <c r="E9" s="189" t="s">
        <v>32</v>
      </c>
      <c r="F9" s="158" t="n">
        <f aca="false">VLOOKUP(B9,'2024'!$A:$O,12,0)</f>
        <v>62213.38</v>
      </c>
      <c r="G9" s="158" t="n">
        <f aca="false">VLOOKUP($B9,'2025'!$A:$O,12,0)</f>
        <v>96453.83</v>
      </c>
      <c r="H9" s="158"/>
      <c r="I9" s="190" t="str">
        <f aca="false">IFERROR(H9/$H$19,"")</f>
        <v/>
      </c>
      <c r="J9" s="190" t="n">
        <f aca="false">IFERROR(H9/G9-1,"")</f>
        <v>-1</v>
      </c>
      <c r="K9" s="158" t="n">
        <f aca="false">H9-G9</f>
        <v>-96453.83</v>
      </c>
      <c r="M9" s="158" t="n">
        <f aca="false">VLOOKUP(C9,'תקציב  '!$B:$S,14,0)*1</f>
        <v>177087.301587302</v>
      </c>
      <c r="N9" s="190" t="n">
        <f aca="false">IFERROR(H9/M9-1,"")</f>
        <v>-1</v>
      </c>
      <c r="O9" s="158" t="n">
        <f aca="false">H9-M9</f>
        <v>-177087.301587302</v>
      </c>
      <c r="Q9" s="166" t="n">
        <v>100000</v>
      </c>
      <c r="R9" s="190" t="n">
        <f aca="false">IFERROR(H9/Q9-1,"-")</f>
        <v>-1</v>
      </c>
      <c r="S9" s="190" t="n">
        <f aca="false">IFERROR(H9/Q9,"-")</f>
        <v>0</v>
      </c>
      <c r="T9" s="158" t="n">
        <f aca="false">H9-Q9</f>
        <v>-100000</v>
      </c>
      <c r="V9" s="158"/>
      <c r="W9" s="5" t="n">
        <f aca="false">H9-V9</f>
        <v>0</v>
      </c>
      <c r="X9" s="191" t="str">
        <f aca="false">IFERROR((G9/V9)-1,"-")</f>
        <v>-</v>
      </c>
    </row>
    <row r="10" customFormat="false" ht="14.25" hidden="false" customHeight="true" outlineLevel="0" collapsed="false">
      <c r="A10" s="169" t="n">
        <v>10</v>
      </c>
      <c r="B10" s="193" t="s">
        <v>138</v>
      </c>
      <c r="C10" s="193" t="s">
        <v>39</v>
      </c>
      <c r="D10" s="193" t="s">
        <v>39</v>
      </c>
      <c r="E10" s="193" t="s">
        <v>32</v>
      </c>
      <c r="F10" s="158" t="n">
        <f aca="false">VLOOKUP(B10,'2024'!$A:$O,12,0)</f>
        <v>10956.17</v>
      </c>
      <c r="G10" s="158" t="n">
        <f aca="false">VLOOKUP($B10,'2025'!$A:$O,12,0)</f>
        <v>28016.53</v>
      </c>
      <c r="H10" s="158"/>
      <c r="I10" s="190" t="str">
        <f aca="false">IFERROR(H10/$H$19,"")</f>
        <v/>
      </c>
      <c r="J10" s="190" t="n">
        <f aca="false">IFERROR(H10/G10-1,"")</f>
        <v>-1</v>
      </c>
      <c r="K10" s="158" t="n">
        <f aca="false">H10-G10</f>
        <v>-28016.53</v>
      </c>
      <c r="M10" s="158" t="n">
        <f aca="false">VLOOKUP(C10,'תקציב  '!$B:$S,14,0)*1</f>
        <v>16587.3015873016</v>
      </c>
      <c r="N10" s="190" t="n">
        <f aca="false">IFERROR(H10/M10-1,"")</f>
        <v>-1</v>
      </c>
      <c r="O10" s="158" t="n">
        <f aca="false">H10-M10</f>
        <v>-16587.3015873016</v>
      </c>
      <c r="Q10" s="166" t="n">
        <v>15000</v>
      </c>
      <c r="R10" s="190" t="n">
        <f aca="false">IFERROR(H10/Q10-1,"-")</f>
        <v>-1</v>
      </c>
      <c r="S10" s="190" t="n">
        <f aca="false">IFERROR(H10/Q10,"-")</f>
        <v>0</v>
      </c>
      <c r="T10" s="158" t="n">
        <f aca="false">H10-Q10</f>
        <v>-15000</v>
      </c>
      <c r="V10" s="158"/>
      <c r="W10" s="5" t="n">
        <f aca="false">H10-V10</f>
        <v>0</v>
      </c>
      <c r="X10" s="191" t="str">
        <f aca="false">IFERROR((G10/V10)-1,"-")</f>
        <v>-</v>
      </c>
    </row>
    <row r="11" customFormat="false" ht="14.25" hidden="false" customHeight="true" outlineLevel="0" collapsed="false">
      <c r="A11" s="168" t="n">
        <v>11</v>
      </c>
      <c r="B11" s="189" t="s">
        <v>141</v>
      </c>
      <c r="C11" s="189" t="s">
        <v>40</v>
      </c>
      <c r="D11" s="189" t="s">
        <v>40</v>
      </c>
      <c r="E11" s="189" t="s">
        <v>32</v>
      </c>
      <c r="F11" s="158" t="n">
        <f aca="false">VLOOKUP(B11,'2024'!$A:$O,12,0)</f>
        <v>30231.73</v>
      </c>
      <c r="G11" s="158" t="n">
        <f aca="false">VLOOKUP($B11,'2025'!$A:$O,12,0)</f>
        <v>1902.07</v>
      </c>
      <c r="H11" s="158"/>
      <c r="I11" s="190" t="str">
        <f aca="false">IFERROR(H11/$H$19,"")</f>
        <v/>
      </c>
      <c r="J11" s="190" t="n">
        <f aca="false">IFERROR(H11/G11-1,"")</f>
        <v>-1</v>
      </c>
      <c r="K11" s="158" t="n">
        <f aca="false">H11-G11</f>
        <v>-1902.07</v>
      </c>
      <c r="M11" s="158" t="n">
        <f aca="false">VLOOKUP(C11,'תקציב  '!$B:$S,14,0)*1</f>
        <v>8730.15873015873</v>
      </c>
      <c r="N11" s="190" t="n">
        <f aca="false">IFERROR(H11/M11-1,"")</f>
        <v>-1</v>
      </c>
      <c r="O11" s="158" t="n">
        <f aca="false">H11-M11</f>
        <v>-8730.15873015873</v>
      </c>
      <c r="Q11" s="166" t="n">
        <v>10000</v>
      </c>
      <c r="R11" s="190" t="n">
        <f aca="false">IFERROR(H11/Q11-1,"-")</f>
        <v>-1</v>
      </c>
      <c r="S11" s="190" t="n">
        <f aca="false">IFERROR(H11/Q11,"-")</f>
        <v>0</v>
      </c>
      <c r="T11" s="158" t="n">
        <f aca="false">H11-Q11</f>
        <v>-10000</v>
      </c>
      <c r="V11" s="158"/>
      <c r="W11" s="5" t="n">
        <f aca="false">H11-V11</f>
        <v>0</v>
      </c>
      <c r="X11" s="191" t="str">
        <f aca="false">IFERROR((G11/V11)-1,"-")</f>
        <v>-</v>
      </c>
    </row>
    <row r="12" customFormat="false" ht="14.25" hidden="false" customHeight="true" outlineLevel="0" collapsed="false">
      <c r="A12" s="168" t="n">
        <v>14</v>
      </c>
      <c r="B12" s="189" t="s">
        <v>142</v>
      </c>
      <c r="C12" s="189" t="s">
        <v>41</v>
      </c>
      <c r="D12" s="189" t="s">
        <v>41</v>
      </c>
      <c r="E12" s="189" t="s">
        <v>32</v>
      </c>
      <c r="F12" s="158" t="n">
        <f aca="false">VLOOKUP(B12,'2024'!$A:$O,12,0)</f>
        <v>0</v>
      </c>
      <c r="G12" s="158" t="n">
        <f aca="false">VLOOKUP($B12,'2025'!$A:$O,12,0)</f>
        <v>498.8</v>
      </c>
      <c r="H12" s="158"/>
      <c r="I12" s="190" t="str">
        <f aca="false">IFERROR(H12/$H$19,"")</f>
        <v/>
      </c>
      <c r="J12" s="190" t="n">
        <f aca="false">IFERROR(H12/G12-1,"")</f>
        <v>-1</v>
      </c>
      <c r="K12" s="158" t="n">
        <f aca="false">H12-G12</f>
        <v>-498.8</v>
      </c>
      <c r="M12" s="158" t="n">
        <f aca="false">VLOOKUP(C12,'תקציב  '!$B:$S,14,0)*1</f>
        <v>0</v>
      </c>
      <c r="N12" s="190" t="str">
        <f aca="false">IFERROR(H12/M12-1,"")</f>
        <v/>
      </c>
      <c r="O12" s="158" t="n">
        <f aca="false">H12-M12</f>
        <v>0</v>
      </c>
      <c r="Q12" s="166" t="n">
        <v>5000</v>
      </c>
      <c r="R12" s="190" t="n">
        <f aca="false">IFERROR(H12/Q12-1,"-")</f>
        <v>-1</v>
      </c>
      <c r="S12" s="190" t="n">
        <f aca="false">IFERROR(H12/Q12,"-")</f>
        <v>0</v>
      </c>
      <c r="T12" s="158" t="n">
        <f aca="false">H12-Q12</f>
        <v>-5000</v>
      </c>
      <c r="V12" s="158"/>
      <c r="W12" s="5" t="n">
        <f aca="false">H12-V12</f>
        <v>0</v>
      </c>
      <c r="X12" s="191" t="str">
        <f aca="false">IFERROR((G12/V12)-1,"-")</f>
        <v>-</v>
      </c>
    </row>
    <row r="13" customFormat="false" ht="14.25" hidden="false" customHeight="true" outlineLevel="0" collapsed="false">
      <c r="A13" s="168" t="n">
        <v>15</v>
      </c>
      <c r="B13" s="189" t="s">
        <v>139</v>
      </c>
      <c r="C13" s="189" t="s">
        <v>47</v>
      </c>
      <c r="D13" s="189" t="s">
        <v>47</v>
      </c>
      <c r="E13" s="189" t="s">
        <v>32</v>
      </c>
      <c r="F13" s="158" t="n">
        <f aca="false">VLOOKUP(B13,'2024'!$A:$O,12,0)</f>
        <v>0</v>
      </c>
      <c r="G13" s="158" t="n">
        <f aca="false">VLOOKUP($B13,'2025'!$A:$O,12,0)</f>
        <v>0</v>
      </c>
      <c r="H13" s="158"/>
      <c r="I13" s="190" t="str">
        <f aca="false">IFERROR(H13/$H$19,"")</f>
        <v/>
      </c>
      <c r="J13" s="190" t="str">
        <f aca="false">IFERROR(H13/G13-1,"")</f>
        <v/>
      </c>
      <c r="K13" s="158" t="n">
        <f aca="false">H13-G13</f>
        <v>0</v>
      </c>
      <c r="M13" s="158" t="n">
        <f aca="false">VLOOKUP(C13,'תקציב  '!$B:$S,14,0)*1</f>
        <v>12500</v>
      </c>
      <c r="N13" s="190" t="n">
        <f aca="false">IFERROR(H13/M13-1,"")</f>
        <v>-1</v>
      </c>
      <c r="O13" s="158" t="n">
        <f aca="false">H13-M13</f>
        <v>-12500</v>
      </c>
      <c r="Q13" s="166" t="n">
        <v>5000</v>
      </c>
      <c r="R13" s="190" t="n">
        <f aca="false">IFERROR(H13/Q13-1,"-")</f>
        <v>-1</v>
      </c>
      <c r="S13" s="190" t="n">
        <f aca="false">IFERROR(H13/Q13,"-")</f>
        <v>0</v>
      </c>
      <c r="T13" s="158" t="n">
        <f aca="false">H13-Q13</f>
        <v>-5000</v>
      </c>
      <c r="V13" s="158"/>
      <c r="W13" s="5" t="n">
        <f aca="false">H13-V13</f>
        <v>0</v>
      </c>
      <c r="X13" s="191" t="str">
        <f aca="false">IFERROR((G13/V13)-1,"-")</f>
        <v>-</v>
      </c>
    </row>
    <row r="14" customFormat="false" ht="14.25" hidden="false" customHeight="true" outlineLevel="0" collapsed="false">
      <c r="A14" s="168" t="n">
        <v>13</v>
      </c>
      <c r="B14" s="189" t="s">
        <v>145</v>
      </c>
      <c r="C14" s="189" t="s">
        <v>43</v>
      </c>
      <c r="D14" s="189" t="s">
        <v>43</v>
      </c>
      <c r="E14" s="189" t="s">
        <v>32</v>
      </c>
      <c r="F14" s="158" t="n">
        <f aca="false">VLOOKUP(B14,'2024'!$A:$O,12,0)</f>
        <v>695.57</v>
      </c>
      <c r="G14" s="158" t="n">
        <f aca="false">VLOOKUP($B14,'2025'!$A:$O,12,0)</f>
        <v>0</v>
      </c>
      <c r="H14" s="158"/>
      <c r="I14" s="190" t="str">
        <f aca="false">IFERROR(H14/$H$19,"")</f>
        <v/>
      </c>
      <c r="J14" s="190" t="str">
        <f aca="false">IFERROR(H14/G14-1,"")</f>
        <v/>
      </c>
      <c r="K14" s="158" t="n">
        <f aca="false">H14-G14</f>
        <v>0</v>
      </c>
      <c r="M14" s="158" t="n">
        <f aca="false">VLOOKUP(C14,'תקציב  '!$B:$S,14,0)*1</f>
        <v>50000</v>
      </c>
      <c r="N14" s="190" t="n">
        <f aca="false">IFERROR(H14/M14-1,"")</f>
        <v>-1</v>
      </c>
      <c r="O14" s="158" t="n">
        <f aca="false">H14-M14</f>
        <v>-50000</v>
      </c>
      <c r="Q14" s="166" t="n">
        <v>5000</v>
      </c>
      <c r="R14" s="190" t="n">
        <f aca="false">IFERROR(H14/Q14-1,"-")</f>
        <v>-1</v>
      </c>
      <c r="S14" s="190" t="n">
        <f aca="false">IFERROR(H14/Q14,"-")</f>
        <v>0</v>
      </c>
      <c r="T14" s="158" t="n">
        <f aca="false">H14-Q14</f>
        <v>-5000</v>
      </c>
      <c r="V14" s="158"/>
      <c r="W14" s="5" t="n">
        <f aca="false">H14-V14</f>
        <v>0</v>
      </c>
      <c r="X14" s="191" t="str">
        <f aca="false">IFERROR((G14/V14)-1,"-")</f>
        <v>-</v>
      </c>
    </row>
    <row r="15" customFormat="false" ht="14.25" hidden="false" customHeight="true" outlineLevel="0" collapsed="false">
      <c r="A15" s="168" t="n">
        <v>9</v>
      </c>
      <c r="B15" s="189" t="s">
        <v>140</v>
      </c>
      <c r="C15" s="189" t="s">
        <v>44</v>
      </c>
      <c r="D15" s="189" t="s">
        <v>44</v>
      </c>
      <c r="E15" s="189" t="s">
        <v>32</v>
      </c>
      <c r="F15" s="158" t="n">
        <f aca="false">VLOOKUP(B15,'2024'!$A:$O,12,0)</f>
        <v>5017.43</v>
      </c>
      <c r="G15" s="158" t="n">
        <f aca="false">VLOOKUP($B15,'2025'!$A:$O,12,0)</f>
        <v>12930.62</v>
      </c>
      <c r="H15" s="158"/>
      <c r="I15" s="190" t="str">
        <f aca="false">IFERROR(H15/$H$19,"")</f>
        <v/>
      </c>
      <c r="J15" s="190" t="n">
        <f aca="false">IFERROR(H15/G15-1,"")</f>
        <v>-1</v>
      </c>
      <c r="K15" s="158" t="n">
        <f aca="false">H15-G15</f>
        <v>-12930.62</v>
      </c>
      <c r="M15" s="158" t="n">
        <f aca="false">VLOOKUP(C15,'תקציב  '!$B:$S,14,0)*1</f>
        <v>17460.3174603175</v>
      </c>
      <c r="N15" s="190" t="n">
        <f aca="false">IFERROR(H15/M15-1,"")</f>
        <v>-1</v>
      </c>
      <c r="O15" s="158" t="n">
        <f aca="false">H15-M15</f>
        <v>-17460.3174603175</v>
      </c>
      <c r="Q15" s="166" t="n">
        <v>25000</v>
      </c>
      <c r="R15" s="190" t="n">
        <f aca="false">IFERROR(H15/Q15-1,"-")</f>
        <v>-1</v>
      </c>
      <c r="S15" s="190" t="n">
        <f aca="false">IFERROR(H15/Q15,"-")</f>
        <v>0</v>
      </c>
      <c r="T15" s="158" t="n">
        <f aca="false">H15-Q15</f>
        <v>-25000</v>
      </c>
      <c r="V15" s="158"/>
      <c r="W15" s="5" t="n">
        <f aca="false">H15-V15</f>
        <v>0</v>
      </c>
      <c r="X15" s="191" t="str">
        <f aca="false">IFERROR((G15/V15)-1,"-")</f>
        <v>-</v>
      </c>
    </row>
    <row r="16" customFormat="false" ht="15" hidden="false" customHeight="true" outlineLevel="0" collapsed="false">
      <c r="A16" s="170"/>
      <c r="B16" s="195"/>
      <c r="C16" s="195" t="s">
        <v>119</v>
      </c>
      <c r="D16" s="195" t="s">
        <v>119</v>
      </c>
      <c r="E16" s="195"/>
      <c r="F16" s="171" t="n">
        <f aca="false">SUM(F3:F15)+F50</f>
        <v>1292147.393</v>
      </c>
      <c r="G16" s="171" t="n">
        <f aca="false">SUM(G3:G15)+G50</f>
        <v>1542708.14</v>
      </c>
      <c r="H16" s="171" t="n">
        <f aca="false">SUM(H3:H15)+H50</f>
        <v>0</v>
      </c>
      <c r="I16" s="197" t="str">
        <f aca="false">IFERROR(H16/$H$19,"")</f>
        <v/>
      </c>
      <c r="J16" s="197" t="n">
        <f aca="false">IFERROR(H16/G16-1,"")</f>
        <v>-1</v>
      </c>
      <c r="K16" s="171" t="n">
        <f aca="false">SUM(K3:K15)+K50</f>
        <v>-1542708.14</v>
      </c>
      <c r="M16" s="171" t="n">
        <f aca="false">SUM(M3:M15)+M50</f>
        <v>1813888.88888889</v>
      </c>
      <c r="N16" s="197" t="n">
        <f aca="false">IFERROR(H16/M16-1,"")</f>
        <v>-1</v>
      </c>
      <c r="O16" s="171" t="n">
        <f aca="false">SUM(O3:O15)+O50</f>
        <v>-1813888.88888889</v>
      </c>
      <c r="Q16" s="171" t="n">
        <f aca="false">SUM(Q3:Q15)+Q50</f>
        <v>1645000</v>
      </c>
      <c r="R16" s="197" t="n">
        <f aca="false">IFERROR(H16/Q16-1,"-")</f>
        <v>-1</v>
      </c>
      <c r="S16" s="197" t="n">
        <f aca="false">IFERROR(H16/Q16,"-")</f>
        <v>0</v>
      </c>
      <c r="T16" s="171" t="n">
        <f aca="false">H16-Q16</f>
        <v>-1645000</v>
      </c>
      <c r="U16" s="198"/>
      <c r="V16" s="171"/>
      <c r="W16" s="199" t="n">
        <f aca="false">H16-V16</f>
        <v>0</v>
      </c>
      <c r="X16" s="200" t="str">
        <f aca="false">IFERROR((G16/V16)-1,"-")</f>
        <v>-</v>
      </c>
    </row>
    <row r="17" customFormat="false" ht="14.25" hidden="false" customHeight="true" outlineLevel="0" collapsed="false">
      <c r="A17" s="168" t="n">
        <v>2</v>
      </c>
      <c r="B17" s="189" t="s">
        <v>149</v>
      </c>
      <c r="C17" s="189" t="s">
        <v>45</v>
      </c>
      <c r="D17" s="189" t="s">
        <v>45</v>
      </c>
      <c r="E17" s="189" t="s">
        <v>32</v>
      </c>
      <c r="F17" s="158" t="n">
        <f aca="false">VLOOKUP(B17,'2024'!$A:$O,12,0)</f>
        <v>87038.7499999997</v>
      </c>
      <c r="G17" s="158" t="n">
        <f aca="false">VLOOKUP($B17,'2025'!$A:$O,12,0)</f>
        <v>249690.080000002</v>
      </c>
      <c r="H17" s="158"/>
      <c r="I17" s="190" t="str">
        <f aca="false">IFERROR(H17/$H$19,"")</f>
        <v/>
      </c>
      <c r="J17" s="190" t="n">
        <f aca="false">IFERROR(H17/G17-1,"")</f>
        <v>-1</v>
      </c>
      <c r="K17" s="158" t="n">
        <f aca="false">H17-G17</f>
        <v>-249690.080000002</v>
      </c>
      <c r="M17" s="158" t="n">
        <f aca="false">VLOOKUP(C17,'תקציב  '!$B:$S,14,0)*1</f>
        <v>1684810.16949153</v>
      </c>
      <c r="N17" s="190" t="n">
        <f aca="false">IFERROR(H17/M17-1,"")</f>
        <v>-1</v>
      </c>
      <c r="O17" s="158" t="n">
        <f aca="false">H17-M17</f>
        <v>-1684810.16949153</v>
      </c>
      <c r="Q17" s="166" t="n">
        <v>1012800</v>
      </c>
      <c r="R17" s="190" t="n">
        <f aca="false">IFERROR(H17/Q17-1,"-")</f>
        <v>-1</v>
      </c>
      <c r="S17" s="190" t="n">
        <f aca="false">IFERROR(H17/Q17,"-")</f>
        <v>0</v>
      </c>
      <c r="T17" s="158" t="n">
        <f aca="false">H17-Q17</f>
        <v>-1012800</v>
      </c>
      <c r="V17" s="158"/>
      <c r="W17" s="5" t="n">
        <f aca="false">H17-V17</f>
        <v>0</v>
      </c>
      <c r="X17" s="191" t="str">
        <f aca="false">IFERROR((G17/V17)-1,"-")</f>
        <v>-</v>
      </c>
    </row>
    <row r="18" customFormat="false" ht="14.25" hidden="false" customHeight="true" outlineLevel="0" collapsed="false">
      <c r="A18" s="168" t="n">
        <v>12</v>
      </c>
      <c r="B18" s="189" t="s">
        <v>150</v>
      </c>
      <c r="C18" s="189" t="s">
        <v>46</v>
      </c>
      <c r="D18" s="189" t="s">
        <v>46</v>
      </c>
      <c r="E18" s="189" t="s">
        <v>32</v>
      </c>
      <c r="F18" s="158" t="n">
        <f aca="false">VLOOKUP(B18,'2024'!$A:$O,12,0)</f>
        <v>3533.44</v>
      </c>
      <c r="G18" s="158" t="n">
        <f aca="false">VLOOKUP($B18,'2025'!$A:$O,12,0)</f>
        <v>1058.88</v>
      </c>
      <c r="H18" s="158"/>
      <c r="I18" s="190" t="str">
        <f aca="false">IFERROR(H18/$H$19,"")</f>
        <v/>
      </c>
      <c r="J18" s="190" t="n">
        <f aca="false">IFERROR(H18/G18-1,"")</f>
        <v>-1</v>
      </c>
      <c r="K18" s="158" t="n">
        <f aca="false">H18-G18</f>
        <v>-1058.88</v>
      </c>
      <c r="M18" s="158" t="n">
        <f aca="false">VLOOKUP(C18,'תקציב  '!$B:$S,14,0)*1</f>
        <v>2536.92833333333</v>
      </c>
      <c r="N18" s="190" t="n">
        <f aca="false">IFERROR(H18/M18-1,"")</f>
        <v>-1</v>
      </c>
      <c r="O18" s="158" t="n">
        <f aca="false">H18-M18</f>
        <v>-2536.92833333333</v>
      </c>
      <c r="Q18" s="166" t="n">
        <v>5000</v>
      </c>
      <c r="R18" s="190" t="n">
        <f aca="false">IFERROR(H18/Q18-1,"-")</f>
        <v>-1</v>
      </c>
      <c r="S18" s="190" t="n">
        <f aca="false">IFERROR(H18/Q18,"-")</f>
        <v>0</v>
      </c>
      <c r="T18" s="158" t="n">
        <f aca="false">H18-Q18</f>
        <v>-5000</v>
      </c>
      <c r="V18" s="158"/>
      <c r="W18" s="5" t="n">
        <f aca="false">H18-V18</f>
        <v>0</v>
      </c>
      <c r="X18" s="191" t="str">
        <f aca="false">IFERROR((G18/V18)-1,"-")</f>
        <v>-</v>
      </c>
    </row>
    <row r="19" customFormat="false" ht="15" hidden="false" customHeight="true" outlineLevel="0" collapsed="false">
      <c r="A19" s="169"/>
      <c r="B19" s="202"/>
      <c r="C19" s="202" t="s">
        <v>48</v>
      </c>
      <c r="D19" s="202" t="s">
        <v>48</v>
      </c>
      <c r="E19" s="202"/>
      <c r="F19" s="171" t="n">
        <f aca="false">F16+F17+F18</f>
        <v>1382719.583</v>
      </c>
      <c r="G19" s="171" t="n">
        <f aca="false">G16+G17+G18</f>
        <v>1793457.1</v>
      </c>
      <c r="H19" s="171" t="n">
        <f aca="false">H16+H17+H18</f>
        <v>0</v>
      </c>
      <c r="I19" s="197" t="str">
        <f aca="false">IFERROR(H19/$H$19,"")</f>
        <v/>
      </c>
      <c r="J19" s="197" t="n">
        <f aca="false">IFERROR(H19/G19-1,"")</f>
        <v>-1</v>
      </c>
      <c r="K19" s="171" t="n">
        <f aca="false">K16+K17+K18</f>
        <v>-1793457.1</v>
      </c>
      <c r="M19" s="171" t="n">
        <f aca="false">M16+M17+M18</f>
        <v>3501235.98671375</v>
      </c>
      <c r="N19" s="197" t="n">
        <f aca="false">IFERROR(H19/M19-1,"")</f>
        <v>-1</v>
      </c>
      <c r="O19" s="171" t="n">
        <f aca="false">O16+O17+O18</f>
        <v>-3501235.98671375</v>
      </c>
      <c r="Q19" s="171" t="n">
        <f aca="false">Q16+Q17+Q18</f>
        <v>2662800</v>
      </c>
      <c r="R19" s="197" t="n">
        <f aca="false">IFERROR(H19/Q19-1,"-")</f>
        <v>-1</v>
      </c>
      <c r="S19" s="197" t="n">
        <f aca="false">IFERROR(H19/Q19,"-")</f>
        <v>0</v>
      </c>
      <c r="T19" s="171" t="n">
        <f aca="false">H19-Q19</f>
        <v>-2662800</v>
      </c>
      <c r="U19" s="198"/>
      <c r="V19" s="171"/>
      <c r="W19" s="199" t="n">
        <f aca="false">H19-V19</f>
        <v>0</v>
      </c>
      <c r="X19" s="200" t="str">
        <f aca="false">IFERROR((G19/V19)-1,"-")</f>
        <v>-</v>
      </c>
    </row>
    <row r="20" customFormat="false" ht="14.25" hidden="false" customHeight="true" outlineLevel="0" collapsed="false">
      <c r="A20" s="169" t="n">
        <v>50</v>
      </c>
      <c r="B20" s="193" t="s">
        <v>155</v>
      </c>
      <c r="C20" s="193" t="s">
        <v>49</v>
      </c>
      <c r="D20" s="193" t="s">
        <v>50</v>
      </c>
      <c r="E20" s="193" t="s">
        <v>51</v>
      </c>
      <c r="F20" s="158" t="n">
        <f aca="false">VLOOKUP(B20,'2024'!$A:$O,12,0)</f>
        <v>169336.07</v>
      </c>
      <c r="G20" s="158" t="n">
        <f aca="false">VLOOKUP($B20,'2025'!$A:$O,12,0)</f>
        <v>271266.06</v>
      </c>
      <c r="H20" s="158"/>
      <c r="I20" s="190" t="str">
        <f aca="false">IFERROR(H20/$H$19,"")</f>
        <v/>
      </c>
      <c r="J20" s="190" t="n">
        <f aca="false">IFERROR(H20/G20-1,"")</f>
        <v>-1</v>
      </c>
      <c r="K20" s="158" t="n">
        <f aca="false">H20-G20</f>
        <v>-271266.06</v>
      </c>
      <c r="M20" s="158" t="n">
        <f aca="false">VLOOKUP(C20,'תקציב  '!$B:$S,14,0)*1</f>
        <v>398561.0817375</v>
      </c>
      <c r="N20" s="190" t="n">
        <f aca="false">IFERROR(H20/M20-1,"")</f>
        <v>-1</v>
      </c>
      <c r="O20" s="158" t="n">
        <f aca="false">H20-M20</f>
        <v>-398561.0817375</v>
      </c>
      <c r="Q20" s="166" t="n">
        <v>326122.5</v>
      </c>
      <c r="R20" s="190" t="n">
        <f aca="false">IFERROR(H20/Q20-1,"-")</f>
        <v>-1</v>
      </c>
      <c r="S20" s="190" t="n">
        <f aca="false">IFERROR(H20/Q20,"-")</f>
        <v>0</v>
      </c>
      <c r="T20" s="158" t="n">
        <f aca="false">H20-Q20</f>
        <v>-326122.5</v>
      </c>
      <c r="V20" s="158"/>
      <c r="W20" s="5" t="n">
        <f aca="false">H20-V20</f>
        <v>0</v>
      </c>
      <c r="X20" s="191" t="str">
        <f aca="false">IFERROR((G20/V20)-1,"-")</f>
        <v>-</v>
      </c>
    </row>
    <row r="21" customFormat="false" ht="14.25" hidden="false" customHeight="true" outlineLevel="0" collapsed="false">
      <c r="A21" s="169" t="n">
        <v>20</v>
      </c>
      <c r="B21" s="193" t="s">
        <v>151</v>
      </c>
      <c r="C21" s="193" t="s">
        <v>52</v>
      </c>
      <c r="D21" s="193" t="s">
        <v>53</v>
      </c>
      <c r="E21" s="193" t="s">
        <v>54</v>
      </c>
      <c r="F21" s="158" t="n">
        <f aca="false">VLOOKUP(B21,'2024'!$A:$O,12,0)</f>
        <v>0</v>
      </c>
      <c r="G21" s="158" t="n">
        <f aca="false">VLOOKUP($B21,'2025'!$A:$O,12,0)</f>
        <v>0</v>
      </c>
      <c r="H21" s="158"/>
      <c r="I21" s="190" t="str">
        <f aca="false">IFERROR(H21/$H$19,"")</f>
        <v/>
      </c>
      <c r="J21" s="190" t="str">
        <f aca="false">IFERROR(H21/G21-1,"")</f>
        <v/>
      </c>
      <c r="K21" s="158" t="n">
        <f aca="false">H21-G21</f>
        <v>0</v>
      </c>
      <c r="M21" s="158" t="n">
        <f aca="false">VLOOKUP(C21,'תקציב  '!$B:$S,14,0)*1</f>
        <v>0</v>
      </c>
      <c r="N21" s="190" t="str">
        <f aca="false">IFERROR(H21/M21-1,"")</f>
        <v/>
      </c>
      <c r="O21" s="158" t="n">
        <f aca="false">H21-M21</f>
        <v>0</v>
      </c>
      <c r="Q21" s="166" t="n">
        <v>0</v>
      </c>
      <c r="R21" s="190" t="str">
        <f aca="false">IFERROR(H21/Q21-1,"-")</f>
        <v>-</v>
      </c>
      <c r="S21" s="190" t="str">
        <f aca="false">IFERROR(H21/Q21,"-")</f>
        <v>-</v>
      </c>
      <c r="T21" s="158" t="n">
        <f aca="false">H21-Q21</f>
        <v>0</v>
      </c>
      <c r="V21" s="158"/>
      <c r="W21" s="5" t="n">
        <f aca="false">H21-V21</f>
        <v>0</v>
      </c>
      <c r="X21" s="191" t="str">
        <f aca="false">IFERROR((G21/V21)-1,"-")</f>
        <v>-</v>
      </c>
    </row>
    <row r="22" customFormat="false" ht="14.25" hidden="false" customHeight="true" outlineLevel="0" collapsed="false">
      <c r="A22" s="169" t="n">
        <v>21</v>
      </c>
      <c r="B22" s="193" t="s">
        <v>157</v>
      </c>
      <c r="C22" s="193" t="s">
        <v>55</v>
      </c>
      <c r="D22" s="193" t="s">
        <v>56</v>
      </c>
      <c r="E22" s="193" t="s">
        <v>57</v>
      </c>
      <c r="F22" s="158" t="n">
        <f aca="false">VLOOKUP(B22,'2024'!$A:$O,12,0)</f>
        <v>127411.06</v>
      </c>
      <c r="G22" s="158" t="n">
        <f aca="false">VLOOKUP($B22,'2025'!$A:$O,12,0)</f>
        <v>53932.22</v>
      </c>
      <c r="H22" s="158"/>
      <c r="I22" s="190" t="str">
        <f aca="false">IFERROR(H22/$H$19,"")</f>
        <v/>
      </c>
      <c r="J22" s="190" t="n">
        <f aca="false">IFERROR(H22/G22-1,"")</f>
        <v>-1</v>
      </c>
      <c r="K22" s="158" t="n">
        <f aca="false">H22-G22</f>
        <v>-53932.22</v>
      </c>
      <c r="M22" s="158" t="n">
        <f aca="false">VLOOKUP(C22,'תקציב  '!$B:$S,14,0)*1</f>
        <v>200000</v>
      </c>
      <c r="N22" s="190" t="n">
        <f aca="false">IFERROR(H22/M22-1,"")</f>
        <v>-1</v>
      </c>
      <c r="O22" s="158" t="n">
        <f aca="false">H22-M22</f>
        <v>-200000</v>
      </c>
      <c r="Q22" s="166" t="n">
        <v>220000</v>
      </c>
      <c r="R22" s="190" t="n">
        <f aca="false">IFERROR(H22/Q22-1,"-")</f>
        <v>-1</v>
      </c>
      <c r="S22" s="190" t="n">
        <f aca="false">IFERROR(H22/Q22,"-")</f>
        <v>0</v>
      </c>
      <c r="T22" s="158" t="n">
        <f aca="false">H22-Q22</f>
        <v>-220000</v>
      </c>
      <c r="V22" s="158"/>
      <c r="W22" s="5" t="n">
        <f aca="false">H22-V22</f>
        <v>0</v>
      </c>
      <c r="X22" s="191" t="str">
        <f aca="false">IFERROR((G22/V22)-1,"-")</f>
        <v>-</v>
      </c>
    </row>
    <row r="23" customFormat="false" ht="14.25" hidden="false" customHeight="true" outlineLevel="0" collapsed="false">
      <c r="A23" s="169" t="n">
        <v>22</v>
      </c>
      <c r="B23" s="193" t="s">
        <v>159</v>
      </c>
      <c r="C23" s="193" t="s">
        <v>58</v>
      </c>
      <c r="D23" s="193" t="s">
        <v>59</v>
      </c>
      <c r="E23" s="193" t="s">
        <v>60</v>
      </c>
      <c r="F23" s="158" t="n">
        <f aca="false">VLOOKUP(B23,'2024'!$A:$O,12,0)</f>
        <v>0</v>
      </c>
      <c r="G23" s="158" t="n">
        <f aca="false">VLOOKUP($B23,'2025'!$A:$O,12,0)</f>
        <v>83397.79</v>
      </c>
      <c r="H23" s="158"/>
      <c r="I23" s="190" t="str">
        <f aca="false">IFERROR(H23/$H$19,"")</f>
        <v/>
      </c>
      <c r="J23" s="190" t="n">
        <f aca="false">IFERROR(H23/G23-1,"")</f>
        <v>-1</v>
      </c>
      <c r="K23" s="158" t="n">
        <f aca="false">H23-G23</f>
        <v>-83397.79</v>
      </c>
      <c r="M23" s="158" t="n">
        <f aca="false">VLOOKUP(C23,'תקציב  '!$B:$S,14,0)*1</f>
        <v>82841</v>
      </c>
      <c r="N23" s="190" t="n">
        <f aca="false">IFERROR(H23/M23-1,"")</f>
        <v>-1</v>
      </c>
      <c r="O23" s="158" t="n">
        <f aca="false">H23-M23</f>
        <v>-82841</v>
      </c>
      <c r="Q23" s="166" t="n">
        <v>75000</v>
      </c>
      <c r="R23" s="190" t="n">
        <f aca="false">IFERROR(H23/Q23-1,"-")</f>
        <v>-1</v>
      </c>
      <c r="S23" s="190" t="n">
        <f aca="false">IFERROR(H23/Q23,"-")</f>
        <v>0</v>
      </c>
      <c r="T23" s="158" t="n">
        <f aca="false">H23-Q23</f>
        <v>-75000</v>
      </c>
      <c r="V23" s="158"/>
      <c r="W23" s="5" t="n">
        <f aca="false">H23-V23</f>
        <v>0</v>
      </c>
      <c r="X23" s="191" t="str">
        <f aca="false">IFERROR((G23/V23)-1,"-")</f>
        <v>-</v>
      </c>
    </row>
    <row r="24" customFormat="false" ht="14.25" hidden="false" customHeight="true" outlineLevel="0" collapsed="false">
      <c r="A24" s="169" t="n">
        <v>23</v>
      </c>
      <c r="B24" s="193" t="s">
        <v>154</v>
      </c>
      <c r="C24" s="193" t="s">
        <v>61</v>
      </c>
      <c r="D24" s="193" t="s">
        <v>62</v>
      </c>
      <c r="E24" s="193" t="s">
        <v>63</v>
      </c>
      <c r="F24" s="158" t="n">
        <f aca="false">VLOOKUP(B24,'2024'!$A:$O,12,0)</f>
        <v>17813.97</v>
      </c>
      <c r="G24" s="158" t="n">
        <f aca="false">VLOOKUP($B24,'2025'!$A:$O,12,0)</f>
        <v>15684.33</v>
      </c>
      <c r="H24" s="158"/>
      <c r="I24" s="190" t="str">
        <f aca="false">IFERROR(H24/$H$19,"")</f>
        <v/>
      </c>
      <c r="J24" s="190" t="n">
        <f aca="false">IFERROR(H24/G24-1,"")</f>
        <v>-1</v>
      </c>
      <c r="K24" s="158" t="n">
        <f aca="false">H24-G24</f>
        <v>-15684.33</v>
      </c>
      <c r="M24" s="158" t="n">
        <f aca="false">VLOOKUP(C24,'תקציב  '!$B:$S,14,0)*1</f>
        <v>17000</v>
      </c>
      <c r="N24" s="190" t="n">
        <f aca="false">IFERROR(H24/M24-1,"")</f>
        <v>-1</v>
      </c>
      <c r="O24" s="158" t="n">
        <f aca="false">H24-M24</f>
        <v>-17000</v>
      </c>
      <c r="Q24" s="166" t="n">
        <v>20000</v>
      </c>
      <c r="R24" s="190" t="n">
        <f aca="false">IFERROR(H24/Q24-1,"-")</f>
        <v>-1</v>
      </c>
      <c r="S24" s="190" t="n">
        <f aca="false">IFERROR(H24/Q24,"-")</f>
        <v>0</v>
      </c>
      <c r="T24" s="158" t="n">
        <f aca="false">H24-Q24</f>
        <v>-20000</v>
      </c>
      <c r="V24" s="158"/>
      <c r="W24" s="5" t="n">
        <f aca="false">H24-V24</f>
        <v>0</v>
      </c>
      <c r="X24" s="191" t="str">
        <f aca="false">IFERROR((G24/V24)-1,"-")</f>
        <v>-</v>
      </c>
    </row>
    <row r="25" customFormat="false" ht="14.25" hidden="false" customHeight="true" outlineLevel="0" collapsed="false">
      <c r="A25" s="169" t="n">
        <v>24</v>
      </c>
      <c r="B25" s="193" t="s">
        <v>156</v>
      </c>
      <c r="C25" s="193" t="s">
        <v>64</v>
      </c>
      <c r="D25" s="193" t="s">
        <v>65</v>
      </c>
      <c r="E25" s="193" t="s">
        <v>66</v>
      </c>
      <c r="F25" s="158" t="n">
        <f aca="false">VLOOKUP(B25,'2024'!$A:$O,12,0)</f>
        <v>44572.45</v>
      </c>
      <c r="G25" s="158" t="n">
        <f aca="false">VLOOKUP($B25,'2025'!$A:$O,12,0)</f>
        <v>0</v>
      </c>
      <c r="H25" s="158"/>
      <c r="I25" s="190" t="str">
        <f aca="false">IFERROR(H25/$H$19,"")</f>
        <v/>
      </c>
      <c r="J25" s="190" t="str">
        <f aca="false">IFERROR(H25/G25-1,"")</f>
        <v/>
      </c>
      <c r="K25" s="158" t="n">
        <f aca="false">H25-G25</f>
        <v>0</v>
      </c>
      <c r="M25" s="158" t="n">
        <f aca="false">VLOOKUP(C25,'תקציב  '!$B:$S,14,0)*1</f>
        <v>5000</v>
      </c>
      <c r="N25" s="190" t="n">
        <f aca="false">IFERROR(H25/M25-1,"")</f>
        <v>-1</v>
      </c>
      <c r="O25" s="158" t="n">
        <f aca="false">H25-M25</f>
        <v>-5000</v>
      </c>
      <c r="Q25" s="166" t="n">
        <v>0</v>
      </c>
      <c r="R25" s="190" t="str">
        <f aca="false">IFERROR(H25/Q25-1,"-")</f>
        <v>-</v>
      </c>
      <c r="S25" s="190" t="str">
        <f aca="false">IFERROR(H25/Q25,"-")</f>
        <v>-</v>
      </c>
      <c r="T25" s="158" t="n">
        <f aca="false">H25-Q25</f>
        <v>0</v>
      </c>
      <c r="V25" s="158"/>
      <c r="W25" s="5" t="n">
        <f aca="false">H25-V25</f>
        <v>0</v>
      </c>
      <c r="X25" s="191" t="str">
        <f aca="false">IFERROR((G25/V25)-1,"-")</f>
        <v>-</v>
      </c>
    </row>
    <row r="26" customFormat="false" ht="13.5" hidden="false" customHeight="true" outlineLevel="0" collapsed="false">
      <c r="A26" s="169" t="n">
        <v>25</v>
      </c>
      <c r="B26" s="193" t="s">
        <v>162</v>
      </c>
      <c r="C26" s="193" t="s">
        <v>67</v>
      </c>
      <c r="D26" s="193" t="s">
        <v>68</v>
      </c>
      <c r="E26" s="193" t="s">
        <v>69</v>
      </c>
      <c r="F26" s="158" t="n">
        <f aca="false">VLOOKUP(B26,'2024'!$A:$O,12,0)</f>
        <v>0</v>
      </c>
      <c r="G26" s="158" t="n">
        <f aca="false">VLOOKUP($B26,'2025'!$A:$O,12,0)</f>
        <v>0</v>
      </c>
      <c r="H26" s="158"/>
      <c r="I26" s="190" t="str">
        <f aca="false">IFERROR(H26/$H$19,"")</f>
        <v/>
      </c>
      <c r="J26" s="190" t="str">
        <f aca="false">IFERROR(H26/G26-1,"")</f>
        <v/>
      </c>
      <c r="K26" s="158" t="n">
        <f aca="false">H26-G26</f>
        <v>0</v>
      </c>
      <c r="M26" s="158" t="n">
        <f aca="false">VLOOKUP(C26,'תקציב  '!$B:$S,14,0)*1</f>
        <v>150000</v>
      </c>
      <c r="N26" s="190" t="n">
        <f aca="false">IFERROR(H26/M26-1,"")</f>
        <v>-1</v>
      </c>
      <c r="O26" s="158" t="n">
        <f aca="false">H26-M26</f>
        <v>-150000</v>
      </c>
      <c r="Q26" s="166" t="n">
        <v>70000</v>
      </c>
      <c r="R26" s="190" t="n">
        <f aca="false">IFERROR(H26/Q26-1,"-")</f>
        <v>-1</v>
      </c>
      <c r="S26" s="190" t="n">
        <f aca="false">IFERROR(H26/Q26,"-")</f>
        <v>0</v>
      </c>
      <c r="T26" s="158" t="n">
        <f aca="false">H26-Q26</f>
        <v>-70000</v>
      </c>
      <c r="V26" s="158"/>
      <c r="W26" s="5" t="n">
        <f aca="false">H26-V26</f>
        <v>0</v>
      </c>
      <c r="X26" s="191" t="str">
        <f aca="false">IFERROR((G26/V26)-1,"-")</f>
        <v>-</v>
      </c>
    </row>
    <row r="27" customFormat="false" ht="14.25" hidden="false" customHeight="true" outlineLevel="0" collapsed="false">
      <c r="A27" s="169" t="n">
        <v>26</v>
      </c>
      <c r="B27" s="193" t="s">
        <v>153</v>
      </c>
      <c r="C27" s="193" t="s">
        <v>70</v>
      </c>
      <c r="D27" s="193" t="s">
        <v>71</v>
      </c>
      <c r="E27" s="193" t="s">
        <v>72</v>
      </c>
      <c r="F27" s="158" t="n">
        <f aca="false">VLOOKUP(B27,'2024'!$A:$O,12,0)</f>
        <v>0</v>
      </c>
      <c r="G27" s="158" t="n">
        <f aca="false">VLOOKUP($B27,'2025'!$A:$O,12,0)</f>
        <v>0</v>
      </c>
      <c r="H27" s="158"/>
      <c r="I27" s="190" t="str">
        <f aca="false">IFERROR(H27/$H$19,"")</f>
        <v/>
      </c>
      <c r="J27" s="190" t="str">
        <f aca="false">IFERROR(H27/G27-1,"")</f>
        <v/>
      </c>
      <c r="K27" s="158" t="n">
        <f aca="false">H27-G27</f>
        <v>0</v>
      </c>
      <c r="M27" s="158" t="n">
        <f aca="false">VLOOKUP(C27,'תקציב  '!$B:$S,14,0)*1</f>
        <v>40000</v>
      </c>
      <c r="N27" s="190" t="n">
        <f aca="false">IFERROR(H27/M27-1,"")</f>
        <v>-1</v>
      </c>
      <c r="O27" s="158" t="n">
        <f aca="false">H27-M27</f>
        <v>-40000</v>
      </c>
      <c r="Q27" s="166" t="n">
        <v>20000</v>
      </c>
      <c r="R27" s="190" t="n">
        <f aca="false">IFERROR(H27/Q27-1,"-")</f>
        <v>-1</v>
      </c>
      <c r="S27" s="190" t="n">
        <f aca="false">IFERROR(H27/Q27,"-")</f>
        <v>0</v>
      </c>
      <c r="T27" s="158" t="n">
        <f aca="false">H27-Q27</f>
        <v>-20000</v>
      </c>
      <c r="V27" s="158"/>
      <c r="W27" s="5" t="n">
        <f aca="false">H27-V27</f>
        <v>0</v>
      </c>
      <c r="X27" s="191" t="str">
        <f aca="false">IFERROR((G27/V27)-1,"-")</f>
        <v>-</v>
      </c>
    </row>
    <row r="28" customFormat="false" ht="13.5" hidden="false" customHeight="true" outlineLevel="0" collapsed="false">
      <c r="A28" s="169" t="n">
        <v>27</v>
      </c>
      <c r="B28" s="193" t="s">
        <v>163</v>
      </c>
      <c r="C28" s="193" t="s">
        <v>73</v>
      </c>
      <c r="D28" s="193" t="s">
        <v>74</v>
      </c>
      <c r="E28" s="193" t="s">
        <v>75</v>
      </c>
      <c r="F28" s="158" t="n">
        <f aca="false">VLOOKUP(B28,'2024'!$A:$O,12,0)</f>
        <v>115405.87</v>
      </c>
      <c r="G28" s="158" t="n">
        <f aca="false">VLOOKUP($B28,'2025'!$A:$O,12,0)</f>
        <v>256771.88</v>
      </c>
      <c r="H28" s="158"/>
      <c r="I28" s="190" t="str">
        <f aca="false">IFERROR(H28/$H$19,"")</f>
        <v/>
      </c>
      <c r="J28" s="190" t="n">
        <f aca="false">IFERROR(H28/G28-1,"")</f>
        <v>-1</v>
      </c>
      <c r="K28" s="158" t="n">
        <f aca="false">H28-G28</f>
        <v>-256771.88</v>
      </c>
      <c r="M28" s="158" t="n">
        <f aca="false">VLOOKUP(C28,'תקציב  '!$B:$S,14,0)*1</f>
        <v>0</v>
      </c>
      <c r="N28" s="190" t="str">
        <f aca="false">IFERROR(H28/M28-1,"")</f>
        <v/>
      </c>
      <c r="O28" s="158" t="n">
        <f aca="false">H28-M28</f>
        <v>0</v>
      </c>
      <c r="Q28" s="166" t="n">
        <v>0</v>
      </c>
      <c r="R28" s="190" t="str">
        <f aca="false">IFERROR(H28/Q28-1,"-")</f>
        <v>-</v>
      </c>
      <c r="S28" s="190" t="str">
        <f aca="false">IFERROR(H28/Q28,"-")</f>
        <v>-</v>
      </c>
      <c r="T28" s="158" t="n">
        <f aca="false">H28-Q28</f>
        <v>0</v>
      </c>
      <c r="V28" s="158"/>
      <c r="W28" s="5" t="n">
        <f aca="false">H28-V28</f>
        <v>0</v>
      </c>
      <c r="X28" s="191" t="str">
        <f aca="false">IFERROR((G28/V28)-1,"-")</f>
        <v>-</v>
      </c>
    </row>
    <row r="29" customFormat="false" ht="13.5" hidden="false" customHeight="true" outlineLevel="0" collapsed="false">
      <c r="A29" s="169" t="n">
        <v>28</v>
      </c>
      <c r="B29" s="193" t="s">
        <v>164</v>
      </c>
      <c r="C29" s="193" t="s">
        <v>76</v>
      </c>
      <c r="D29" s="193" t="s">
        <v>77</v>
      </c>
      <c r="E29" s="193" t="s">
        <v>78</v>
      </c>
      <c r="F29" s="158" t="n">
        <f aca="false">VLOOKUP(B29,'2024'!$A:$O,12,0)</f>
        <v>62633.86</v>
      </c>
      <c r="G29" s="158" t="n">
        <f aca="false">VLOOKUP($B29,'2025'!$A:$O,12,0)</f>
        <v>29107.59</v>
      </c>
      <c r="H29" s="158"/>
      <c r="I29" s="190" t="str">
        <f aca="false">IFERROR(H29/$H$19,"")</f>
        <v/>
      </c>
      <c r="J29" s="190" t="n">
        <f aca="false">IFERROR(H29/G29-1,"")</f>
        <v>-1</v>
      </c>
      <c r="K29" s="158" t="n">
        <f aca="false">H29-G29</f>
        <v>-29107.59</v>
      </c>
      <c r="M29" s="158" t="n">
        <f aca="false">VLOOKUP(C29,'תקציב  '!$B:$S,14,0)*1</f>
        <v>39765.076</v>
      </c>
      <c r="N29" s="190" t="n">
        <f aca="false">IFERROR(H29/M29-1,"")</f>
        <v>-1</v>
      </c>
      <c r="O29" s="158" t="n">
        <f aca="false">H29-M29</f>
        <v>-39765.076</v>
      </c>
      <c r="Q29" s="166" t="n">
        <v>40000</v>
      </c>
      <c r="R29" s="190" t="n">
        <f aca="false">IFERROR(H29/Q29-1,"-")</f>
        <v>-1</v>
      </c>
      <c r="S29" s="190" t="n">
        <f aca="false">IFERROR(H29/Q29,"-")</f>
        <v>0</v>
      </c>
      <c r="T29" s="158" t="n">
        <f aca="false">H29-Q29</f>
        <v>-40000</v>
      </c>
      <c r="V29" s="158"/>
      <c r="W29" s="5" t="n">
        <f aca="false">H29-V29</f>
        <v>0</v>
      </c>
      <c r="X29" s="191" t="str">
        <f aca="false">IFERROR((G29/V29)-1,"-")</f>
        <v>-</v>
      </c>
    </row>
    <row r="30" customFormat="false" ht="14.25" hidden="false" customHeight="true" outlineLevel="0" collapsed="false">
      <c r="A30" s="169" t="n">
        <v>29</v>
      </c>
      <c r="B30" s="193" t="s">
        <v>158</v>
      </c>
      <c r="C30" s="193" t="s">
        <v>79</v>
      </c>
      <c r="D30" s="193" t="s">
        <v>80</v>
      </c>
      <c r="E30" s="193" t="s">
        <v>81</v>
      </c>
      <c r="F30" s="158" t="n">
        <f aca="false">VLOOKUP(B30,'2024'!$A:$O,12,0)</f>
        <v>0</v>
      </c>
      <c r="G30" s="158" t="n">
        <f aca="false">VLOOKUP($B30,'2025'!$A:$O,12,0)</f>
        <v>32544.41</v>
      </c>
      <c r="H30" s="158"/>
      <c r="I30" s="190" t="str">
        <f aca="false">IFERROR(H30/$H$19,"")</f>
        <v/>
      </c>
      <c r="J30" s="190" t="n">
        <f aca="false">IFERROR(H30/G30-1,"")</f>
        <v>-1</v>
      </c>
      <c r="K30" s="158" t="n">
        <f aca="false">H30-G30</f>
        <v>-32544.41</v>
      </c>
      <c r="M30" s="158" t="n">
        <f aca="false">VLOOKUP(C30,'תקציב  '!$B:$S,14,0)*1</f>
        <v>0</v>
      </c>
      <c r="N30" s="190" t="str">
        <f aca="false">IFERROR(H30/M30-1,"")</f>
        <v/>
      </c>
      <c r="O30" s="158" t="n">
        <f aca="false">H30-M30</f>
        <v>0</v>
      </c>
      <c r="Q30" s="166" t="n">
        <v>0</v>
      </c>
      <c r="R30" s="190" t="str">
        <f aca="false">IFERROR(H30/Q30-1,"-")</f>
        <v>-</v>
      </c>
      <c r="S30" s="190" t="str">
        <f aca="false">IFERROR(H30/Q30,"-")</f>
        <v>-</v>
      </c>
      <c r="T30" s="158" t="n">
        <f aca="false">H30-Q30</f>
        <v>0</v>
      </c>
      <c r="V30" s="158"/>
      <c r="W30" s="5" t="n">
        <f aca="false">H30-V30</f>
        <v>0</v>
      </c>
      <c r="X30" s="191" t="str">
        <f aca="false">IFERROR((G30/V30)-1,"-")</f>
        <v>-</v>
      </c>
    </row>
    <row r="31" customFormat="false" ht="14.25" hidden="false" customHeight="true" outlineLevel="0" collapsed="false">
      <c r="A31" s="169" t="n">
        <v>30</v>
      </c>
      <c r="B31" s="193" t="s">
        <v>152</v>
      </c>
      <c r="C31" s="193" t="s">
        <v>82</v>
      </c>
      <c r="D31" s="193" t="s">
        <v>83</v>
      </c>
      <c r="E31" s="193" t="s">
        <v>81</v>
      </c>
      <c r="F31" s="158" t="n">
        <f aca="false">VLOOKUP(B31,'2024'!$A:$O,12,0)</f>
        <v>0</v>
      </c>
      <c r="G31" s="158" t="n">
        <f aca="false">VLOOKUP($B31,'2025'!$A:$O,12,0)</f>
        <v>0.08</v>
      </c>
      <c r="H31" s="158"/>
      <c r="I31" s="190" t="str">
        <f aca="false">IFERROR(H31/$H$19,"")</f>
        <v/>
      </c>
      <c r="J31" s="190" t="n">
        <f aca="false">IFERROR(H31/G31-1,"")</f>
        <v>-1</v>
      </c>
      <c r="K31" s="158" t="n">
        <f aca="false">H31-G31</f>
        <v>-0.08</v>
      </c>
      <c r="M31" s="158" t="n">
        <f aca="false">VLOOKUP(C31,'תקציב  '!$B:$S,14,0)*1</f>
        <v>19793</v>
      </c>
      <c r="N31" s="190" t="n">
        <f aca="false">IFERROR(H31/M31-1,"")</f>
        <v>-1</v>
      </c>
      <c r="O31" s="158" t="n">
        <f aca="false">H31-M31</f>
        <v>-19793</v>
      </c>
      <c r="Q31" s="166" t="n">
        <v>0</v>
      </c>
      <c r="R31" s="190" t="str">
        <f aca="false">IFERROR(H31/Q31-1,"-")</f>
        <v>-</v>
      </c>
      <c r="S31" s="190" t="str">
        <f aca="false">IFERROR(H31/Q31,"-")</f>
        <v>-</v>
      </c>
      <c r="T31" s="158" t="n">
        <f aca="false">H31-Q31</f>
        <v>0</v>
      </c>
      <c r="V31" s="158"/>
      <c r="W31" s="5" t="n">
        <f aca="false">H31-V31</f>
        <v>0</v>
      </c>
      <c r="X31" s="191" t="str">
        <f aca="false">IFERROR((G31/V31)-1,"-")</f>
        <v>-</v>
      </c>
    </row>
    <row r="32" customFormat="false" ht="13.5" hidden="false" customHeight="true" outlineLevel="0" collapsed="false">
      <c r="A32" s="169" t="n">
        <v>31</v>
      </c>
      <c r="B32" s="193" t="s">
        <v>84</v>
      </c>
      <c r="C32" s="193" t="s">
        <v>84</v>
      </c>
      <c r="D32" s="193" t="s">
        <v>85</v>
      </c>
      <c r="E32" s="193" t="s">
        <v>86</v>
      </c>
      <c r="F32" s="158" t="n">
        <f aca="false">VLOOKUP(B32,'2024'!$A:$O,12,0)</f>
        <v>0</v>
      </c>
      <c r="G32" s="158" t="n">
        <f aca="false">VLOOKUP($B32,'2025'!$A:$O,12,0)</f>
        <v>0</v>
      </c>
      <c r="H32" s="158"/>
      <c r="I32" s="190" t="str">
        <f aca="false">IFERROR(H32/$H$19,"")</f>
        <v/>
      </c>
      <c r="J32" s="190" t="str">
        <f aca="false">IFERROR(H32/G32-1,"")</f>
        <v/>
      </c>
      <c r="K32" s="158" t="n">
        <f aca="false">H32-G32</f>
        <v>0</v>
      </c>
      <c r="M32" s="158" t="n">
        <f aca="false">VLOOKUP(C32,'תקציב  '!$B:$S,14,0)*1</f>
        <v>0</v>
      </c>
      <c r="N32" s="190" t="str">
        <f aca="false">IFERROR(H32/M32-1,"")</f>
        <v/>
      </c>
      <c r="O32" s="158" t="n">
        <f aca="false">H32-M32</f>
        <v>0</v>
      </c>
      <c r="Q32" s="166" t="n">
        <v>0</v>
      </c>
      <c r="R32" s="190" t="str">
        <f aca="false">IFERROR(H32/Q32-1,"-")</f>
        <v>-</v>
      </c>
      <c r="S32" s="190" t="str">
        <f aca="false">IFERROR(H32/Q32,"-")</f>
        <v>-</v>
      </c>
      <c r="T32" s="158" t="n">
        <f aca="false">H32-Q32</f>
        <v>0</v>
      </c>
      <c r="V32" s="158"/>
      <c r="W32" s="5" t="n">
        <f aca="false">H32-V32</f>
        <v>0</v>
      </c>
      <c r="X32" s="191" t="str">
        <f aca="false">IFERROR((G32/V32)-1,"-")</f>
        <v>-</v>
      </c>
    </row>
    <row r="33" customFormat="false" ht="13.5" hidden="false" customHeight="true" outlineLevel="0" collapsed="false">
      <c r="A33" s="169"/>
      <c r="B33" s="193"/>
      <c r="C33" s="193"/>
      <c r="D33" s="193" t="s">
        <v>171</v>
      </c>
      <c r="E33" s="193" t="s">
        <v>172</v>
      </c>
      <c r="F33" s="158"/>
      <c r="G33" s="158"/>
      <c r="H33" s="158"/>
      <c r="I33" s="190" t="str">
        <f aca="false">IFERROR(H33/$H$19,"")</f>
        <v/>
      </c>
      <c r="J33" s="190" t="str">
        <f aca="false">IFERROR(H33/G33-1,"")</f>
        <v/>
      </c>
      <c r="K33" s="158" t="n">
        <f aca="false">H33-G33</f>
        <v>0</v>
      </c>
      <c r="M33" s="158"/>
      <c r="N33" s="190" t="str">
        <f aca="false">IFERROR(H33/M33-1,"")</f>
        <v/>
      </c>
      <c r="O33" s="158" t="n">
        <f aca="false">H33-M33</f>
        <v>0</v>
      </c>
      <c r="Q33" s="166" t="n">
        <v>0</v>
      </c>
      <c r="R33" s="190" t="str">
        <f aca="false">IFERROR(H33/Q33-1,"-")</f>
        <v>-</v>
      </c>
      <c r="S33" s="190" t="str">
        <f aca="false">IFERROR(H33/Q33,"-")</f>
        <v>-</v>
      </c>
      <c r="T33" s="158" t="n">
        <f aca="false">H33-Q33</f>
        <v>0</v>
      </c>
      <c r="V33" s="158"/>
      <c r="W33" s="5" t="n">
        <f aca="false">H33-V33</f>
        <v>0</v>
      </c>
      <c r="X33" s="191" t="str">
        <f aca="false">IFERROR((G33/V33)-1,"-")</f>
        <v>-</v>
      </c>
    </row>
    <row r="34" customFormat="false" ht="13.5" hidden="false" customHeight="true" outlineLevel="0" collapsed="false">
      <c r="A34" s="169" t="n">
        <v>32</v>
      </c>
      <c r="B34" s="193" t="s">
        <v>161</v>
      </c>
      <c r="C34" s="193" t="s">
        <v>87</v>
      </c>
      <c r="D34" s="193" t="s">
        <v>88</v>
      </c>
      <c r="E34" s="193" t="s">
        <v>89</v>
      </c>
      <c r="F34" s="158" t="n">
        <f aca="false">VLOOKUP(B34,'2024'!$A:$O,12,0)</f>
        <v>0</v>
      </c>
      <c r="G34" s="158" t="n">
        <f aca="false">VLOOKUP($B34,'2025'!$A:$O,12,0)</f>
        <v>0</v>
      </c>
      <c r="H34" s="158"/>
      <c r="I34" s="190" t="str">
        <f aca="false">IFERROR(H34/$H$19,"")</f>
        <v/>
      </c>
      <c r="J34" s="190" t="str">
        <f aca="false">IFERROR(H34/G34-1,"")</f>
        <v/>
      </c>
      <c r="K34" s="158" t="n">
        <f aca="false">H34-G34</f>
        <v>0</v>
      </c>
      <c r="M34" s="158" t="n">
        <f aca="false">VLOOKUP(C34,'תקציב  '!$B:$S,14,0)*1</f>
        <v>0</v>
      </c>
      <c r="N34" s="190" t="str">
        <f aca="false">IFERROR(H34/M34-1,"")</f>
        <v/>
      </c>
      <c r="O34" s="158" t="n">
        <f aca="false">H34-M34</f>
        <v>0</v>
      </c>
      <c r="Q34" s="166" t="n">
        <v>0</v>
      </c>
      <c r="R34" s="190" t="str">
        <f aca="false">IFERROR(H34/Q34-1,"-")</f>
        <v>-</v>
      </c>
      <c r="S34" s="190" t="str">
        <f aca="false">IFERROR(H34/Q34,"-")</f>
        <v>-</v>
      </c>
      <c r="T34" s="158" t="n">
        <f aca="false">H34-Q34</f>
        <v>0</v>
      </c>
      <c r="V34" s="158"/>
      <c r="W34" s="5" t="n">
        <f aca="false">H34-V34</f>
        <v>0</v>
      </c>
      <c r="X34" s="191" t="str">
        <f aca="false">IFERROR((G34/V34)-1,"-")</f>
        <v>-</v>
      </c>
    </row>
    <row r="35" customFormat="false" ht="13.5" hidden="false" customHeight="true" outlineLevel="0" collapsed="false">
      <c r="A35" s="169" t="n">
        <v>33</v>
      </c>
      <c r="B35" s="193" t="s">
        <v>160</v>
      </c>
      <c r="C35" s="193" t="s">
        <v>90</v>
      </c>
      <c r="D35" s="193" t="s">
        <v>91</v>
      </c>
      <c r="E35" s="193" t="s">
        <v>92</v>
      </c>
      <c r="F35" s="158" t="n">
        <f aca="false">VLOOKUP(B35,'2024'!$A:$O,12,0)</f>
        <v>0</v>
      </c>
      <c r="G35" s="158" t="n">
        <f aca="false">VLOOKUP($B35,'2025'!$A:$O,12,0)</f>
        <v>23331.65</v>
      </c>
      <c r="H35" s="158"/>
      <c r="I35" s="190" t="str">
        <f aca="false">IFERROR(H35/$H$19,"")</f>
        <v/>
      </c>
      <c r="J35" s="190" t="n">
        <f aca="false">IFERROR(H35/G35-1,"")</f>
        <v>-1</v>
      </c>
      <c r="K35" s="158" t="n">
        <f aca="false">H35-G35</f>
        <v>-23331.65</v>
      </c>
      <c r="M35" s="158" t="n">
        <f aca="false">VLOOKUP(C35,'תקציב  '!$B:$S,14,0)*1</f>
        <v>40000</v>
      </c>
      <c r="N35" s="190" t="n">
        <f aca="false">IFERROR(H35/M35-1,"")</f>
        <v>-1</v>
      </c>
      <c r="O35" s="158" t="n">
        <f aca="false">H35-M35</f>
        <v>-40000</v>
      </c>
      <c r="Q35" s="166" t="n">
        <v>0</v>
      </c>
      <c r="R35" s="190" t="str">
        <f aca="false">IFERROR(H35/Q35-1,"-")</f>
        <v>-</v>
      </c>
      <c r="S35" s="190" t="str">
        <f aca="false">IFERROR(H35/Q35,"-")</f>
        <v>-</v>
      </c>
      <c r="T35" s="158" t="n">
        <f aca="false">H35-Q35</f>
        <v>0</v>
      </c>
      <c r="V35" s="158"/>
      <c r="W35" s="5" t="n">
        <f aca="false">H35-V35</f>
        <v>0</v>
      </c>
      <c r="X35" s="191" t="str">
        <f aca="false">IFERROR((G35/V35)-1,"-")</f>
        <v>-</v>
      </c>
    </row>
    <row r="36" customFormat="false" ht="14.25" hidden="false" customHeight="true" outlineLevel="0" collapsed="false">
      <c r="A36" s="169"/>
      <c r="B36" s="193" t="s">
        <v>166</v>
      </c>
      <c r="C36" s="193" t="s">
        <v>166</v>
      </c>
      <c r="D36" s="193" t="s">
        <v>173</v>
      </c>
      <c r="E36" s="193" t="s">
        <v>78</v>
      </c>
      <c r="F36" s="158" t="n">
        <f aca="false">VLOOKUP(B36,'2024'!$A:$O,12,0)</f>
        <v>0</v>
      </c>
      <c r="G36" s="158" t="n">
        <f aca="false">VLOOKUP($B36,'2025'!$A:$O,12,0)</f>
        <v>0</v>
      </c>
      <c r="H36" s="158"/>
      <c r="I36" s="190" t="str">
        <f aca="false">IFERROR(H36/$H$19,"")</f>
        <v/>
      </c>
      <c r="J36" s="190" t="str">
        <f aca="false">IFERROR(H36/G36-1,"")</f>
        <v/>
      </c>
      <c r="K36" s="158" t="n">
        <f aca="false">H36-G36</f>
        <v>0</v>
      </c>
      <c r="M36" s="158"/>
      <c r="N36" s="190" t="str">
        <f aca="false">IFERROR(H36/M36-1,"")</f>
        <v/>
      </c>
      <c r="O36" s="158" t="n">
        <f aca="false">H36-M36</f>
        <v>0</v>
      </c>
      <c r="Q36" s="166" t="n">
        <v>0</v>
      </c>
      <c r="R36" s="190" t="str">
        <f aca="false">IFERROR(H36/Q36-1,"-")</f>
        <v>-</v>
      </c>
      <c r="S36" s="190" t="str">
        <f aca="false">IFERROR(H36/Q36,"-")</f>
        <v>-</v>
      </c>
      <c r="T36" s="158" t="n">
        <f aca="false">H36-Q36</f>
        <v>0</v>
      </c>
      <c r="V36" s="158"/>
      <c r="W36" s="5" t="n">
        <f aca="false">H36-V36</f>
        <v>0</v>
      </c>
      <c r="X36" s="191" t="str">
        <f aca="false">IFERROR((G36/V36)-1,"-")</f>
        <v>-</v>
      </c>
    </row>
    <row r="37" customFormat="false" ht="14.25" hidden="false" customHeight="true" outlineLevel="0" collapsed="false">
      <c r="A37" s="169" t="n">
        <v>34</v>
      </c>
      <c r="B37" s="193" t="s">
        <v>165</v>
      </c>
      <c r="C37" s="193" t="s">
        <v>165</v>
      </c>
      <c r="D37" s="193" t="s">
        <v>93</v>
      </c>
      <c r="E37" s="193" t="s">
        <v>174</v>
      </c>
      <c r="F37" s="158" t="n">
        <f aca="false">VLOOKUP(B37,'2024'!$A:$O,12,0)</f>
        <v>0</v>
      </c>
      <c r="G37" s="158" t="n">
        <f aca="false">VLOOKUP($B37,'2025'!$A:$O,12,0)</f>
        <v>0</v>
      </c>
      <c r="H37" s="158"/>
      <c r="I37" s="190" t="str">
        <f aca="false">IFERROR(H37/$H$19,"")</f>
        <v/>
      </c>
      <c r="J37" s="190" t="str">
        <f aca="false">IFERROR(H37/G37-1,"")</f>
        <v/>
      </c>
      <c r="K37" s="158" t="n">
        <f aca="false">H37-G37</f>
        <v>0</v>
      </c>
      <c r="M37" s="158"/>
      <c r="N37" s="190" t="str">
        <f aca="false">IFERROR(H37/M37-1,"")</f>
        <v/>
      </c>
      <c r="O37" s="158" t="n">
        <f aca="false">H37-M37</f>
        <v>0</v>
      </c>
      <c r="Q37" s="166" t="n">
        <v>0</v>
      </c>
      <c r="R37" s="190" t="str">
        <f aca="false">IFERROR(H37/Q37-1,"-")</f>
        <v>-</v>
      </c>
      <c r="S37" s="190" t="str">
        <f aca="false">IFERROR(H37/Q37,"-")</f>
        <v>-</v>
      </c>
      <c r="T37" s="158" t="n">
        <f aca="false">H37-Q37</f>
        <v>0</v>
      </c>
      <c r="V37" s="158"/>
      <c r="W37" s="5" t="n">
        <f aca="false">H37-V37</f>
        <v>0</v>
      </c>
      <c r="X37" s="191" t="str">
        <f aca="false">IFERROR((G37/V37)-1,"-")</f>
        <v>-</v>
      </c>
    </row>
    <row r="38" customFormat="false" ht="13.5" hidden="false" customHeight="true" outlineLevel="0" collapsed="false">
      <c r="A38" s="169" t="n">
        <v>35</v>
      </c>
      <c r="B38" s="193" t="s">
        <v>94</v>
      </c>
      <c r="C38" s="193" t="s">
        <v>94</v>
      </c>
      <c r="D38" s="193" t="s">
        <v>95</v>
      </c>
      <c r="E38" s="193" t="s">
        <v>51</v>
      </c>
      <c r="F38" s="158" t="n">
        <f aca="false">VLOOKUP(B38,'2024'!$A:$O,12,0)</f>
        <v>0</v>
      </c>
      <c r="G38" s="158" t="n">
        <f aca="false">VLOOKUP($B38,'2025'!$A:$O,12,0)</f>
        <v>0</v>
      </c>
      <c r="H38" s="158"/>
      <c r="I38" s="190" t="str">
        <f aca="false">IFERROR(H38/$H$19,"")</f>
        <v/>
      </c>
      <c r="J38" s="190" t="str">
        <f aca="false">IFERROR(H38/G38-1,"")</f>
        <v/>
      </c>
      <c r="K38" s="158" t="n">
        <f aca="false">H38-G38</f>
        <v>0</v>
      </c>
      <c r="M38" s="158" t="n">
        <f aca="false">VLOOKUP(C38,'תקציב  '!$B:$S,14,0)*1</f>
        <v>200000</v>
      </c>
      <c r="N38" s="190" t="n">
        <f aca="false">IFERROR(H38/M38-1,"")</f>
        <v>-1</v>
      </c>
      <c r="O38" s="158" t="n">
        <f aca="false">H38-M38</f>
        <v>-200000</v>
      </c>
      <c r="Q38" s="166" t="n">
        <v>0</v>
      </c>
      <c r="R38" s="190" t="str">
        <f aca="false">IFERROR(H38/Q38-1,"-")</f>
        <v>-</v>
      </c>
      <c r="S38" s="190" t="str">
        <f aca="false">IFERROR(H38/Q38,"-")</f>
        <v>-</v>
      </c>
      <c r="T38" s="158" t="n">
        <f aca="false">H38-Q38</f>
        <v>0</v>
      </c>
      <c r="V38" s="158"/>
      <c r="W38" s="5" t="n">
        <f aca="false">H38-V38</f>
        <v>0</v>
      </c>
      <c r="X38" s="191" t="str">
        <f aca="false">IFERROR((G38/V38)-1,"-")</f>
        <v>-</v>
      </c>
    </row>
    <row r="39" customFormat="false" ht="13.5" hidden="false" customHeight="true" outlineLevel="0" collapsed="false">
      <c r="A39" s="226" t="n">
        <v>36</v>
      </c>
      <c r="B39" s="227"/>
      <c r="C39" s="227" t="s">
        <v>97</v>
      </c>
      <c r="D39" s="227" t="s">
        <v>97</v>
      </c>
      <c r="E39" s="227"/>
      <c r="F39" s="158"/>
      <c r="G39" s="158"/>
      <c r="H39" s="158"/>
      <c r="I39" s="229" t="str">
        <f aca="false">IFERROR(H39/$H$19,"")</f>
        <v/>
      </c>
      <c r="J39" s="229" t="str">
        <f aca="false">IFERROR(H39/G39-1,"")</f>
        <v/>
      </c>
      <c r="K39" s="158" t="n">
        <f aca="false">H39-G39</f>
        <v>0</v>
      </c>
      <c r="M39" s="158" t="n">
        <f aca="false">VLOOKUP(C39,'תקציב  '!$B:$S,14,0)*1</f>
        <v>200000</v>
      </c>
      <c r="N39" s="229" t="n">
        <f aca="false">IFERROR(H39/M39-1,"")</f>
        <v>-1</v>
      </c>
      <c r="O39" s="158" t="n">
        <f aca="false">H39-M39</f>
        <v>-200000</v>
      </c>
      <c r="Q39" s="166" t="n">
        <v>0</v>
      </c>
      <c r="R39" s="229" t="str">
        <f aca="false">IFERROR(H39/Q39-1,"-")</f>
        <v>-</v>
      </c>
      <c r="S39" s="229" t="str">
        <f aca="false">IFERROR(H39/Q39,"-")</f>
        <v>-</v>
      </c>
      <c r="T39" s="158" t="n">
        <f aca="false">H39-Q39</f>
        <v>0</v>
      </c>
      <c r="V39" s="158"/>
      <c r="W39" s="5" t="n">
        <f aca="false">H39-V39</f>
        <v>0</v>
      </c>
      <c r="X39" s="191" t="str">
        <f aca="false">IFERROR((G39/V39)-1,"-")</f>
        <v>-</v>
      </c>
    </row>
    <row r="40" customFormat="false" ht="15" hidden="false" customHeight="true" outlineLevel="0" collapsed="false">
      <c r="A40" s="169"/>
      <c r="B40" s="206"/>
      <c r="C40" s="206" t="s">
        <v>98</v>
      </c>
      <c r="D40" s="206" t="s">
        <v>98</v>
      </c>
      <c r="E40" s="206"/>
      <c r="F40" s="173" t="n">
        <f aca="false">SUM(F20:F39)+F51+F52</f>
        <v>537173.28</v>
      </c>
      <c r="G40" s="173" t="n">
        <f aca="false">SUM(G20:G39)+G51+G52</f>
        <v>766036.01</v>
      </c>
      <c r="H40" s="173" t="n">
        <f aca="false">SUM(H20:H39)+H51+H52</f>
        <v>0</v>
      </c>
      <c r="I40" s="174" t="str">
        <f aca="false">IFERROR(H40/$H$19,"")</f>
        <v/>
      </c>
      <c r="J40" s="174" t="n">
        <f aca="false">IFERROR(H40/G40-1,"")</f>
        <v>-1</v>
      </c>
      <c r="K40" s="173" t="n">
        <f aca="false">SUM(K20:K39)+K51+K52</f>
        <v>-766036.01</v>
      </c>
      <c r="M40" s="173" t="n">
        <f aca="false">SUM(M20:M39)+M51+M52</f>
        <v>1392960.1577375</v>
      </c>
      <c r="N40" s="174" t="n">
        <f aca="false">IFERROR(H40/M40-1,"")</f>
        <v>-1</v>
      </c>
      <c r="O40" s="173" t="n">
        <f aca="false">SUM(O20:O39)+O51+O52</f>
        <v>-1392960.1577375</v>
      </c>
      <c r="Q40" s="173" t="n">
        <f aca="false">SUM(Q20:Q39)+Q51+Q52</f>
        <v>771122.5</v>
      </c>
      <c r="R40" s="174" t="n">
        <f aca="false">IFERROR(H40/Q40-1,"-")</f>
        <v>-1</v>
      </c>
      <c r="S40" s="174" t="n">
        <f aca="false">IFERROR(H40/Q40,"-")</f>
        <v>0</v>
      </c>
      <c r="T40" s="173" t="n">
        <f aca="false">H40-Q40</f>
        <v>-771122.5</v>
      </c>
      <c r="U40" s="198"/>
      <c r="V40" s="173"/>
      <c r="W40" s="5" t="n">
        <f aca="false">H40-V40</f>
        <v>0</v>
      </c>
      <c r="X40" s="200" t="str">
        <f aca="false">IFERROR((G40/V40)-1,"-")</f>
        <v>-</v>
      </c>
    </row>
    <row r="41" customFormat="false" ht="15" hidden="false" customHeight="true" outlineLevel="0" collapsed="false">
      <c r="A41" s="169"/>
      <c r="B41" s="207"/>
      <c r="C41" s="207" t="s">
        <v>175</v>
      </c>
      <c r="D41" s="207" t="s">
        <v>175</v>
      </c>
      <c r="E41" s="207"/>
      <c r="F41" s="175" t="n">
        <f aca="false">F40+F19</f>
        <v>1919892.863</v>
      </c>
      <c r="G41" s="175" t="n">
        <f aca="false">G40+G19</f>
        <v>2559493.11</v>
      </c>
      <c r="H41" s="175" t="n">
        <f aca="false">H40+H19</f>
        <v>0</v>
      </c>
      <c r="I41" s="147" t="str">
        <f aca="false">IFERROR(H41/$H$19,"")</f>
        <v/>
      </c>
      <c r="J41" s="147" t="n">
        <f aca="false">IFERROR(H41/G41-1,"")</f>
        <v>-1</v>
      </c>
      <c r="K41" s="175" t="n">
        <f aca="false">K40+K19</f>
        <v>-2559493.11</v>
      </c>
      <c r="M41" s="175" t="n">
        <f aca="false">M40+M19</f>
        <v>4894196.14445125</v>
      </c>
      <c r="N41" s="147" t="n">
        <f aca="false">IFERROR(H41/M41-1,"")</f>
        <v>-1</v>
      </c>
      <c r="O41" s="175" t="n">
        <f aca="false">O40+O19</f>
        <v>-4894196.14445125</v>
      </c>
      <c r="Q41" s="175" t="n">
        <f aca="false">Q40+Q19</f>
        <v>3433922.5</v>
      </c>
      <c r="R41" s="147" t="n">
        <f aca="false">IFERROR(H41/Q41-1,"-")</f>
        <v>-1</v>
      </c>
      <c r="S41" s="147" t="n">
        <f aca="false">IFERROR(H41/Q41,"-")</f>
        <v>0</v>
      </c>
      <c r="T41" s="175" t="n">
        <f aca="false">H41-Q41</f>
        <v>-3433922.5</v>
      </c>
      <c r="U41" s="198"/>
      <c r="V41" s="175"/>
      <c r="W41" s="199" t="n">
        <f aca="false">H41-V41</f>
        <v>0</v>
      </c>
      <c r="X41" s="200" t="str">
        <f aca="false">IFERROR((G41/V41)-1,"-")</f>
        <v>-</v>
      </c>
    </row>
    <row r="42" customFormat="false" ht="15" hidden="false" customHeight="true" outlineLevel="0" collapsed="false">
      <c r="A42" s="230"/>
      <c r="B42" s="223"/>
      <c r="C42" s="223" t="s">
        <v>121</v>
      </c>
      <c r="D42" s="223" t="s">
        <v>121</v>
      </c>
      <c r="E42" s="223"/>
      <c r="F42" s="243" t="n">
        <f aca="false">F40/F41</f>
        <v>0.27979336261536</v>
      </c>
      <c r="G42" s="243" t="n">
        <f aca="false">G40/G41</f>
        <v>0.299292077406686</v>
      </c>
      <c r="H42" s="243" t="str">
        <f aca="false">IFERROR(H40/H41,"")</f>
        <v/>
      </c>
      <c r="I42" s="224" t="str">
        <f aca="false">IFERROR(H42/$H$19,"")</f>
        <v/>
      </c>
      <c r="J42" s="224" t="str">
        <f aca="false">IFERROR(H42/G42-1,"")</f>
        <v/>
      </c>
      <c r="K42" s="243"/>
      <c r="M42" s="245" t="n">
        <f aca="false">M41-'תקציב  '!O41*1</f>
        <v>-20000</v>
      </c>
      <c r="N42" s="224" t="str">
        <f aca="false">IFERROR(H42/M42-1,"")</f>
        <v/>
      </c>
      <c r="O42" s="243"/>
      <c r="Q42" s="224"/>
      <c r="R42" s="224"/>
      <c r="S42" s="224"/>
      <c r="T42" s="243"/>
      <c r="V42" s="224" t="str">
        <f aca="false">IFERROR(V40/V41,"")</f>
        <v/>
      </c>
      <c r="W42" s="5" t="str">
        <f aca="false">IFERROR(H42-V42,"-")</f>
        <v>-</v>
      </c>
    </row>
    <row r="43" customFormat="false" ht="14.25" hidden="false" customHeight="true" outlineLevel="0" collapsed="false">
      <c r="F43" s="1" t="n">
        <f aca="false">F41-'2024'!L38</f>
        <v>0</v>
      </c>
    </row>
    <row r="50" customFormat="false" ht="14.25" hidden="false" customHeight="true" outlineLevel="0" collapsed="false">
      <c r="A50" s="165"/>
      <c r="B50" s="189"/>
      <c r="C50" s="189" t="s">
        <v>176</v>
      </c>
      <c r="D50" s="189" t="s">
        <v>176</v>
      </c>
      <c r="E50" s="189" t="s">
        <v>32</v>
      </c>
      <c r="F50" s="158"/>
      <c r="G50" s="158"/>
      <c r="H50" s="158" t="n">
        <v>0</v>
      </c>
      <c r="I50" s="190" t="str">
        <f aca="false">IFERROR(H50/$H$19,"")</f>
        <v/>
      </c>
      <c r="J50" s="190" t="str">
        <f aca="false">IFERROR(H50/G50-1,"-")</f>
        <v>-</v>
      </c>
      <c r="K50" s="158" t="n">
        <f aca="false">H50-G50</f>
        <v>0</v>
      </c>
      <c r="M50" s="158"/>
      <c r="N50" s="190" t="str">
        <f aca="false">IFERROR(H50/M50-1,"-")</f>
        <v>-</v>
      </c>
      <c r="O50" s="158" t="n">
        <f aca="false">H50-M50</f>
        <v>0</v>
      </c>
    </row>
    <row r="51" customFormat="false" ht="14.25" hidden="false" customHeight="true" outlineLevel="0" collapsed="false">
      <c r="A51" s="169"/>
      <c r="B51" s="193"/>
      <c r="C51" s="193" t="s">
        <v>177</v>
      </c>
      <c r="D51" s="193" t="s">
        <v>177</v>
      </c>
      <c r="E51" s="193" t="s">
        <v>178</v>
      </c>
      <c r="F51" s="158"/>
      <c r="G51" s="158"/>
      <c r="H51" s="158" t="n">
        <v>0</v>
      </c>
      <c r="I51" s="190" t="str">
        <f aca="false">IFERROR(H51/$H$19,"")</f>
        <v/>
      </c>
      <c r="J51" s="190" t="str">
        <f aca="false">IFERROR(H51/G51-1,"-")</f>
        <v>-</v>
      </c>
      <c r="K51" s="158" t="n">
        <f aca="false">H51-G51</f>
        <v>0</v>
      </c>
      <c r="M51" s="158"/>
      <c r="N51" s="190" t="str">
        <f aca="false">IFERROR(H51/M51-1,"-")</f>
        <v>-</v>
      </c>
      <c r="O51" s="158" t="n">
        <f aca="false">H51-M51</f>
        <v>0</v>
      </c>
    </row>
    <row r="52" customFormat="false" ht="14.25" hidden="false" customHeight="true" outlineLevel="0" collapsed="false">
      <c r="A52" s="169"/>
      <c r="B52" s="193"/>
      <c r="C52" s="193" t="s">
        <v>179</v>
      </c>
      <c r="D52" s="193" t="s">
        <v>179</v>
      </c>
      <c r="E52" s="193" t="s">
        <v>179</v>
      </c>
      <c r="F52" s="158"/>
      <c r="G52" s="158"/>
      <c r="H52" s="158" t="n">
        <v>0</v>
      </c>
      <c r="I52" s="190" t="str">
        <f aca="false">IFERROR(H52/$H$19,"")</f>
        <v/>
      </c>
      <c r="J52" s="190" t="str">
        <f aca="false">IFERROR(H52/G52-1,"-")</f>
        <v>-</v>
      </c>
      <c r="K52" s="158" t="n">
        <f aca="false">H52-G52</f>
        <v>0</v>
      </c>
      <c r="M52" s="158"/>
      <c r="N52" s="190" t="str">
        <f aca="false">IFERROR(H52/M52-1,"-")</f>
        <v>-</v>
      </c>
      <c r="O52" s="158" t="n">
        <f aca="false">H52-M52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N45" activeCellId="0" sqref="N45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1" width="28"/>
    <col collapsed="false" customWidth="true" hidden="false" outlineLevel="0" max="4" min="4" style="1" width="28"/>
    <col collapsed="false" customWidth="true" hidden="false" outlineLevel="0" max="5" min="5" style="1" width="13.38"/>
    <col collapsed="false" customWidth="true" hidden="false" outlineLevel="0" max="6" min="6" style="1" width="12.25"/>
    <col collapsed="false" customWidth="true" hidden="false" outlineLevel="0" max="8" min="7" style="1" width="10.88"/>
    <col collapsed="false" customWidth="true" hidden="false" outlineLevel="0" max="9" min="9" style="111" width="10.75"/>
    <col collapsed="false" customWidth="true" hidden="false" outlineLevel="0" max="10" min="10" style="1" width="11.88"/>
    <col collapsed="false" customWidth="true" hidden="false" outlineLevel="0" max="12" min="12" style="1" width="10.88"/>
    <col collapsed="false" customWidth="true" hidden="false" outlineLevel="0" max="13" min="13" style="111" width="9.75"/>
    <col collapsed="false" customWidth="true" hidden="false" outlineLevel="0" max="14" min="14" style="1" width="11.5"/>
    <col collapsed="false" customWidth="true" hidden="false" outlineLevel="0" max="16" min="16" style="1" width="10.88"/>
    <col collapsed="false" customWidth="true" hidden="false" outlineLevel="0" max="17" min="17" style="111" width="6.75"/>
    <col collapsed="false" customWidth="true" hidden="false" outlineLevel="0" max="18" min="18" style="1" width="13"/>
  </cols>
  <sheetData>
    <row r="1" customFormat="false" ht="15.75" hidden="false" customHeight="true" outlineLevel="0" collapsed="false">
      <c r="B1" s="7"/>
      <c r="C1" s="7" t="s">
        <v>241</v>
      </c>
      <c r="D1" s="7" t="s">
        <v>241</v>
      </c>
      <c r="E1" s="7"/>
      <c r="F1" s="159"/>
      <c r="G1" s="159"/>
      <c r="H1" s="159"/>
      <c r="I1" s="160"/>
      <c r="J1" s="159"/>
      <c r="L1" s="159"/>
      <c r="M1" s="160"/>
      <c r="N1" s="159"/>
      <c r="P1" s="7"/>
      <c r="Q1" s="160"/>
      <c r="R1" s="7"/>
    </row>
    <row r="2" customFormat="false" ht="15" hidden="false" customHeight="true" outlineLevel="0" collapsed="false">
      <c r="A2" s="161" t="s">
        <v>2</v>
      </c>
      <c r="B2" s="162"/>
      <c r="C2" s="162"/>
      <c r="D2" s="162"/>
      <c r="E2" s="162" t="s">
        <v>3</v>
      </c>
      <c r="F2" s="163" t="s">
        <v>242</v>
      </c>
      <c r="G2" s="163" t="s">
        <v>243</v>
      </c>
      <c r="H2" s="163" t="s">
        <v>244</v>
      </c>
      <c r="I2" s="164" t="s">
        <v>168</v>
      </c>
      <c r="J2" s="163" t="s">
        <v>169</v>
      </c>
      <c r="L2" s="163" t="s">
        <v>170</v>
      </c>
      <c r="M2" s="164" t="s">
        <v>114</v>
      </c>
      <c r="N2" s="163" t="s">
        <v>115</v>
      </c>
      <c r="P2" s="186" t="s">
        <v>1</v>
      </c>
      <c r="Q2" s="164" t="s">
        <v>212</v>
      </c>
      <c r="R2" s="162" t="s">
        <v>215</v>
      </c>
    </row>
    <row r="3" customFormat="false" ht="14.25" hidden="false" customHeight="true" outlineLevel="0" collapsed="false">
      <c r="A3" s="165" t="n">
        <v>5</v>
      </c>
      <c r="B3" s="166" t="s">
        <v>143</v>
      </c>
      <c r="C3" s="166" t="s">
        <v>31</v>
      </c>
      <c r="D3" s="166" t="s">
        <v>31</v>
      </c>
      <c r="E3" s="166" t="s">
        <v>32</v>
      </c>
      <c r="F3" s="158" t="n">
        <f aca="false">ינואר!E3+פברואר!E3+מרץ!E3+אפריל!E3+מאי!E3+יוני!E3+יולי!F3+אוגוסט!F3+ספטמבר!F3+אוקטובר!F3+נובמבר!F3</f>
        <v>1734310.2</v>
      </c>
      <c r="G3" s="158" t="n">
        <f aca="false">ינואר!F3+פברואר!F3+מרץ!F3+אפריל!F3+מאי!F3+יוני!F3+יולי!G3+אוגוסט!G3+ספטמבר!G3+אוקטובר!G3+נובמבר!G3</f>
        <v>1611037.79</v>
      </c>
      <c r="H3" s="158" t="n">
        <f aca="false">ינואר!G3+פברואר!G3+מרץ!G3+אפריל!G3+מאי!G3+יוני!G3+יולי!H3+אוגוסט!H3+ספטמבר!H3+אוקטובר!H3+נובמבר!H3</f>
        <v>1328770.55</v>
      </c>
      <c r="I3" s="167" t="n">
        <f aca="false">IFERROR(H3/G3-1,"")</f>
        <v>-0.175208329532729</v>
      </c>
      <c r="J3" s="158" t="n">
        <f aca="false">H3-G3</f>
        <v>-282267.24</v>
      </c>
      <c r="L3" s="158" t="n">
        <f aca="false">ינואר!J3+פברואר!J3+מרץ!J3+אפריל!J3+מאי!J3+יוני!J3+יולי!M3+אוגוסט!M3+ספטמבר!M3+אוקטובר!M3+נובמבר!M3</f>
        <v>2276507.93650794</v>
      </c>
      <c r="M3" s="167" t="n">
        <f aca="false">IFERROR(H3/L3-1,"")</f>
        <v>-0.416311918491145</v>
      </c>
      <c r="N3" s="158" t="n">
        <f aca="false">H3-L3</f>
        <v>-947737.386507937</v>
      </c>
      <c r="P3" s="166" t="n">
        <v>1740443.3</v>
      </c>
      <c r="Q3" s="167" t="n">
        <f aca="false">IFERROR(H3/P3,"-")</f>
        <v>0.763466727126359</v>
      </c>
      <c r="R3" s="166" t="n">
        <f aca="false">H3-P3</f>
        <v>-411672.75</v>
      </c>
    </row>
    <row r="4" customFormat="false" ht="14.25" hidden="false" customHeight="true" outlineLevel="0" collapsed="false">
      <c r="A4" s="168" t="n">
        <v>1</v>
      </c>
      <c r="B4" s="166" t="s">
        <v>33</v>
      </c>
      <c r="C4" s="166" t="s">
        <v>33</v>
      </c>
      <c r="D4" s="166" t="s">
        <v>33</v>
      </c>
      <c r="E4" s="166" t="s">
        <v>32</v>
      </c>
      <c r="F4" s="158" t="n">
        <f aca="false">ינואר!E4+פברואר!E4+מרץ!E4+אפריל!E4+מאי!E4+יוני!E4+יולי!F4+אוגוסט!F4+ספטמבר!F4+אוקטובר!F4+נובמבר!F4</f>
        <v>5028515.492</v>
      </c>
      <c r="G4" s="158" t="n">
        <f aca="false">ינואר!F4+פברואר!F4+מרץ!F4+אפריל!F4+מאי!F4+יוני!F4+יולי!G4+אוגוסט!G4+ספטמבר!G4+אוקטובר!G4+נובמבר!G4</f>
        <v>5618725.93260004</v>
      </c>
      <c r="H4" s="158" t="n">
        <f aca="false">ינואר!G4+פברואר!G4+מרץ!G4+אפריל!G4+מאי!G4+יוני!G4+יולי!H4+אוגוסט!H4+ספטמבר!H4+אוקטובר!H4+נובמבר!H4</f>
        <v>4231396.26</v>
      </c>
      <c r="I4" s="167" t="n">
        <f aca="false">IFERROR(H4/G4-1,"")</f>
        <v>-0.246911789121214</v>
      </c>
      <c r="J4" s="158" t="n">
        <f aca="false">H4-G4</f>
        <v>-1387329.67260004</v>
      </c>
      <c r="L4" s="158" t="n">
        <f aca="false">ינואר!J4+פברואר!J4+מרץ!J4+אפריל!J4+מאי!J4+יוני!J4+יולי!M4+אוגוסט!M4+ספטמבר!M4+אוקטובר!M4+נובמבר!M4</f>
        <v>6180269.84126985</v>
      </c>
      <c r="M4" s="167" t="n">
        <f aca="false">IFERROR(H4/L4-1,"")</f>
        <v>-0.315337943378442</v>
      </c>
      <c r="N4" s="158" t="n">
        <f aca="false">H4-L4</f>
        <v>-1948873.58126985</v>
      </c>
      <c r="P4" s="166" t="n">
        <v>5524937.893</v>
      </c>
      <c r="Q4" s="167" t="n">
        <f aca="false">IFERROR(H4/P4,"-")</f>
        <v>0.765872185705672</v>
      </c>
      <c r="R4" s="166" t="n">
        <f aca="false">H4-P4</f>
        <v>-1293541.633</v>
      </c>
    </row>
    <row r="5" customFormat="false" ht="14.25" hidden="false" customHeight="true" outlineLevel="0" collapsed="false">
      <c r="A5" s="168" t="n">
        <v>7</v>
      </c>
      <c r="B5" s="166" t="s">
        <v>34</v>
      </c>
      <c r="C5" s="166" t="s">
        <v>34</v>
      </c>
      <c r="D5" s="166" t="s">
        <v>34</v>
      </c>
      <c r="E5" s="166" t="s">
        <v>32</v>
      </c>
      <c r="F5" s="158" t="n">
        <f aca="false">ינואר!E5+פברואר!E5+מרץ!E5+אפריל!E5+מאי!E5+יוני!E5+יולי!F5+אוגוסט!F5+ספטמבר!F5+אוקטובר!F5+נובמבר!F5</f>
        <v>999927.929</v>
      </c>
      <c r="G5" s="158" t="n">
        <f aca="false">ינואר!F5+פברואר!F5+מרץ!F5+אפריל!F5+מאי!F5+יוני!F5+יולי!G5+אוגוסט!G5+ספטמבר!G5+אוקטובר!G5+נובמבר!G5</f>
        <v>767439.58</v>
      </c>
      <c r="H5" s="158" t="n">
        <f aca="false">ינואר!G5+פברואר!G5+מרץ!G5+אפריל!G5+מאי!G5+יוני!G5+יולי!H5+אוגוסט!H5+ספטמבר!H5+אוקטובר!H5+נובמבר!H5</f>
        <v>651059.045</v>
      </c>
      <c r="I5" s="167" t="n">
        <f aca="false">IFERROR(H5/G5-1,"")</f>
        <v>-0.151647814411657</v>
      </c>
      <c r="J5" s="158" t="n">
        <f aca="false">H5-G5</f>
        <v>-116380.535</v>
      </c>
      <c r="L5" s="158" t="n">
        <f aca="false">ינואר!J5+פברואר!J5+מרץ!J5+אפריל!J5+מאי!J5+יוני!J5+יולי!M5+אוגוסט!M5+ספטמבר!M5+אוקטובר!M5+נובמבר!M5</f>
        <v>817857.142857143</v>
      </c>
      <c r="M5" s="167" t="n">
        <f aca="false">IFERROR(H5/L5-1,"")</f>
        <v>-0.203945272489083</v>
      </c>
      <c r="N5" s="158" t="n">
        <f aca="false">H5-L5</f>
        <v>-166798.097857143</v>
      </c>
      <c r="P5" s="166" t="n">
        <v>937274.565</v>
      </c>
      <c r="Q5" s="167" t="n">
        <f aca="false">IFERROR(H5/P5,"-")</f>
        <v>0.694630014845223</v>
      </c>
      <c r="R5" s="166" t="n">
        <f aca="false">H5-P5</f>
        <v>-286215.52</v>
      </c>
    </row>
    <row r="6" customFormat="false" ht="14.25" hidden="false" customHeight="true" outlineLevel="0" collapsed="false">
      <c r="A6" s="168" t="n">
        <v>4</v>
      </c>
      <c r="B6" s="166" t="s">
        <v>35</v>
      </c>
      <c r="C6" s="166" t="s">
        <v>35</v>
      </c>
      <c r="D6" s="166" t="s">
        <v>35</v>
      </c>
      <c r="E6" s="166" t="s">
        <v>32</v>
      </c>
      <c r="F6" s="158" t="n">
        <f aca="false">ינואר!E6+פברואר!E6+מרץ!E6+אפריל!E6+מאי!E6+יוני!E6+יולי!F6+אוגוסט!F6+ספטמבר!F6+אוקטובר!F6+נובמבר!F6</f>
        <v>1686538.317</v>
      </c>
      <c r="G6" s="158" t="n">
        <f aca="false">ינואר!F6+פברואר!F6+מרץ!F6+אפריל!F6+מאי!F6+יוני!F6+יולי!G6+אוגוסט!G6+ספטמבר!G6+אוקטובר!G6+נובמבר!G6</f>
        <v>1796943.0594</v>
      </c>
      <c r="H6" s="158" t="n">
        <f aca="false">ינואר!G6+פברואר!G6+מרץ!G6+אפריל!G6+מאי!G6+יוני!G6+יולי!H6+אוגוסט!H6+ספטמבר!H6+אוקטובר!H6+נובמבר!H6</f>
        <v>1409547.845</v>
      </c>
      <c r="I6" s="167" t="n">
        <f aca="false">IFERROR(H6/G6-1,"")</f>
        <v>-0.215585692809517</v>
      </c>
      <c r="J6" s="158" t="n">
        <f aca="false">H6-G6</f>
        <v>-387395.214400002</v>
      </c>
      <c r="L6" s="158" t="n">
        <f aca="false">ינואר!J6+פברואר!J6+מרץ!J6+אפריל!J6+מאי!J6+יוני!J6+יולי!M6+אוגוסט!M6+ספטמבר!M6+אוקטובר!M6+נובמבר!M6</f>
        <v>1773587.3015873</v>
      </c>
      <c r="M6" s="167" t="n">
        <f aca="false">IFERROR(H6/L6-1,"")</f>
        <v>-0.205256012073101</v>
      </c>
      <c r="N6" s="158" t="n">
        <f aca="false">H6-L6</f>
        <v>-364039.456587301</v>
      </c>
      <c r="P6" s="166" t="n">
        <v>1918523.978</v>
      </c>
      <c r="Q6" s="167" t="n">
        <f aca="false">IFERROR(H6/P6,"-")</f>
        <v>0.734704314964783</v>
      </c>
      <c r="R6" s="166" t="n">
        <f aca="false">H6-P6</f>
        <v>-508976.133</v>
      </c>
    </row>
    <row r="7" customFormat="false" ht="14.25" hidden="false" customHeight="true" outlineLevel="0" collapsed="false">
      <c r="A7" s="168" t="n">
        <v>3</v>
      </c>
      <c r="B7" s="166" t="s">
        <v>148</v>
      </c>
      <c r="C7" s="166" t="s">
        <v>36</v>
      </c>
      <c r="D7" s="166" t="s">
        <v>36</v>
      </c>
      <c r="E7" s="166" t="s">
        <v>32</v>
      </c>
      <c r="F7" s="158" t="n">
        <f aca="false">ינואר!E7+פברואר!E7+מרץ!E7+אפריל!E7+מאי!E7+יוני!E7+יולי!F7+אוגוסט!F7+ספטמבר!F7+אוקטובר!F7+נובמבר!F7</f>
        <v>3740316.3</v>
      </c>
      <c r="G7" s="158" t="n">
        <f aca="false">ינואר!F7+פברואר!F7+מרץ!F7+אפריל!F7+מאי!F7+יוני!F7+יולי!G7+אוגוסט!G7+ספטמבר!G7+אוקטובר!G7+נובמבר!G7</f>
        <v>3441916.92</v>
      </c>
      <c r="H7" s="158" t="n">
        <f aca="false">ינואר!G7+פברואר!G7+מרץ!G7+אפריל!G7+מאי!G7+יוני!G7+יולי!H7+אוגוסט!H7+ספטמבר!H7+אוקטובר!H7+נובמבר!H7</f>
        <v>2727663.25</v>
      </c>
      <c r="I7" s="167" t="n">
        <f aca="false">IFERROR(H7/G7-1,"")</f>
        <v>-0.207516243593701</v>
      </c>
      <c r="J7" s="158" t="n">
        <f aca="false">H7-G7</f>
        <v>-714253.67</v>
      </c>
      <c r="L7" s="158" t="n">
        <f aca="false">ינואר!J7+פברואר!J7+מרץ!J7+אפריל!J7+מאי!J7+יוני!J7+יולי!M7+אוגוסט!M7+ספטמבר!M7+אוקטובר!M7+נובמבר!M7</f>
        <v>4015000</v>
      </c>
      <c r="M7" s="167" t="n">
        <f aca="false">IFERROR(H7/L7-1,"")</f>
        <v>-0.320631818181818</v>
      </c>
      <c r="N7" s="158" t="n">
        <f aca="false">H7-L7</f>
        <v>-1287336.75</v>
      </c>
      <c r="P7" s="166" t="n">
        <v>3392410.85</v>
      </c>
      <c r="Q7" s="167" t="n">
        <f aca="false">IFERROR(H7/P7,"-")</f>
        <v>0.804048616340205</v>
      </c>
      <c r="R7" s="166" t="n">
        <f aca="false">H7-P7</f>
        <v>-664747.6</v>
      </c>
    </row>
    <row r="8" customFormat="false" ht="14.25" hidden="false" customHeight="true" outlineLevel="0" collapsed="false">
      <c r="A8" s="168" t="n">
        <v>8</v>
      </c>
      <c r="B8" s="166" t="s">
        <v>147</v>
      </c>
      <c r="C8" s="166" t="s">
        <v>37</v>
      </c>
      <c r="D8" s="166" t="s">
        <v>37</v>
      </c>
      <c r="E8" s="166" t="s">
        <v>32</v>
      </c>
      <c r="F8" s="158" t="n">
        <f aca="false">ינואר!E8+פברואר!E8+מרץ!E8+אפריל!E8+מאי!E8+יוני!E8+יולי!F8+אוגוסט!F8+ספטמבר!F8+אוקטובר!F8+נובמבר!F8</f>
        <v>729461</v>
      </c>
      <c r="G8" s="158" t="n">
        <f aca="false">ינואר!F8+פברואר!F8+מרץ!F8+אפריל!F8+מאי!F8+יוני!F8+יולי!G8+אוגוסט!G8+ספטמבר!G8+אוקטובר!G8+נובמבר!G8</f>
        <v>832591.94</v>
      </c>
      <c r="H8" s="158" t="n">
        <f aca="false">ינואר!G8+פברואר!G8+מרץ!G8+אפריל!G8+מאי!G8+יוני!G8+יולי!H8+אוגוסט!H8+ספטמבר!H8+אוקטובר!H8+נובמבר!H8</f>
        <v>520254.741</v>
      </c>
      <c r="I8" s="167" t="n">
        <f aca="false">IFERROR(H8/G8-1,"")</f>
        <v>-0.375138388920748</v>
      </c>
      <c r="J8" s="158" t="n">
        <f aca="false">H8-G8</f>
        <v>-312337.199</v>
      </c>
      <c r="L8" s="158" t="n">
        <f aca="false">ינואר!J8+פברואר!J8+מרץ!J8+אפריל!J8+מאי!J8+יוני!J8+יולי!M8+אוגוסט!M8+ספטמבר!M8+אוקטובר!M8+נובמבר!M8</f>
        <v>1128730.15873016</v>
      </c>
      <c r="M8" s="167" t="n">
        <f aca="false">IFERROR(H8/L8-1,"")</f>
        <v>-0.539079613514273</v>
      </c>
      <c r="N8" s="158" t="n">
        <f aca="false">H8-L8</f>
        <v>-608475.417730157</v>
      </c>
      <c r="P8" s="166" t="n">
        <v>843097.611</v>
      </c>
      <c r="Q8" s="167" t="n">
        <f aca="false">IFERROR(H8/P8,"-")</f>
        <v>0.617075335301834</v>
      </c>
      <c r="R8" s="166" t="n">
        <f aca="false">H8-P8</f>
        <v>-322842.87</v>
      </c>
    </row>
    <row r="9" customFormat="false" ht="14.25" hidden="false" customHeight="true" outlineLevel="0" collapsed="false">
      <c r="A9" s="168" t="n">
        <v>6</v>
      </c>
      <c r="B9" s="166" t="s">
        <v>137</v>
      </c>
      <c r="C9" s="166" t="s">
        <v>38</v>
      </c>
      <c r="D9" s="166" t="s">
        <v>38</v>
      </c>
      <c r="E9" s="166" t="s">
        <v>32</v>
      </c>
      <c r="F9" s="158" t="n">
        <f aca="false">ינואר!E9+פברואר!E9+מרץ!E9+אפריל!E9+מאי!E9+יוני!E9+יולי!F9+אוגוסט!F9+ספטמבר!F9+אוקטובר!F9+נובמבר!F9</f>
        <v>835348.79</v>
      </c>
      <c r="G9" s="158" t="n">
        <f aca="false">ינואר!F9+פברואר!F9+מרץ!F9+אפריל!F9+מאי!F9+יוני!F9+יולי!G9+אוגוסט!G9+ספטמבר!G9+אוקטובר!G9+נובמבר!G9</f>
        <v>785456.37</v>
      </c>
      <c r="H9" s="158" t="n">
        <f aca="false">ינואר!G9+פברואר!G9+מרץ!G9+אפריל!G9+מאי!G9+יוני!G9+יולי!H9+אוגוסט!H9+ספטמבר!H9+אוקטובר!H9+נובמבר!H9</f>
        <v>678114.16</v>
      </c>
      <c r="I9" s="167" t="n">
        <f aca="false">IFERROR(H9/G9-1,"")</f>
        <v>-0.136662218424685</v>
      </c>
      <c r="J9" s="158" t="n">
        <f aca="false">H9-G9</f>
        <v>-107342.21</v>
      </c>
      <c r="L9" s="158" t="n">
        <f aca="false">ינואר!J9+פברואר!J9+מרץ!J9+אפריל!J9+מאי!J9+יוני!J9+יולי!M9+אוגוסט!M9+ספטמבר!M9+אוקטובר!M9+נובמבר!M9</f>
        <v>1801408.73015873</v>
      </c>
      <c r="M9" s="167" t="n">
        <f aca="false">IFERROR(H9/L9-1,"")</f>
        <v>-0.62356452000749</v>
      </c>
      <c r="N9" s="158" t="n">
        <f aca="false">H9-L9</f>
        <v>-1123294.57015873</v>
      </c>
      <c r="P9" s="166" t="n">
        <v>975277.57</v>
      </c>
      <c r="Q9" s="167" t="n">
        <f aca="false">IFERROR(H9/P9,"-")</f>
        <v>0.695303758498209</v>
      </c>
      <c r="R9" s="166" t="n">
        <f aca="false">H9-P9</f>
        <v>-297163.41</v>
      </c>
    </row>
    <row r="10" customFormat="false" ht="14.25" hidden="false" customHeight="true" outlineLevel="0" collapsed="false">
      <c r="A10" s="169" t="n">
        <v>10</v>
      </c>
      <c r="B10" s="166" t="s">
        <v>138</v>
      </c>
      <c r="C10" s="166" t="s">
        <v>39</v>
      </c>
      <c r="D10" s="166" t="s">
        <v>39</v>
      </c>
      <c r="E10" s="166" t="s">
        <v>32</v>
      </c>
      <c r="F10" s="158" t="n">
        <f aca="false">ינואר!E10+פברואר!E10+מרץ!E10+אפריל!E10+מאי!E10+יוני!E10+יולי!F10+אוגוסט!F10+ספטמבר!F10+אוקטובר!F10+נובמבר!F10</f>
        <v>170803.61</v>
      </c>
      <c r="G10" s="158" t="n">
        <f aca="false">ינואר!F10+פברואר!F10+מרץ!F10+אפריל!F10+מאי!F10+יוני!F10+יולי!G10+אוגוסט!G10+ספטמבר!G10+אוקטובר!G10+נובמבר!G10</f>
        <v>174036.01</v>
      </c>
      <c r="H10" s="158" t="n">
        <f aca="false">ינואר!G10+פברואר!G10+מרץ!G10+אפריל!G10+מאי!G10+יוני!G10+יולי!H10+אוגוסט!H10+ספטמבר!H10+אוקטובר!H10+נובמבר!H10</f>
        <v>79418.59</v>
      </c>
      <c r="I10" s="167" t="n">
        <f aca="false">IFERROR(H10/G10-1,"")</f>
        <v>-0.543665762045452</v>
      </c>
      <c r="J10" s="158" t="n">
        <f aca="false">H10-G10</f>
        <v>-94617.42</v>
      </c>
      <c r="L10" s="158" t="n">
        <f aca="false">ינואר!J10+פברואר!J10+מרץ!J10+אפריל!J10+מאי!J10+יוני!J10+יולי!M10+אוגוסט!M10+ספטמבר!M10+אוקטובר!M10+נובמבר!M10</f>
        <v>172658.73015873</v>
      </c>
      <c r="M10" s="167" t="n">
        <f aca="false">IFERROR(H10/L10-1,"")</f>
        <v>-0.540025633647437</v>
      </c>
      <c r="N10" s="158" t="n">
        <f aca="false">H10-L10</f>
        <v>-93240.1401587301</v>
      </c>
      <c r="P10" s="166" t="n">
        <v>136235.08</v>
      </c>
      <c r="Q10" s="167" t="n">
        <f aca="false">IFERROR(H10/P10,"-")</f>
        <v>0.582952569925455</v>
      </c>
      <c r="R10" s="166" t="n">
        <f aca="false">H10-P10</f>
        <v>-56816.49</v>
      </c>
    </row>
    <row r="11" customFormat="false" ht="14.25" hidden="false" customHeight="true" outlineLevel="0" collapsed="false">
      <c r="A11" s="168" t="n">
        <v>11</v>
      </c>
      <c r="B11" s="166" t="s">
        <v>141</v>
      </c>
      <c r="C11" s="166" t="s">
        <v>40</v>
      </c>
      <c r="D11" s="166" t="s">
        <v>40</v>
      </c>
      <c r="E11" s="166" t="s">
        <v>32</v>
      </c>
      <c r="F11" s="158" t="n">
        <f aca="false">ינואר!E11+פברואר!E11+מרץ!E11+אפריל!E11+מאי!E11+יוני!E11+יולי!F11+אוגוסט!F11+ספטמבר!F11+אוקטובר!F11+נובמבר!F11</f>
        <v>81490.43</v>
      </c>
      <c r="G11" s="158" t="n">
        <f aca="false">ינואר!F11+פברואר!F11+מרץ!F11+אפריל!F11+מאי!F11+יוני!F11+יולי!G11+אוגוסט!G11+ספטמבר!G11+אוקטובר!G11+נובמבר!G11</f>
        <v>51493.14</v>
      </c>
      <c r="H11" s="158" t="n">
        <f aca="false">ינואר!G11+פברואר!G11+מרץ!G11+אפריל!G11+מאי!G11+יוני!G11+יולי!H11+אוגוסט!H11+ספטמבר!H11+אוקטובר!H11+נובמבר!H11</f>
        <v>45013.96</v>
      </c>
      <c r="I11" s="167" t="n">
        <f aca="false">IFERROR(H11/G11-1,"")</f>
        <v>-0.125826080910972</v>
      </c>
      <c r="J11" s="158" t="n">
        <f aca="false">H11-G11</f>
        <v>-6479.18</v>
      </c>
      <c r="L11" s="158" t="n">
        <f aca="false">ינואר!J11+פברואר!J11+מרץ!J11+אפריל!J11+מאי!J11+יוני!J11+יולי!M11+אוגוסט!M11+ספטמבר!M11+אוקטובר!M11+נובמבר!M11</f>
        <v>90873.0158730159</v>
      </c>
      <c r="M11" s="167" t="n">
        <f aca="false">IFERROR(H11/L11-1,"")</f>
        <v>-0.504649872489083</v>
      </c>
      <c r="N11" s="158" t="n">
        <f aca="false">H11-L11</f>
        <v>-45859.0558730159</v>
      </c>
      <c r="P11" s="166" t="n">
        <v>84015.41</v>
      </c>
      <c r="Q11" s="167" t="n">
        <f aca="false">IFERROR(H11/P11,"-")</f>
        <v>0.535782185672843</v>
      </c>
      <c r="R11" s="166" t="n">
        <f aca="false">H11-P11</f>
        <v>-39001.45</v>
      </c>
    </row>
    <row r="12" customFormat="false" ht="14.25" hidden="false" customHeight="true" outlineLevel="0" collapsed="false">
      <c r="A12" s="168" t="n">
        <v>14</v>
      </c>
      <c r="B12" s="166" t="s">
        <v>142</v>
      </c>
      <c r="C12" s="166" t="s">
        <v>41</v>
      </c>
      <c r="D12" s="166" t="s">
        <v>41</v>
      </c>
      <c r="E12" s="166" t="s">
        <v>32</v>
      </c>
      <c r="F12" s="158" t="n">
        <f aca="false">ינואר!E12+פברואר!E12+מרץ!E12+אפריל!E12+מאי!E12+יוני!E12+יולי!F12+אוגוסט!F12+ספטמבר!F12+אוקטובר!F12+נובמבר!F12</f>
        <v>2380.1</v>
      </c>
      <c r="G12" s="158" t="n">
        <f aca="false">ינואר!F12+פברואר!F12+מרץ!F12+אפריל!F12+מאי!F12+יוני!F12+יולי!G12+אוגוסט!G12+ספטמבר!G12+אוקטובר!G12+נובמבר!G12</f>
        <v>4145.68</v>
      </c>
      <c r="H12" s="158" t="n">
        <f aca="false">ינואר!G12+פברואר!G12+מרץ!G12+אפריל!G12+מאי!G12+יוני!G12+יולי!H12+אוגוסט!H12+ספטמבר!H12+אוקטובר!H12+נובמבר!H12</f>
        <v>4305.02</v>
      </c>
      <c r="I12" s="167" t="n">
        <f aca="false">IFERROR(H12/G12-1,"")</f>
        <v>0.0384351903668396</v>
      </c>
      <c r="J12" s="158" t="n">
        <f aca="false">H12-G12</f>
        <v>159.339999999999</v>
      </c>
      <c r="L12" s="158" t="n">
        <f aca="false">ינואר!J12+פברואר!J12+מרץ!J12+אפריל!J12+מאי!J12+יוני!J12+יולי!M12+אוגוסט!M12+ספטמבר!M12+אוקטובר!M12+נובמבר!M12</f>
        <v>0</v>
      </c>
      <c r="M12" s="167" t="str">
        <f aca="false">IFERROR(H12/L12-1,"")</f>
        <v/>
      </c>
      <c r="N12" s="158" t="n">
        <f aca="false">H12-L12</f>
        <v>4305.02</v>
      </c>
      <c r="P12" s="166" t="n">
        <v>28576.15</v>
      </c>
      <c r="Q12" s="167" t="n">
        <f aca="false">IFERROR(H12/P12,"-")</f>
        <v>0.150650804954481</v>
      </c>
      <c r="R12" s="166" t="n">
        <f aca="false">H12-P12</f>
        <v>-24271.13</v>
      </c>
    </row>
    <row r="13" customFormat="false" ht="14.25" hidden="false" customHeight="true" outlineLevel="0" collapsed="false">
      <c r="A13" s="168" t="n">
        <v>15</v>
      </c>
      <c r="B13" s="166" t="s">
        <v>139</v>
      </c>
      <c r="C13" s="166" t="s">
        <v>47</v>
      </c>
      <c r="D13" s="166" t="s">
        <v>47</v>
      </c>
      <c r="E13" s="166" t="s">
        <v>32</v>
      </c>
      <c r="F13" s="158" t="n">
        <f aca="false">ינואר!E13+פברואר!E13+מרץ!E13+אפריל!E13+מאי!E13+יוני!E13+יולי!F13+אוגוסט!F13+ספטמבר!F13+אוקטובר!F13+נובמבר!F13</f>
        <v>1597.46</v>
      </c>
      <c r="G13" s="158" t="n">
        <f aca="false">ינואר!F13+פברואר!F13+מרץ!F13+אפריל!F13+מאי!F13+יוני!F13+יולי!G13+אוגוסט!G13+ספטמבר!G13+אוקטובר!G13+נובמבר!G13</f>
        <v>514.2</v>
      </c>
      <c r="H13" s="158" t="n">
        <f aca="false">ינואר!G13+פברואר!G13+מרץ!G13+אפריל!G13+מאי!G13+יוני!G13+יולי!H13+אוגוסט!H13+ספטמבר!H13+אוקטובר!H13+נובמבר!H13</f>
        <v>1896.82</v>
      </c>
      <c r="I13" s="167" t="n">
        <f aca="false">IFERROR(H13/G13-1,"")</f>
        <v>2.68887592376507</v>
      </c>
      <c r="J13" s="158" t="n">
        <f aca="false">H13-G13</f>
        <v>1382.62</v>
      </c>
      <c r="L13" s="158" t="n">
        <f aca="false">ינואר!J13+פברואר!J13+מרץ!J13+אפריל!J13+מאי!J13+יוני!J13+יולי!M13+אוגוסט!M13+ספטמבר!M13+אוקטובר!M13+נובמבר!M13</f>
        <v>25000</v>
      </c>
      <c r="M13" s="167" t="n">
        <f aca="false">IFERROR(H13/L13-1,"")</f>
        <v>-0.9241272</v>
      </c>
      <c r="N13" s="158" t="n">
        <f aca="false">H13-L13</f>
        <v>-23103.18</v>
      </c>
      <c r="P13" s="166" t="n">
        <v>26896.82</v>
      </c>
      <c r="Q13" s="167" t="n">
        <f aca="false">IFERROR(H13/P13,"-")</f>
        <v>0.070522091459139</v>
      </c>
      <c r="R13" s="166" t="n">
        <f aca="false">H13-P13</f>
        <v>-25000</v>
      </c>
    </row>
    <row r="14" customFormat="false" ht="14.25" hidden="false" customHeight="true" outlineLevel="0" collapsed="false">
      <c r="A14" s="168" t="n">
        <v>13</v>
      </c>
      <c r="B14" s="166" t="s">
        <v>145</v>
      </c>
      <c r="C14" s="166" t="s">
        <v>43</v>
      </c>
      <c r="D14" s="166" t="s">
        <v>43</v>
      </c>
      <c r="E14" s="166" t="s">
        <v>32</v>
      </c>
      <c r="F14" s="158" t="n">
        <f aca="false">ינואר!E14+פברואר!E14+מרץ!E14+אפריל!E14+מאי!E14+יוני!E14+יולי!F14+אוגוסט!F14+ספטמבר!F14+אוקטובר!F14+נובמבר!F14</f>
        <v>7057.5</v>
      </c>
      <c r="G14" s="158" t="n">
        <f aca="false">ינואר!F14+פברואר!F14+מרץ!F14+אפריל!F14+מאי!F14+יוני!F14+יולי!G14+אוגוסט!G14+ספטמבר!G14+אוקטובר!G14+נובמבר!G14</f>
        <v>11718.66</v>
      </c>
      <c r="H14" s="158" t="n">
        <f aca="false">ינואר!G14+פברואר!G14+מרץ!G14+אפריל!G14+מאי!G14+יוני!G14+יולי!H14+אוגוסט!H14+ספטמבר!H14+אוקטובר!H14+נובמבר!H14</f>
        <v>14953.48</v>
      </c>
      <c r="I14" s="167" t="n">
        <f aca="false">IFERROR(H14/G14-1,"")</f>
        <v>0.27604009332125</v>
      </c>
      <c r="J14" s="158" t="n">
        <f aca="false">H14-G14</f>
        <v>3234.82</v>
      </c>
      <c r="L14" s="158" t="n">
        <f aca="false">ינואר!J14+פברואר!J14+מרץ!J14+אפריל!J14+מאי!J14+יוני!J14+יולי!M14+אוגוסט!M14+ספטמבר!M14+אוקטובר!M14+נובמבר!M14</f>
        <v>400000</v>
      </c>
      <c r="M14" s="167" t="n">
        <f aca="false">IFERROR(H14/L14-1,"")</f>
        <v>-0.9626163</v>
      </c>
      <c r="N14" s="158" t="n">
        <f aca="false">H14-L14</f>
        <v>-385046.52</v>
      </c>
      <c r="P14" s="166" t="n">
        <v>32748.72</v>
      </c>
      <c r="Q14" s="167" t="n">
        <f aca="false">IFERROR(H14/P14,"-")</f>
        <v>0.456612655395386</v>
      </c>
      <c r="R14" s="166" t="n">
        <f aca="false">H14-P14</f>
        <v>-17795.24</v>
      </c>
    </row>
    <row r="15" customFormat="false" ht="14.25" hidden="false" customHeight="true" outlineLevel="0" collapsed="false">
      <c r="A15" s="168" t="n">
        <v>9</v>
      </c>
      <c r="B15" s="166" t="s">
        <v>140</v>
      </c>
      <c r="C15" s="166" t="s">
        <v>44</v>
      </c>
      <c r="D15" s="166" t="s">
        <v>44</v>
      </c>
      <c r="E15" s="166" t="s">
        <v>32</v>
      </c>
      <c r="F15" s="158" t="n">
        <f aca="false">ינואר!E15+פברואר!E15+מרץ!E15+אפריל!E15+מאי!E15+יוני!E15+יולי!F15+אוגוסט!F15+ספטמבר!F15+אוקטובר!F15+נובמבר!F15</f>
        <v>68365.91</v>
      </c>
      <c r="G15" s="158" t="n">
        <f aca="false">ינואר!F15+פברואר!F15+מרץ!F15+אפריל!F15+מאי!F15+יוני!F15+יולי!G15+אוגוסט!G15+ספטמבר!G15+אוקטובר!G15+נובמבר!G15</f>
        <v>94340.1</v>
      </c>
      <c r="H15" s="158" t="n">
        <f aca="false">ינואר!G15+פברואר!G15+מרץ!G15+אפריל!G15+מאי!G15+יוני!G15+יולי!H15+אוגוסט!H15+ספטמבר!H15+אוקטובר!H15+נובמבר!H15</f>
        <v>118677.26</v>
      </c>
      <c r="I15" s="167" t="n">
        <f aca="false">IFERROR(H15/G15-1,"")</f>
        <v>0.257972590658691</v>
      </c>
      <c r="J15" s="158" t="n">
        <f aca="false">H15-G15</f>
        <v>24337.16</v>
      </c>
      <c r="L15" s="158" t="n">
        <f aca="false">ינואר!J15+פברואר!J15+מרץ!J15+אפריל!J15+מאי!J15+יוני!J15+יולי!M15+אוגוסט!M15+ספטמבר!M15+אוקטובר!M15+נובמבר!M15</f>
        <v>181746.031746032</v>
      </c>
      <c r="M15" s="167" t="n">
        <f aca="false">IFERROR(H15/L15-1,"")</f>
        <v>-0.347015949344979</v>
      </c>
      <c r="N15" s="158" t="n">
        <f aca="false">H15-L15</f>
        <v>-63068.7717460321</v>
      </c>
      <c r="P15" s="166" t="n">
        <v>214111.1</v>
      </c>
      <c r="Q15" s="167" t="n">
        <f aca="false">IFERROR(H15/P15,"-")</f>
        <v>0.554278876714005</v>
      </c>
      <c r="R15" s="166" t="n">
        <f aca="false">H15-P15</f>
        <v>-95433.84</v>
      </c>
    </row>
    <row r="16" customFormat="false" ht="15" hidden="false" customHeight="true" outlineLevel="0" collapsed="false">
      <c r="A16" s="170"/>
      <c r="B16" s="171"/>
      <c r="C16" s="171" t="s">
        <v>119</v>
      </c>
      <c r="D16" s="171" t="s">
        <v>119</v>
      </c>
      <c r="E16" s="171"/>
      <c r="F16" s="171" t="n">
        <f aca="false">SUM(F3:F15)</f>
        <v>15086113.038</v>
      </c>
      <c r="G16" s="171" t="n">
        <f aca="false">SUM(G3:G15)</f>
        <v>15190359.382</v>
      </c>
      <c r="H16" s="171" t="n">
        <f aca="false">SUM(H3:H15)</f>
        <v>11811070.981</v>
      </c>
      <c r="I16" s="172" t="n">
        <f aca="false">IFERROR(H16/G16-1,"")</f>
        <v>-0.222462702561492</v>
      </c>
      <c r="J16" s="171" t="n">
        <f aca="false">SUM(J3:J15)</f>
        <v>-3379288.40100004</v>
      </c>
      <c r="L16" s="171" t="n">
        <f aca="false">SUM(L3:L15)</f>
        <v>18863638.8888889</v>
      </c>
      <c r="M16" s="172" t="n">
        <f aca="false">IFERROR(H16/L16-1,"")</f>
        <v>-0.373871019766129</v>
      </c>
      <c r="N16" s="171" t="n">
        <f aca="false">SUM(N3:N15)</f>
        <v>-7052567.90788889</v>
      </c>
      <c r="P16" s="171" t="n">
        <f aca="false">SUM(P3:P15)</f>
        <v>15854549.047</v>
      </c>
      <c r="Q16" s="172" t="n">
        <f aca="false">IFERROR(H16/P16,"-")</f>
        <v>0.744964170597769</v>
      </c>
      <c r="R16" s="171" t="n">
        <f aca="false">E16-P16</f>
        <v>-15854549.047</v>
      </c>
    </row>
    <row r="17" customFormat="false" ht="14.25" hidden="false" customHeight="true" outlineLevel="0" collapsed="false">
      <c r="A17" s="168" t="n">
        <v>2</v>
      </c>
      <c r="B17" s="166" t="s">
        <v>149</v>
      </c>
      <c r="C17" s="166" t="s">
        <v>45</v>
      </c>
      <c r="D17" s="166" t="s">
        <v>45</v>
      </c>
      <c r="E17" s="166" t="s">
        <v>32</v>
      </c>
      <c r="F17" s="158" t="n">
        <f aca="false">ינואר!E17+פברואר!E17+מרץ!E17+אפריל!E17+מאי!E17+יוני!E17+יולי!F17+אוגוסט!F17+ספטמבר!F17+אוקטובר!F17+נובמבר!F17</f>
        <v>588335.23</v>
      </c>
      <c r="G17" s="158" t="n">
        <f aca="false">ינואר!F17+פברואר!F17+מרץ!F17+אפריל!F17+מאי!F17+יוני!F17+יולי!G17+אוגוסט!G17+ספטמבר!G17+אוקטובר!G17+נובמבר!G17</f>
        <v>1443033.83</v>
      </c>
      <c r="H17" s="158" t="n">
        <f aca="false">ינואר!G17+פברואר!G17+מרץ!G17+אפריל!G17+מאי!G17+יוני!G17+יולי!H17+אוגוסט!H17+ספטמבר!H17+אוקטובר!H17+נובמבר!H17</f>
        <v>3368003.31000003</v>
      </c>
      <c r="I17" s="167" t="n">
        <f aca="false">IFERROR(H17/G17-1,"")</f>
        <v>1.33397390967614</v>
      </c>
      <c r="J17" s="158" t="n">
        <f aca="false">H17-G17</f>
        <v>1924969.48000003</v>
      </c>
      <c r="L17" s="158" t="n">
        <f aca="false">ינואר!J17+פברואר!J17+מרץ!J17+אפריל!J17+מאי!J17+יוני!J17+יולי!M17+אוגוסט!M17+ספטמבר!M17+אוקטובר!M17+נובמבר!M17</f>
        <v>9299778.81355933</v>
      </c>
      <c r="M17" s="167" t="n">
        <f aca="false">IFERROR(H17/L17-1,"")</f>
        <v>-0.637840493035234</v>
      </c>
      <c r="N17" s="158" t="n">
        <f aca="false">H17-L17</f>
        <v>-5931775.5035593</v>
      </c>
      <c r="P17" s="166" t="n">
        <v>6312195.82711868</v>
      </c>
      <c r="Q17" s="167" t="n">
        <f aca="false">IFERROR(H17/P17,"-")</f>
        <v>0.533570789348818</v>
      </c>
      <c r="R17" s="166" t="n">
        <f aca="false">H17-P17</f>
        <v>-2944192.51711865</v>
      </c>
    </row>
    <row r="18" customFormat="false" ht="14.25" hidden="false" customHeight="true" outlineLevel="0" collapsed="false">
      <c r="A18" s="168" t="n">
        <v>12</v>
      </c>
      <c r="B18" s="166" t="s">
        <v>150</v>
      </c>
      <c r="C18" s="166" t="s">
        <v>46</v>
      </c>
      <c r="D18" s="166" t="s">
        <v>46</v>
      </c>
      <c r="E18" s="166" t="s">
        <v>32</v>
      </c>
      <c r="F18" s="158" t="n">
        <f aca="false">ינואר!E18+פברואר!E18+מרץ!E18+אפריל!E18+מאי!E18+יוני!E18+יולי!F18+אוגוסט!F18+ספטמבר!F18+אוקטובר!F18+נובמבר!F18</f>
        <v>32632.7</v>
      </c>
      <c r="G18" s="158" t="n">
        <f aca="false">ינואר!F18+פברואר!F18+מרץ!F18+אפריל!F18+מאי!F18+יוני!F18+יולי!G18+אוגוסט!G18+ספטמבר!G18+אוקטובר!G18+נובמבר!G18</f>
        <v>25764.28</v>
      </c>
      <c r="H18" s="158" t="n">
        <f aca="false">ינואר!G18+פברואר!G18+מרץ!G18+אפריל!G18+מאי!G18+יוני!G18+יולי!H18+אוגוסט!H18+ספטמבר!H18+אוקטובר!H18+נובמבר!H18</f>
        <v>13580.48</v>
      </c>
      <c r="I18" s="167" t="n">
        <f aca="false">IFERROR(H18/G18-1,"")</f>
        <v>-0.472895031415588</v>
      </c>
      <c r="J18" s="158" t="n">
        <f aca="false">H18-G18</f>
        <v>-12183.8</v>
      </c>
      <c r="L18" s="158" t="n">
        <f aca="false">ינואר!J18+פברואר!J18+מרץ!J18+אפריל!J18+מאי!J18+יוני!J18+יולי!M18+אוגוסט!M18+ספטמבר!M18+אוקטובר!M18+נובמבר!M18</f>
        <v>27906.2116666666</v>
      </c>
      <c r="M18" s="167" t="n">
        <f aca="false">IFERROR(H18/L18-1,"")</f>
        <v>-0.513352791764939</v>
      </c>
      <c r="N18" s="158" t="n">
        <f aca="false">H18-L18</f>
        <v>-14325.7316666666</v>
      </c>
      <c r="P18" s="166" t="n">
        <v>34807.02</v>
      </c>
      <c r="Q18" s="167" t="n">
        <f aca="false">IFERROR(H18/P18,"-")</f>
        <v>0.390164972468198</v>
      </c>
      <c r="R18" s="166" t="n">
        <f aca="false">H18-P18</f>
        <v>-21226.54</v>
      </c>
    </row>
    <row r="19" customFormat="false" ht="15" hidden="false" customHeight="true" outlineLevel="0" collapsed="false">
      <c r="A19" s="169"/>
      <c r="B19" s="171"/>
      <c r="C19" s="171" t="s">
        <v>48</v>
      </c>
      <c r="D19" s="171" t="s">
        <v>48</v>
      </c>
      <c r="E19" s="171"/>
      <c r="F19" s="171" t="n">
        <f aca="false">F16+F17+F18</f>
        <v>15707080.968</v>
      </c>
      <c r="G19" s="171" t="n">
        <f aca="false">G16+G17+G18</f>
        <v>16659157.492</v>
      </c>
      <c r="H19" s="171" t="n">
        <f aca="false">H16+H17+H18</f>
        <v>15192654.771</v>
      </c>
      <c r="I19" s="172" t="n">
        <f aca="false">IFERROR(H19/G19-1,"")</f>
        <v>-0.0880298251399714</v>
      </c>
      <c r="J19" s="171" t="n">
        <f aca="false">J16+J17+J18</f>
        <v>-1466502.72100001</v>
      </c>
      <c r="L19" s="171" t="n">
        <f aca="false">L16+L17+L18</f>
        <v>28191323.9141149</v>
      </c>
      <c r="M19" s="172" t="n">
        <f aca="false">IFERROR(H19/L19-1,"")</f>
        <v>-0.461087573705847</v>
      </c>
      <c r="N19" s="171" t="n">
        <f aca="false">N16+N17+N18</f>
        <v>-12998669.1431149</v>
      </c>
      <c r="P19" s="171" t="n">
        <f aca="false">P16+P17+P18</f>
        <v>22201551.8941187</v>
      </c>
      <c r="Q19" s="172" t="n">
        <f aca="false">IFERROR(H19/P19,"-")</f>
        <v>0.684305982007711</v>
      </c>
      <c r="R19" s="171" t="n">
        <f aca="false">E19-P19</f>
        <v>-22201551.8941187</v>
      </c>
    </row>
    <row r="20" customFormat="false" ht="14.25" hidden="false" customHeight="true" outlineLevel="0" collapsed="false">
      <c r="A20" s="169" t="n">
        <v>50</v>
      </c>
      <c r="B20" s="166" t="s">
        <v>155</v>
      </c>
      <c r="C20" s="166" t="s">
        <v>49</v>
      </c>
      <c r="D20" s="166" t="s">
        <v>50</v>
      </c>
      <c r="E20" s="166" t="s">
        <v>51</v>
      </c>
      <c r="F20" s="158" t="n">
        <f aca="false">ינואר!E20+פברואר!E20+מרץ!E20+אפריל!E20+מאי!E20+יוני!E20+יולי!F20+אוגוסט!F20+ספטמבר!F20+אוקטובר!F20+נובמבר!F20</f>
        <v>3310887.05</v>
      </c>
      <c r="G20" s="158" t="n">
        <f aca="false">ינואר!F20+פברואר!F20+מרץ!F20+אפריל!F20+מאי!F20+יוני!F20+יולי!G20+אוגוסט!G20+ספטמבר!G20+אוקטובר!G20+נובמבר!G20</f>
        <v>2523272.78</v>
      </c>
      <c r="H20" s="158" t="n">
        <f aca="false">ינואר!G20+פברואר!G20+מרץ!G20+אפריל!G20+מאי!G20+יוני!G20+יולי!H20+אוגוסט!H20+ספטמבר!H20+אוקטובר!H20+נובמבר!H20</f>
        <v>1879662.74</v>
      </c>
      <c r="I20" s="167" t="n">
        <f aca="false">IFERROR(H20/G20-1,"")</f>
        <v>-0.255069545037457</v>
      </c>
      <c r="J20" s="158" t="n">
        <f aca="false">H20-G20</f>
        <v>-643610.04</v>
      </c>
      <c r="L20" s="158" t="n">
        <f aca="false">ינואר!J20+פברואר!J20+מרץ!J20+אפריל!J20+מאי!J20+יוני!J20+יולי!M20+אוגוסט!M20+ספטמבר!M20+אוקטובר!M20+נובמבר!M20</f>
        <v>4374422.826675</v>
      </c>
      <c r="M20" s="167" t="n">
        <f aca="false">IFERROR(H20/L20-1,"")</f>
        <v>-0.570306114777494</v>
      </c>
      <c r="N20" s="158" t="n">
        <f aca="false">H20-L20</f>
        <v>-2494760.086675</v>
      </c>
      <c r="P20" s="166" t="n">
        <v>2800463.51</v>
      </c>
      <c r="Q20" s="167" t="n">
        <f aca="false">IFERROR(H20/P20,"-")</f>
        <v>0.671197011954639</v>
      </c>
      <c r="R20" s="166" t="n">
        <f aca="false">H20-P20</f>
        <v>-920800.77</v>
      </c>
    </row>
    <row r="21" customFormat="false" ht="14.25" hidden="false" customHeight="true" outlineLevel="0" collapsed="false">
      <c r="A21" s="169" t="n">
        <v>20</v>
      </c>
      <c r="B21" s="166" t="s">
        <v>151</v>
      </c>
      <c r="C21" s="166" t="s">
        <v>52</v>
      </c>
      <c r="D21" s="166" t="s">
        <v>53</v>
      </c>
      <c r="E21" s="166" t="s">
        <v>54</v>
      </c>
      <c r="F21" s="158" t="n">
        <f aca="false">ינואר!E21+פברואר!E21+מרץ!E21+אפריל!E21+מאי!E21+יוני!E21+יולי!F21+אוגוסט!F21+ספטמבר!F21+אוקטובר!F21+נובמבר!F21</f>
        <v>741409.27</v>
      </c>
      <c r="G21" s="158" t="n">
        <f aca="false">ינואר!F21+פברואר!F21+מרץ!F21+אפריל!F21+מאי!F21+יוני!F21+יולי!G21+אוגוסט!G21+ספטמבר!G21+אוקטובר!G21+נובמבר!G21</f>
        <v>757795.91</v>
      </c>
      <c r="H21" s="158" t="n">
        <f aca="false">ינואר!G21+פברואר!G21+מרץ!G21+אפריל!G21+מאי!G21+יוני!G21+יולי!H21+אוגוסט!H21+ספטמבר!H21+אוקטובר!H21+נובמבר!H21</f>
        <v>474182.59</v>
      </c>
      <c r="I21" s="167" t="n">
        <f aca="false">IFERROR(H21/G21-1,"")</f>
        <v>-0.374260821756085</v>
      </c>
      <c r="J21" s="158" t="n">
        <f aca="false">H21-G21</f>
        <v>-283613.32</v>
      </c>
      <c r="L21" s="158" t="n">
        <f aca="false">ינואר!J21+פברואר!J21+מרץ!J21+אפריל!J21+מאי!J21+יוני!J21+יולי!M21+אוגוסט!M21+ספטמבר!M21+אוקטובר!M21+נובמבר!M21</f>
        <v>833000</v>
      </c>
      <c r="M21" s="167" t="n">
        <f aca="false">IFERROR(H21/L21-1,"")</f>
        <v>-0.430753193277311</v>
      </c>
      <c r="N21" s="158" t="n">
        <f aca="false">H21-L21</f>
        <v>-358817.41</v>
      </c>
      <c r="P21" s="166" t="n">
        <v>772081.02</v>
      </c>
      <c r="Q21" s="167" t="n">
        <f aca="false">IFERROR(H21/P21,"-")</f>
        <v>0.614161697693333</v>
      </c>
      <c r="R21" s="166" t="n">
        <f aca="false">H21-P21</f>
        <v>-297898.43</v>
      </c>
    </row>
    <row r="22" customFormat="false" ht="14.25" hidden="false" customHeight="true" outlineLevel="0" collapsed="false">
      <c r="A22" s="169" t="n">
        <v>21</v>
      </c>
      <c r="B22" s="166" t="s">
        <v>157</v>
      </c>
      <c r="C22" s="166" t="s">
        <v>55</v>
      </c>
      <c r="D22" s="166" t="s">
        <v>56</v>
      </c>
      <c r="E22" s="166" t="s">
        <v>57</v>
      </c>
      <c r="F22" s="158" t="n">
        <f aca="false">ינואר!E22+פברואר!E22+מרץ!E22+אפריל!E22+מאי!E22+יוני!E22+יולי!F22+אוגוסט!F22+ספטמבר!F22+אוקטובר!F22+נובמבר!F22</f>
        <v>632351.76</v>
      </c>
      <c r="G22" s="158" t="n">
        <f aca="false">ינואר!F22+פברואר!F22+מרץ!F22+אפריל!F22+מאי!F22+יוני!F22+יולי!G22+אוגוסט!G22+ספטמבר!G22+אוקטובר!G22+נובמבר!G22</f>
        <v>405799.73</v>
      </c>
      <c r="H22" s="158" t="n">
        <f aca="false">ינואר!G22+פברואר!G22+מרץ!G22+אפריל!G22+מאי!G22+יוני!G22+יולי!H22+אוגוסט!H22+ספטמבר!H22+אוקטובר!H22+נובמבר!H22</f>
        <v>344263.09</v>
      </c>
      <c r="I22" s="167" t="n">
        <f aca="false">IFERROR(H22/G22-1,"")</f>
        <v>-0.151642880590384</v>
      </c>
      <c r="J22" s="158" t="n">
        <f aca="false">H22-G22</f>
        <v>-61536.64</v>
      </c>
      <c r="L22" s="158" t="n">
        <f aca="false">ינואר!J22+פברואר!J22+מרץ!J22+אפריל!J22+מאי!J22+יוני!J22+יולי!M22+אוגוסט!M22+ספטמבר!M22+אוקטובר!M22+נובמבר!M22</f>
        <v>650000.27</v>
      </c>
      <c r="M22" s="167" t="n">
        <f aca="false">IFERROR(H22/L22-1,"")</f>
        <v>-0.470364696925434</v>
      </c>
      <c r="N22" s="158" t="n">
        <f aca="false">H22-L22</f>
        <v>-305737.18</v>
      </c>
      <c r="P22" s="166" t="n">
        <v>613276.52</v>
      </c>
      <c r="Q22" s="167" t="n">
        <f aca="false">IFERROR(H22/P22,"-")</f>
        <v>0.561350514446567</v>
      </c>
      <c r="R22" s="166" t="n">
        <f aca="false">H22-P22</f>
        <v>-269013.43</v>
      </c>
    </row>
    <row r="23" customFormat="false" ht="14.25" hidden="false" customHeight="true" outlineLevel="0" collapsed="false">
      <c r="A23" s="169" t="n">
        <v>22</v>
      </c>
      <c r="B23" s="166" t="s">
        <v>159</v>
      </c>
      <c r="C23" s="166" t="s">
        <v>58</v>
      </c>
      <c r="D23" s="166" t="s">
        <v>59</v>
      </c>
      <c r="E23" s="166" t="s">
        <v>60</v>
      </c>
      <c r="F23" s="158" t="n">
        <f aca="false">ינואר!E23+פברואר!E23+מרץ!E23+אפריל!E23+מאי!E23+יוני!E23+יולי!F23+אוגוסט!F23+ספטמבר!F23+אוקטובר!F23+נובמבר!F23</f>
        <v>409442.72</v>
      </c>
      <c r="G23" s="158" t="n">
        <f aca="false">ינואר!F23+פברואר!F23+מרץ!F23+אפריל!F23+מאי!F23+יוני!F23+יולי!G23+אוגוסט!G23+ספטמבר!G23+אוקטובר!G23+נובמבר!G23</f>
        <v>414072.64</v>
      </c>
      <c r="H23" s="158" t="n">
        <f aca="false">ינואר!G23+פברואר!G23+מרץ!G23+אפריל!G23+מאי!G23+יוני!G23+יולי!H23+אוגוסט!H23+ספטמבר!H23+אוקטובר!H23+נובמבר!H23</f>
        <v>358276.36</v>
      </c>
      <c r="I23" s="167" t="n">
        <f aca="false">IFERROR(H23/G23-1,"")</f>
        <v>-0.13474998010011</v>
      </c>
      <c r="J23" s="158" t="n">
        <f aca="false">H23-G23</f>
        <v>-55796.28</v>
      </c>
      <c r="L23" s="158" t="n">
        <f aca="false">ינואר!J23+פברואר!J23+מרץ!J23+אפריל!J23+מאי!J23+יוני!J23+יולי!M23+אוגוסט!M23+ספטמבר!M23+אוקטובר!M23+נובמבר!M23</f>
        <v>499999.97</v>
      </c>
      <c r="M23" s="167" t="n">
        <f aca="false">IFERROR(H23/L23-1,"")</f>
        <v>-0.283447237006834</v>
      </c>
      <c r="N23" s="158" t="n">
        <f aca="false">H23-L23</f>
        <v>-141723.61</v>
      </c>
      <c r="P23" s="166" t="n">
        <v>457053.13</v>
      </c>
      <c r="Q23" s="167" t="n">
        <f aca="false">IFERROR(H23/P23,"-")</f>
        <v>0.783883396663316</v>
      </c>
      <c r="R23" s="166" t="n">
        <f aca="false">H23-P23</f>
        <v>-98776.77</v>
      </c>
    </row>
    <row r="24" customFormat="false" ht="14.25" hidden="false" customHeight="true" outlineLevel="0" collapsed="false">
      <c r="A24" s="169" t="n">
        <v>23</v>
      </c>
      <c r="B24" s="166" t="s">
        <v>154</v>
      </c>
      <c r="C24" s="166" t="s">
        <v>61</v>
      </c>
      <c r="D24" s="166" t="s">
        <v>62</v>
      </c>
      <c r="E24" s="166" t="s">
        <v>63</v>
      </c>
      <c r="F24" s="158" t="n">
        <f aca="false">ינואר!E24+פברואר!E24+מרץ!E24+אפריל!E24+מאי!E24+יוני!E24+יולי!F24+אוגוסט!F24+ספטמבר!F24+אוקטובר!F24+נובמבר!F24</f>
        <v>128758.9</v>
      </c>
      <c r="G24" s="158" t="n">
        <f aca="false">ינואר!F24+פברואר!F24+מרץ!F24+אפריל!F24+מאי!F24+יוני!F24+יולי!G24+אוגוסט!G24+ספטמבר!G24+אוקטובר!G24+נובמבר!G24</f>
        <v>122339</v>
      </c>
      <c r="H24" s="158" t="n">
        <f aca="false">ינואר!G24+פברואר!G24+מרץ!G24+אפריל!G24+מאי!G24+יוני!G24+יולי!H24+אוגוסט!H24+ספטמבר!H24+אוקטובר!H24+נובמבר!H24</f>
        <v>111290.53</v>
      </c>
      <c r="I24" s="167" t="n">
        <f aca="false">IFERROR(H24/G24-1,"")</f>
        <v>-0.0903102853546294</v>
      </c>
      <c r="J24" s="158" t="n">
        <f aca="false">H24-G24</f>
        <v>-11048.47</v>
      </c>
      <c r="L24" s="158" t="n">
        <f aca="false">ינואר!J24+פברואר!J24+מרץ!J24+אפריל!J24+מאי!J24+יוני!J24+יולי!M24+אוגוסט!M24+ספטמבר!M24+אוקטובר!M24+נובמבר!M24</f>
        <v>139999.92</v>
      </c>
      <c r="M24" s="167" t="n">
        <f aca="false">IFERROR(H24/L24-1,"")</f>
        <v>-0.205067188609822</v>
      </c>
      <c r="N24" s="158" t="n">
        <f aca="false">H24-L24</f>
        <v>-28709.39</v>
      </c>
      <c r="P24" s="166" t="n">
        <v>131678.59</v>
      </c>
      <c r="Q24" s="167" t="n">
        <f aca="false">IFERROR(H24/P24,"-")</f>
        <v>0.845167995799469</v>
      </c>
      <c r="R24" s="166" t="n">
        <f aca="false">H24-P24</f>
        <v>-20388.06</v>
      </c>
    </row>
    <row r="25" customFormat="false" ht="14.25" hidden="false" customHeight="true" outlineLevel="0" collapsed="false">
      <c r="A25" s="169" t="n">
        <v>24</v>
      </c>
      <c r="B25" s="166" t="s">
        <v>156</v>
      </c>
      <c r="C25" s="166" t="s">
        <v>64</v>
      </c>
      <c r="D25" s="166" t="s">
        <v>65</v>
      </c>
      <c r="E25" s="166" t="s">
        <v>66</v>
      </c>
      <c r="F25" s="158" t="n">
        <f aca="false">ינואר!E25+פברואר!E25+מרץ!E25+אפריל!E25+מאי!E25+יוני!E25+יולי!F25+אוגוסט!F25+ספטמבר!F25+אוקטובר!F25+נובמבר!F25</f>
        <v>160712.5</v>
      </c>
      <c r="G25" s="158" t="n">
        <f aca="false">ינואר!F25+פברואר!F25+מרץ!F25+אפריל!F25+מאי!F25+יוני!F25+יולי!G25+אוגוסט!G25+ספטמבר!G25+אוקטובר!G25+נובמבר!G25</f>
        <v>52899.82</v>
      </c>
      <c r="H25" s="158" t="n">
        <f aca="false">ינואר!G25+פברואר!G25+מרץ!G25+אפריל!G25+מאי!G25+יוני!G25+יולי!H25+אוגוסט!H25+ספטמבר!H25+אוקטובר!H25+נובמבר!H25</f>
        <v>0</v>
      </c>
      <c r="I25" s="167" t="n">
        <f aca="false">IFERROR(H25/G25-1,"")</f>
        <v>-1</v>
      </c>
      <c r="J25" s="158" t="n">
        <f aca="false">H25-G25</f>
        <v>-52899.82</v>
      </c>
      <c r="L25" s="158" t="n">
        <f aca="false">ינואר!J25+פברואר!J25+מרץ!J25+אפריל!J25+מאי!J25+יוני!J25+יולי!M25+אוגוסט!M25+ספטמבר!M25+אוקטובר!M25+נובמבר!M25</f>
        <v>45000</v>
      </c>
      <c r="M25" s="167" t="n">
        <f aca="false">IFERROR(H25/L25-1,"")</f>
        <v>-1</v>
      </c>
      <c r="N25" s="158" t="n">
        <f aca="false">H25-L25</f>
        <v>-45000</v>
      </c>
      <c r="P25" s="166" t="n">
        <v>0</v>
      </c>
      <c r="Q25" s="167" t="str">
        <f aca="false">IFERROR(H25/P25,"-")</f>
        <v>-</v>
      </c>
      <c r="R25" s="166" t="n">
        <f aca="false">H25-P25</f>
        <v>0</v>
      </c>
    </row>
    <row r="26" customFormat="false" ht="13.5" hidden="false" customHeight="true" outlineLevel="0" collapsed="false">
      <c r="A26" s="169" t="n">
        <v>25</v>
      </c>
      <c r="B26" s="166" t="s">
        <v>162</v>
      </c>
      <c r="C26" s="166" t="s">
        <v>67</v>
      </c>
      <c r="D26" s="166" t="s">
        <v>68</v>
      </c>
      <c r="E26" s="166" t="s">
        <v>69</v>
      </c>
      <c r="F26" s="158" t="n">
        <f aca="false">ינואר!E26+פברואר!E26+מרץ!E26+אפריל!E26+מאי!E26+יוני!E26+יולי!F26+אוגוסט!F26+ספטמבר!F26+אוקטובר!F26+נובמבר!F26</f>
        <v>249206.12</v>
      </c>
      <c r="G26" s="158" t="n">
        <f aca="false">ינואר!F26+פברואר!F26+מרץ!F26+אפריל!F26+מאי!F26+יוני!F26+יולי!G26+אוגוסט!G26+ספטמבר!G26+אוקטובר!G26+נובמבר!G26</f>
        <v>172805.93</v>
      </c>
      <c r="H26" s="158" t="n">
        <f aca="false">ינואר!G26+פברואר!G26+מרץ!G26+אפריל!G26+מאי!G26+יוני!G26+יולי!H26+אוגוסט!H26+ספטמבר!H26+אוקטובר!H26+נובמבר!H26</f>
        <v>365555.25</v>
      </c>
      <c r="I26" s="167" t="n">
        <f aca="false">IFERROR(H26/G26-1,"")</f>
        <v>1.11540917606242</v>
      </c>
      <c r="J26" s="158" t="n">
        <f aca="false">H26-G26</f>
        <v>192749.32</v>
      </c>
      <c r="L26" s="158" t="n">
        <f aca="false">ינואר!J26+פברואר!J26+מרץ!J26+אפריל!J26+מאי!J26+יוני!J26+יולי!M26+אוגוסט!M26+ספטמבר!M26+אוקטובר!M26+נובמבר!M26</f>
        <v>450000</v>
      </c>
      <c r="M26" s="167" t="n">
        <f aca="false">IFERROR(H26/L26-1,"")</f>
        <v>-0.187655</v>
      </c>
      <c r="N26" s="158" t="n">
        <f aca="false">H26-L26</f>
        <v>-84444.75</v>
      </c>
      <c r="P26" s="166" t="n">
        <v>524147.47</v>
      </c>
      <c r="Q26" s="167" t="n">
        <f aca="false">IFERROR(H26/P26,"-")</f>
        <v>0.69742824476478</v>
      </c>
      <c r="R26" s="166" t="n">
        <f aca="false">H26-P26</f>
        <v>-158592.22</v>
      </c>
    </row>
    <row r="27" customFormat="false" ht="14.25" hidden="false" customHeight="true" outlineLevel="0" collapsed="false">
      <c r="A27" s="169" t="n">
        <v>26</v>
      </c>
      <c r="B27" s="166" t="s">
        <v>153</v>
      </c>
      <c r="C27" s="166" t="s">
        <v>70</v>
      </c>
      <c r="D27" s="166" t="s">
        <v>71</v>
      </c>
      <c r="E27" s="166" t="s">
        <v>72</v>
      </c>
      <c r="F27" s="158" t="n">
        <f aca="false">ינואר!E27+פברואר!E27+מרץ!E27+אפריל!E27+מאי!E27+יוני!E27+יולי!F27+אוגוסט!F27+ספטמבר!F27+אוקטובר!F27+נובמבר!F27</f>
        <v>162967.91</v>
      </c>
      <c r="G27" s="158" t="n">
        <f aca="false">ינואר!F27+פברואר!F27+מרץ!F27+אפריל!F27+מאי!F27+יוני!F27+יולי!G27+אוגוסט!G27+ספטמבר!G27+אוקטובר!G27+נובמבר!G27</f>
        <v>86855.65</v>
      </c>
      <c r="H27" s="158" t="n">
        <f aca="false">ינואר!G27+פברואר!G27+מרץ!G27+אפריל!G27+מאי!G27+יוני!G27+יולי!H27+אוגוסט!H27+ספטמבר!H27+אוקטובר!H27+נובמבר!H27</f>
        <v>60694.01</v>
      </c>
      <c r="I27" s="167" t="n">
        <f aca="false">IFERROR(H27/G27-1,"")</f>
        <v>-0.301208269122389</v>
      </c>
      <c r="J27" s="158" t="n">
        <f aca="false">H27-G27</f>
        <v>-26161.64</v>
      </c>
      <c r="L27" s="158" t="n">
        <f aca="false">ינואר!J27+פברואר!J27+מרץ!J27+אפריל!J27+מאי!J27+יוני!J27+יולי!M27+אוגוסט!M27+ספטמבר!M27+אוקטובר!M27+נובמבר!M27</f>
        <v>200000</v>
      </c>
      <c r="M27" s="167" t="n">
        <f aca="false">IFERROR(H27/L27-1,"")</f>
        <v>-0.69652995</v>
      </c>
      <c r="N27" s="158" t="n">
        <f aca="false">H27-L27</f>
        <v>-139305.99</v>
      </c>
      <c r="P27" s="166" t="n">
        <v>100694.01</v>
      </c>
      <c r="Q27" s="167" t="n">
        <f aca="false">IFERROR(H27/P27,"-")</f>
        <v>0.602756906791179</v>
      </c>
      <c r="R27" s="166" t="n">
        <f aca="false">H27-P27</f>
        <v>-40000</v>
      </c>
    </row>
    <row r="28" customFormat="false" ht="13.5" hidden="false" customHeight="true" outlineLevel="0" collapsed="false">
      <c r="A28" s="169" t="n">
        <v>27</v>
      </c>
      <c r="B28" s="166" t="s">
        <v>163</v>
      </c>
      <c r="C28" s="166" t="s">
        <v>73</v>
      </c>
      <c r="D28" s="166" t="s">
        <v>74</v>
      </c>
      <c r="E28" s="166" t="s">
        <v>75</v>
      </c>
      <c r="F28" s="158" t="n">
        <f aca="false">ינואר!E28+פברואר!E28+מרץ!E28+אפריל!E28+מאי!E28+יוני!E28+יולי!F28+אוגוסט!F28+ספטמבר!F28+אוקטובר!F28+נובמבר!F28</f>
        <v>287219.68</v>
      </c>
      <c r="G28" s="158" t="n">
        <f aca="false">ינואר!F28+פברואר!F28+מרץ!F28+אפריל!F28+מאי!F28+יוני!F28+יולי!G28+אוגוסט!G28+ספטמבר!G28+אוקטובר!G28+נובמבר!G28</f>
        <v>256772.1</v>
      </c>
      <c r="H28" s="158" t="n">
        <f aca="false">ינואר!G28+פברואר!G28+מרץ!G28+אפריל!G28+מאי!G28+יוני!G28+יולי!H28+אוגוסט!H28+ספטמבר!H28+אוקטובר!H28+נובמבר!H28</f>
        <v>0</v>
      </c>
      <c r="I28" s="167" t="n">
        <f aca="false">IFERROR(H28/G28-1,"")</f>
        <v>-1</v>
      </c>
      <c r="J28" s="158" t="n">
        <f aca="false">H28-G28</f>
        <v>-256772.1</v>
      </c>
      <c r="L28" s="158" t="n">
        <f aca="false">ינואר!J28+פברואר!J28+מרץ!J28+אפריל!J28+מאי!J28+יוני!J28+יולי!M28+אוגוסט!M28+ספטמבר!M28+אוקטובר!M28+נובמבר!M28</f>
        <v>250000</v>
      </c>
      <c r="M28" s="167" t="n">
        <f aca="false">IFERROR(H28/L28-1,"")</f>
        <v>-1</v>
      </c>
      <c r="N28" s="158" t="n">
        <f aca="false">H28-L28</f>
        <v>-250000</v>
      </c>
      <c r="P28" s="166" t="n">
        <v>250000</v>
      </c>
      <c r="Q28" s="167" t="n">
        <f aca="false">IFERROR(H28/P28,"-")</f>
        <v>0</v>
      </c>
      <c r="R28" s="166" t="n">
        <f aca="false">H28-P28</f>
        <v>-250000</v>
      </c>
    </row>
    <row r="29" customFormat="false" ht="13.5" hidden="false" customHeight="true" outlineLevel="0" collapsed="false">
      <c r="A29" s="169" t="n">
        <v>28</v>
      </c>
      <c r="B29" s="166" t="s">
        <v>164</v>
      </c>
      <c r="C29" s="166" t="s">
        <v>76</v>
      </c>
      <c r="D29" s="166" t="s">
        <v>77</v>
      </c>
      <c r="E29" s="166" t="s">
        <v>78</v>
      </c>
      <c r="F29" s="158" t="n">
        <f aca="false">ינואר!E29+פברואר!E29+מרץ!E29+אפריל!E29+מאי!E29+יוני!E29+יולי!F29+אוגוסט!F29+ספטמבר!F29+אוקטובר!F29+נובמבר!F29</f>
        <v>348874.04</v>
      </c>
      <c r="G29" s="158" t="n">
        <f aca="false">ינואר!F29+פברואר!F29+מרץ!F29+אפריל!F29+מאי!F29+יוני!F29+יולי!G29+אוגוסט!G29+ספטמבר!G29+אוקטובר!G29+נובמבר!G29</f>
        <v>364511.72</v>
      </c>
      <c r="H29" s="158" t="n">
        <f aca="false">ינואר!G29+פברואר!G29+מרץ!G29+אפריל!G29+מאי!G29+יוני!G29+יולי!H29+אוגוסט!H29+ספטמבר!H29+אוקטובר!H29+נובמבר!H29</f>
        <v>300835.11</v>
      </c>
      <c r="I29" s="167" t="n">
        <f aca="false">IFERROR(H29/G29-1,"")</f>
        <v>-0.174690158110691</v>
      </c>
      <c r="J29" s="158" t="n">
        <f aca="false">H29-G29</f>
        <v>-63676.61</v>
      </c>
      <c r="L29" s="158" t="n">
        <f aca="false">ינואר!J29+פברואר!J29+מרץ!J29+אפריל!J29+מאי!J29+יוני!J29+יולי!M29+אוגוסט!M29+ספטמבר!M29+אוקטובר!M29+נובמבר!M29</f>
        <v>410234.924</v>
      </c>
      <c r="M29" s="167" t="n">
        <f aca="false">IFERROR(H29/L29-1,"")</f>
        <v>-0.266676013181169</v>
      </c>
      <c r="N29" s="158" t="n">
        <f aca="false">H29-L29</f>
        <v>-109399.814</v>
      </c>
      <c r="P29" s="166" t="n">
        <v>363207.09</v>
      </c>
      <c r="Q29" s="167" t="n">
        <f aca="false">IFERROR(H29/P29,"-")</f>
        <v>0.828274332420108</v>
      </c>
      <c r="R29" s="166" t="n">
        <f aca="false">H29-P29</f>
        <v>-62371.98</v>
      </c>
    </row>
    <row r="30" customFormat="false" ht="14.25" hidden="false" customHeight="true" outlineLevel="0" collapsed="false">
      <c r="A30" s="169" t="n">
        <v>29</v>
      </c>
      <c r="B30" s="166" t="s">
        <v>158</v>
      </c>
      <c r="C30" s="166" t="s">
        <v>79</v>
      </c>
      <c r="D30" s="166" t="s">
        <v>80</v>
      </c>
      <c r="E30" s="166" t="s">
        <v>81</v>
      </c>
      <c r="F30" s="158" t="n">
        <f aca="false">ינואר!E30+פברואר!E30+מרץ!E30+אפריל!E30+מאי!E30+יוני!E30+יולי!F30+אוגוסט!F30+ספטמבר!F30+אוקטובר!F30+נובמבר!F30</f>
        <v>107690.85</v>
      </c>
      <c r="G30" s="158" t="n">
        <f aca="false">ינואר!F30+פברואר!F30+מרץ!F30+אפריל!F30+מאי!F30+יוני!F30+יולי!G30+אוגוסט!G30+ספטמבר!G30+אוקטובר!G30+נובמבר!G30</f>
        <v>64554.59</v>
      </c>
      <c r="H30" s="158" t="n">
        <f aca="false">ינואר!G30+פברואר!G30+מרץ!G30+אפריל!G30+מאי!G30+יוני!G30+יולי!H30+אוגוסט!H30+ספטמבר!H30+אוקטובר!H30+נובמבר!H30</f>
        <v>43116.44</v>
      </c>
      <c r="I30" s="167" t="n">
        <f aca="false">IFERROR(H30/G30-1,"")</f>
        <v>-0.332093349210335</v>
      </c>
      <c r="J30" s="158" t="n">
        <f aca="false">H30-G30</f>
        <v>-21438.15</v>
      </c>
      <c r="L30" s="158" t="n">
        <f aca="false">ינואר!J30+פברואר!J30+מרץ!J30+אפריל!J30+מאי!J30+יוני!J30+יולי!M30+אוגוסט!M30+ספטמבר!M30+אוקטובר!M30+נובמבר!M30</f>
        <v>70000</v>
      </c>
      <c r="M30" s="167" t="n">
        <f aca="false">IFERROR(H30/L30-1,"")</f>
        <v>-0.384050857142857</v>
      </c>
      <c r="N30" s="158" t="n">
        <f aca="false">H30-L30</f>
        <v>-26883.56</v>
      </c>
      <c r="P30" s="166" t="n">
        <v>73116.44</v>
      </c>
      <c r="Q30" s="167" t="n">
        <f aca="false">IFERROR(H30/P30,"-")</f>
        <v>0.589695559575931</v>
      </c>
      <c r="R30" s="166" t="n">
        <f aca="false">H30-P30</f>
        <v>-30000</v>
      </c>
    </row>
    <row r="31" customFormat="false" ht="14.25" hidden="false" customHeight="true" outlineLevel="0" collapsed="false">
      <c r="A31" s="169" t="n">
        <v>30</v>
      </c>
      <c r="B31" s="166" t="s">
        <v>152</v>
      </c>
      <c r="C31" s="166" t="s">
        <v>82</v>
      </c>
      <c r="D31" s="166" t="s">
        <v>83</v>
      </c>
      <c r="E31" s="166" t="s">
        <v>81</v>
      </c>
      <c r="F31" s="158" t="n">
        <f aca="false">ינואר!E31+פברואר!E31+מרץ!E31+אפריל!E31+מאי!E31+יוני!E31+יולי!F31+אוגוסט!F31+ספטמבר!F31+אוקטובר!F31+נובמבר!F31</f>
        <v>41028.36</v>
      </c>
      <c r="G31" s="158" t="n">
        <f aca="false">ינואר!F31+פברואר!F31+מרץ!F31+אפריל!F31+מאי!F31+יוני!F31+יולי!G31+אוגוסט!G31+ספטמבר!G31+אוקטובר!G31+נובמבר!G31</f>
        <v>60908.2</v>
      </c>
      <c r="H31" s="158" t="n">
        <f aca="false">ינואר!G31+פברואר!G31+מרץ!G31+אפריל!G31+מאי!G31+יוני!G31+יולי!H31+אוגוסט!H31+ספטמבר!H31+אוקטובר!H31+נובמבר!H31</f>
        <v>39400.13</v>
      </c>
      <c r="I31" s="167" t="n">
        <f aca="false">IFERROR(H31/G31-1,"")</f>
        <v>-0.353122732242949</v>
      </c>
      <c r="J31" s="158" t="n">
        <f aca="false">H31-G31</f>
        <v>-21508.07</v>
      </c>
      <c r="L31" s="158" t="n">
        <f aca="false">ינואר!J31+פברואר!J31+מרץ!J31+אפריל!J31+מאי!J31+יוני!J31+יולי!M31+אוגוסט!M31+ספטמבר!M31+אוקטובר!M31+נובמבר!M31</f>
        <v>59793</v>
      </c>
      <c r="M31" s="167" t="n">
        <f aca="false">IFERROR(H31/L31-1,"")</f>
        <v>-0.341057816132323</v>
      </c>
      <c r="N31" s="158" t="n">
        <f aca="false">H31-L31</f>
        <v>-20392.87</v>
      </c>
      <c r="P31" s="166" t="n">
        <v>42809.5</v>
      </c>
      <c r="Q31" s="167" t="n">
        <f aca="false">IFERROR(H31/P31,"-")</f>
        <v>0.920359499643771</v>
      </c>
      <c r="R31" s="166" t="n">
        <f aca="false">H31-P31</f>
        <v>-3409.37</v>
      </c>
    </row>
    <row r="32" customFormat="false" ht="13.5" hidden="false" customHeight="true" outlineLevel="0" collapsed="false">
      <c r="A32" s="169" t="n">
        <v>31</v>
      </c>
      <c r="B32" s="166" t="s">
        <v>84</v>
      </c>
      <c r="C32" s="166" t="s">
        <v>84</v>
      </c>
      <c r="D32" s="166" t="s">
        <v>85</v>
      </c>
      <c r="E32" s="166" t="s">
        <v>86</v>
      </c>
      <c r="F32" s="158" t="n">
        <f aca="false">ינואר!E32+פברואר!E32+מרץ!E32+אפריל!E32+מאי!E32+יוני!E32+יולי!F32+אוגוסט!F32+ספטמבר!F32+אוקטובר!F32+נובמבר!F32</f>
        <v>31722.98</v>
      </c>
      <c r="G32" s="158" t="n">
        <f aca="false">ינואר!F32+פברואר!F32+מרץ!F32+אפריל!F32+מאי!F32+יוני!F32+יולי!G32+אוגוסט!G32+ספטמבר!G32+אוקטובר!G32+נובמבר!G32</f>
        <v>81786.57</v>
      </c>
      <c r="H32" s="158" t="n">
        <f aca="false">ינואר!G32+פברואר!G32+מרץ!G32+אפריל!G32+מאי!G32+יוני!G32+יולי!H32+אוגוסט!H32+ספטמבר!H32+אוקטובר!H32+נובמבר!H32</f>
        <v>10037.15</v>
      </c>
      <c r="I32" s="167" t="n">
        <f aca="false">IFERROR(H32/G32-1,"")</f>
        <v>-0.877276305877603</v>
      </c>
      <c r="J32" s="158" t="n">
        <f aca="false">H32-G32</f>
        <v>-71749.42</v>
      </c>
      <c r="L32" s="158" t="n">
        <f aca="false">ינואר!J32+פברואר!J32+מרץ!J32+אפריל!J32+מאי!J32+יוני!J32+יולי!M32+אוגוסט!M32+ספטמבר!M32+אוקטובר!M32+נובמבר!M32</f>
        <v>85000</v>
      </c>
      <c r="M32" s="167" t="n">
        <f aca="false">IFERROR(H32/L32-1,"")</f>
        <v>-0.881915882352941</v>
      </c>
      <c r="N32" s="158" t="n">
        <f aca="false">H32-L32</f>
        <v>-74962.85</v>
      </c>
      <c r="P32" s="166" t="n">
        <v>17500</v>
      </c>
      <c r="Q32" s="167" t="n">
        <f aca="false">IFERROR(H32/P32,"-")</f>
        <v>0.573551428571429</v>
      </c>
      <c r="R32" s="166" t="n">
        <f aca="false">H32-P32</f>
        <v>-7462.85</v>
      </c>
    </row>
    <row r="33" customFormat="false" ht="13.5" hidden="false" customHeight="true" outlineLevel="0" collapsed="false">
      <c r="A33" s="169"/>
      <c r="B33" s="166"/>
      <c r="C33" s="166"/>
      <c r="D33" s="166" t="s">
        <v>171</v>
      </c>
      <c r="E33" s="166" t="s">
        <v>172</v>
      </c>
      <c r="F33" s="158" t="n">
        <f aca="false">ינואר!E33+פברואר!E33+מרץ!E33+אפריל!E33+מאי!E33+יוני!E33+יולי!F33+אוגוסט!F33+ספטמבר!F33+אוקטובר!F33+נובמבר!F33</f>
        <v>0</v>
      </c>
      <c r="G33" s="158" t="n">
        <f aca="false">ינואר!F33+פברואר!F33+מרץ!F33+אפריל!F33+מאי!F33+יוני!F33+יולי!G33+אוגוסט!G33+ספטמבר!G33+אוקטובר!G33+נובמבר!G33</f>
        <v>0</v>
      </c>
      <c r="H33" s="158" t="n">
        <f aca="false">ינואר!G33+פברואר!G33+מרץ!G33+אפריל!G33+מאי!G33+יוני!G33+יולי!H33+אוגוסט!H33+ספטמבר!H33+אוקטובר!H33+נובמבר!H33</f>
        <v>0</v>
      </c>
      <c r="I33" s="167" t="str">
        <f aca="false">IFERROR(H33/G33-1,"")</f>
        <v/>
      </c>
      <c r="J33" s="158" t="n">
        <f aca="false">H33-G33</f>
        <v>0</v>
      </c>
      <c r="L33" s="158" t="n">
        <f aca="false">ינואר!J33+פברואר!J33+מרץ!J33+אפריל!J33+מאי!J33+יוני!J33+יולי!M33+אוגוסט!M33+ספטמבר!M33+אוקטובר!M33+נובמבר!M33</f>
        <v>0</v>
      </c>
      <c r="M33" s="167" t="str">
        <f aca="false">IFERROR(H33/L33-1,"")</f>
        <v/>
      </c>
      <c r="N33" s="158" t="n">
        <f aca="false">H33-L33</f>
        <v>0</v>
      </c>
      <c r="P33" s="166" t="n">
        <v>0</v>
      </c>
      <c r="Q33" s="167" t="str">
        <f aca="false">IFERROR(H33/P33,"-")</f>
        <v>-</v>
      </c>
      <c r="R33" s="166" t="n">
        <f aca="false">H33-P33</f>
        <v>0</v>
      </c>
    </row>
    <row r="34" customFormat="false" ht="13.5" hidden="false" customHeight="true" outlineLevel="0" collapsed="false">
      <c r="A34" s="169" t="n">
        <v>32</v>
      </c>
      <c r="B34" s="166" t="s">
        <v>161</v>
      </c>
      <c r="C34" s="166" t="s">
        <v>87</v>
      </c>
      <c r="D34" s="166" t="s">
        <v>88</v>
      </c>
      <c r="E34" s="166" t="s">
        <v>89</v>
      </c>
      <c r="F34" s="158" t="n">
        <f aca="false">ינואר!E34+פברואר!E34+מרץ!E34+אפריל!E34+מאי!E34+יוני!E34+יולי!F34+אוגוסט!F34+ספטמבר!F34+אוקטובר!F34+נובמבר!F34</f>
        <v>35826.78</v>
      </c>
      <c r="G34" s="158" t="n">
        <f aca="false">ינואר!F34+פברואר!F34+מרץ!F34+אפריל!F34+מאי!F34+יוני!F34+יולי!G34+אוגוסט!G34+ספטמבר!G34+אוקטובר!G34+נובמבר!G34</f>
        <v>39713.57</v>
      </c>
      <c r="H34" s="158" t="n">
        <f aca="false">ינואר!G34+פברואר!G34+מרץ!G34+אפריל!G34+מאי!G34+יוני!G34+יולי!H34+אוגוסט!H34+ספטמבר!H34+אוקטובר!H34+נובמבר!H34</f>
        <v>37142.71</v>
      </c>
      <c r="I34" s="167" t="n">
        <f aca="false">IFERROR(H34/G34-1,"")</f>
        <v>-0.0647350515201731</v>
      </c>
      <c r="J34" s="158" t="n">
        <f aca="false">H34-G34</f>
        <v>-2570.86</v>
      </c>
      <c r="L34" s="158" t="n">
        <f aca="false">ינואר!J34+פברואר!J34+מרץ!J34+אפריל!J34+מאי!J34+יוני!J34+יולי!M34+אוגוסט!M34+ספטמבר!M34+אוקטובר!M34+נובמבר!M34</f>
        <v>40000</v>
      </c>
      <c r="M34" s="167" t="n">
        <f aca="false">IFERROR(H34/L34-1,"")</f>
        <v>-0.07143225</v>
      </c>
      <c r="N34" s="158" t="n">
        <f aca="false">H34-L34</f>
        <v>-2857.29</v>
      </c>
      <c r="P34" s="166" t="n">
        <v>38792.66</v>
      </c>
      <c r="Q34" s="167" t="n">
        <f aca="false">IFERROR(H34/P34,"-")</f>
        <v>0.957467469361472</v>
      </c>
      <c r="R34" s="166" t="n">
        <f aca="false">H34-P34</f>
        <v>-1649.95</v>
      </c>
    </row>
    <row r="35" customFormat="false" ht="13.5" hidden="false" customHeight="true" outlineLevel="0" collapsed="false">
      <c r="A35" s="169" t="n">
        <v>33</v>
      </c>
      <c r="B35" s="166" t="s">
        <v>160</v>
      </c>
      <c r="C35" s="166" t="s">
        <v>90</v>
      </c>
      <c r="D35" s="166" t="s">
        <v>91</v>
      </c>
      <c r="E35" s="166" t="s">
        <v>92</v>
      </c>
      <c r="F35" s="158" t="n">
        <f aca="false">ינואר!E35+פברואר!E35+מרץ!E35+אפריל!E35+מאי!E35+יוני!E35+יולי!F35+אוגוסט!F35+ספטמבר!F35+אוקטובר!F35+נובמבר!F35</f>
        <v>59175.03</v>
      </c>
      <c r="G35" s="158" t="n">
        <f aca="false">ינואר!F35+פברואר!F35+מרץ!F35+אפריל!F35+מאי!F35+יוני!F35+יולי!G35+אוגוסט!G35+ספטמבר!G35+אוקטובר!G35+נובמבר!G35</f>
        <v>53863.18</v>
      </c>
      <c r="H35" s="158" t="n">
        <f aca="false">ינואר!G35+פברואר!G35+מרץ!G35+אפריל!G35+מאי!G35+יוני!G35+יולי!H35+אוגוסט!H35+ספטמבר!H35+אוקטובר!H35+נובמבר!H35</f>
        <v>26105.72</v>
      </c>
      <c r="I35" s="167" t="n">
        <f aca="false">IFERROR(H35/G35-1,"")</f>
        <v>-0.515332737502687</v>
      </c>
      <c r="J35" s="158" t="n">
        <f aca="false">H35-G35</f>
        <v>-27757.46</v>
      </c>
      <c r="L35" s="158" t="n">
        <f aca="false">ינואר!J35+פברואר!J35+מרץ!J35+אפריל!J35+מאי!J35+יוני!J35+יולי!M35+אוגוסט!M35+ספטמבר!M35+אוקטובר!M35+נובמבר!M35</f>
        <v>80000</v>
      </c>
      <c r="M35" s="167" t="n">
        <f aca="false">IFERROR(H35/L35-1,"")</f>
        <v>-0.6736785</v>
      </c>
      <c r="N35" s="158" t="n">
        <f aca="false">H35-L35</f>
        <v>-53894.28</v>
      </c>
      <c r="P35" s="166" t="n">
        <v>0</v>
      </c>
      <c r="Q35" s="167" t="str">
        <f aca="false">IFERROR(H35/P35,"-")</f>
        <v>-</v>
      </c>
      <c r="R35" s="166" t="n">
        <f aca="false">H35-P35</f>
        <v>26105.72</v>
      </c>
    </row>
    <row r="36" customFormat="false" ht="14.25" hidden="false" customHeight="true" outlineLevel="0" collapsed="false">
      <c r="A36" s="169"/>
      <c r="B36" s="166" t="s">
        <v>166</v>
      </c>
      <c r="C36" s="166" t="s">
        <v>166</v>
      </c>
      <c r="D36" s="166" t="s">
        <v>173</v>
      </c>
      <c r="E36" s="166" t="s">
        <v>78</v>
      </c>
      <c r="F36" s="158" t="n">
        <f aca="false">ינואר!E36+פברואר!E36+מרץ!E36+אפריל!E36+מאי!E36+יוני!E36+יולי!F36+אוגוסט!F36+ספטמבר!F36+אוקטובר!F36+נובמבר!F36</f>
        <v>41531.96</v>
      </c>
      <c r="G36" s="158" t="n">
        <f aca="false">ינואר!F36+פברואר!F36+מרץ!F36+אפריל!F36+מאי!F36+יוני!F36+יולי!G36+אוגוסט!G36+ספטמבר!G36+אוקטובר!G36+נובמבר!G36</f>
        <v>0</v>
      </c>
      <c r="H36" s="158" t="n">
        <f aca="false">ינואר!G36+פברואר!G36+מרץ!G36+אפריל!G36+מאי!G36+יוני!G36+יולי!H36+אוגוסט!H36+ספטמבר!H36+אוקטובר!H36+נובמבר!H36</f>
        <v>0</v>
      </c>
      <c r="I36" s="167" t="str">
        <f aca="false">IFERROR(H36/G36-1,"")</f>
        <v/>
      </c>
      <c r="J36" s="158" t="n">
        <f aca="false">H36-G36</f>
        <v>0</v>
      </c>
      <c r="L36" s="158" t="n">
        <f aca="false">ינואר!J36+פברואר!J36+מרץ!J36+אפריל!J36+מאי!J36+יוני!J36+יולי!M36+אוגוסט!M36+ספטמבר!M36+אוקטובר!M36+נובמבר!M36</f>
        <v>0</v>
      </c>
      <c r="M36" s="167" t="str">
        <f aca="false">IFERROR(H36/L36-1,"")</f>
        <v/>
      </c>
      <c r="N36" s="158" t="n">
        <f aca="false">H36-L36</f>
        <v>0</v>
      </c>
      <c r="P36" s="166" t="n">
        <v>0</v>
      </c>
      <c r="Q36" s="167" t="str">
        <f aca="false">IFERROR(H36/P36,"-")</f>
        <v>-</v>
      </c>
      <c r="R36" s="166" t="n">
        <f aca="false">H36-P36</f>
        <v>0</v>
      </c>
    </row>
    <row r="37" customFormat="false" ht="14.25" hidden="false" customHeight="true" outlineLevel="0" collapsed="false">
      <c r="A37" s="169" t="n">
        <v>34</v>
      </c>
      <c r="B37" s="166" t="s">
        <v>165</v>
      </c>
      <c r="C37" s="166" t="s">
        <v>165</v>
      </c>
      <c r="D37" s="166" t="s">
        <v>93</v>
      </c>
      <c r="E37" s="166" t="s">
        <v>174</v>
      </c>
      <c r="F37" s="158" t="n">
        <f aca="false">ינואר!E37+פברואר!E37+מרץ!E37+אפריל!E37+מאי!E37+יוני!E37+יולי!F37+אוגוסט!F37+ספטמבר!F37+אוקטובר!F37+נובמבר!F37</f>
        <v>22310.96</v>
      </c>
      <c r="G37" s="158" t="n">
        <f aca="false">ינואר!F37+פברואר!F37+מרץ!F37+אפריל!F37+מאי!F37+יוני!F37+יולי!G37+אוגוסט!G37+ספטמבר!G37+אוקטובר!G37+נובמבר!G37</f>
        <v>0</v>
      </c>
      <c r="H37" s="158" t="n">
        <f aca="false">ינואר!G37+פברואר!G37+מרץ!G37+אפריל!G37+מאי!G37+יוני!G37+יולי!H37+אוגוסט!H37+ספטמבר!H37+אוקטובר!H37+נובמבר!H37</f>
        <v>0</v>
      </c>
      <c r="I37" s="167" t="str">
        <f aca="false">IFERROR(H37/G37-1,"")</f>
        <v/>
      </c>
      <c r="J37" s="158" t="n">
        <f aca="false">H37-G37</f>
        <v>0</v>
      </c>
      <c r="L37" s="158" t="n">
        <f aca="false">ינואר!J37+פברואר!J37+מרץ!J37+אפריל!J37+מאי!J37+יוני!J37+יולי!M37+אוגוסט!M37+ספטמבר!M37+אוקטובר!M37+נובמבר!M37</f>
        <v>0</v>
      </c>
      <c r="M37" s="167" t="str">
        <f aca="false">IFERROR(H37/L37-1,"")</f>
        <v/>
      </c>
      <c r="N37" s="158" t="n">
        <f aca="false">H37-L37</f>
        <v>0</v>
      </c>
      <c r="P37" s="166" t="n">
        <v>0</v>
      </c>
      <c r="Q37" s="167" t="str">
        <f aca="false">IFERROR(H37/P37,"-")</f>
        <v>-</v>
      </c>
      <c r="R37" s="166" t="n">
        <f aca="false">H37-P37</f>
        <v>0</v>
      </c>
    </row>
    <row r="38" customFormat="false" ht="13.5" hidden="false" customHeight="true" outlineLevel="0" collapsed="false">
      <c r="A38" s="169" t="n">
        <v>35</v>
      </c>
      <c r="B38" s="166" t="s">
        <v>94</v>
      </c>
      <c r="C38" s="166" t="s">
        <v>94</v>
      </c>
      <c r="D38" s="166" t="s">
        <v>95</v>
      </c>
      <c r="E38" s="166" t="s">
        <v>51</v>
      </c>
      <c r="F38" s="158" t="n">
        <f aca="false">ינואר!E38+פברואר!E38+מרץ!E38+אפריל!E38+מאי!E38+יוני!E38+יולי!F38+אוגוסט!F38+ספטמבר!F38+אוקטובר!F38+נובמבר!F38</f>
        <v>-1.37</v>
      </c>
      <c r="G38" s="158" t="n">
        <f aca="false">ינואר!F38+פברואר!F38+מרץ!F38+אפריל!F38+מאי!F38+יוני!F38+יולי!G38+אוגוסט!G38+ספטמבר!G38+אוקטובר!G38+נובמבר!G38</f>
        <v>248.59</v>
      </c>
      <c r="H38" s="158" t="n">
        <f aca="false">ינואר!G38+פברואר!G38+מרץ!G38+אפריל!G38+מאי!G38+יוני!G38+יולי!H38+אוגוסט!H38+ספטמבר!H38+אוקטובר!H38+נובמבר!H38</f>
        <v>0</v>
      </c>
      <c r="I38" s="167" t="n">
        <f aca="false">IFERROR(H38/G38-1,"")</f>
        <v>-1</v>
      </c>
      <c r="J38" s="158" t="n">
        <f aca="false">H38-G38</f>
        <v>-248.59</v>
      </c>
      <c r="L38" s="158" t="n">
        <f aca="false">ינואר!J38+פברואר!J38+מרץ!J38+אפריל!J38+מאי!J38+יוני!J38+יולי!M38+אוגוסט!M38+ספטמבר!M38+אוקטובר!M38+נובמבר!M38</f>
        <v>600000</v>
      </c>
      <c r="M38" s="167" t="n">
        <f aca="false">IFERROR(H38/L38-1,"")</f>
        <v>-1</v>
      </c>
      <c r="N38" s="158" t="n">
        <f aca="false">H38-L38</f>
        <v>-600000</v>
      </c>
      <c r="P38" s="166" t="n">
        <v>0</v>
      </c>
      <c r="Q38" s="167" t="str">
        <f aca="false">IFERROR(H38/P38,"-")</f>
        <v>-</v>
      </c>
      <c r="R38" s="166" t="n">
        <f aca="false">H38-P38</f>
        <v>0</v>
      </c>
    </row>
    <row r="39" customFormat="false" ht="13.5" hidden="false" customHeight="true" outlineLevel="0" collapsed="false">
      <c r="A39" s="169" t="n">
        <v>36</v>
      </c>
      <c r="B39" s="166"/>
      <c r="C39" s="166" t="s">
        <v>97</v>
      </c>
      <c r="D39" s="166" t="s">
        <v>97</v>
      </c>
      <c r="E39" s="166"/>
      <c r="F39" s="158" t="n">
        <f aca="false">ינואר!E39+פברואר!E39+מרץ!E39+אפריל!E39+מאי!E39+יוני!E39+יולי!F39+אוגוסט!F39+ספטמבר!F39+אוקטובר!F39+נובמבר!F39</f>
        <v>0</v>
      </c>
      <c r="G39" s="158" t="n">
        <f aca="false">ינואר!F39+פברואר!F39+מרץ!F39+אפריל!F39+מאי!F39+יוני!F39+יולי!G39+אוגוסט!G39+ספטמבר!G39+אוקטובר!G39+נובמבר!G39</f>
        <v>0</v>
      </c>
      <c r="H39" s="158" t="n">
        <f aca="false">ינואר!G39+פברואר!G39+מרץ!G39+אפריל!G39+מאי!G39+יוני!G39+יולי!H39+אוגוסט!H39+ספטמבר!H39+אוקטובר!H39+נובמבר!H39</f>
        <v>0</v>
      </c>
      <c r="I39" s="167" t="str">
        <f aca="false">IFERROR(H39/G39-1,"")</f>
        <v/>
      </c>
      <c r="J39" s="158" t="n">
        <f aca="false">H39-G39</f>
        <v>0</v>
      </c>
      <c r="L39" s="158" t="n">
        <f aca="false">ינואר!J39+פברואר!J39+מרץ!J39+אפריל!J39+מאי!J39+יוני!J39+יולי!M39+אוגוסט!M39+ספטמבר!M39+אוקטובר!M39+נובמבר!M39</f>
        <v>400000</v>
      </c>
      <c r="M39" s="167" t="n">
        <f aca="false">IFERROR(H39/L39-1,"")</f>
        <v>-1</v>
      </c>
      <c r="N39" s="158" t="n">
        <f aca="false">H39-L39</f>
        <v>-400000</v>
      </c>
      <c r="P39" s="166" t="n">
        <v>100000</v>
      </c>
      <c r="Q39" s="167" t="n">
        <f aca="false">IFERROR(H39/P39,"-")</f>
        <v>0</v>
      </c>
      <c r="R39" s="166" t="n">
        <f aca="false">H39-P39</f>
        <v>-100000</v>
      </c>
    </row>
    <row r="40" customFormat="false" ht="15" hidden="false" customHeight="true" outlineLevel="0" collapsed="false">
      <c r="A40" s="169"/>
      <c r="B40" s="173"/>
      <c r="C40" s="173" t="s">
        <v>98</v>
      </c>
      <c r="D40" s="173" t="s">
        <v>98</v>
      </c>
      <c r="E40" s="173"/>
      <c r="F40" s="173" t="n">
        <f aca="false">SUM(F20:F39)</f>
        <v>6771115.5</v>
      </c>
      <c r="G40" s="173" t="n">
        <f aca="false">SUM(G20:G39)</f>
        <v>5458199.98</v>
      </c>
      <c r="H40" s="173" t="n">
        <f aca="false">SUM(H20:H39)</f>
        <v>4050561.83</v>
      </c>
      <c r="I40" s="174" t="n">
        <f aca="false">IFERROR(H40/G40-1,"")</f>
        <v>-0.257894205994263</v>
      </c>
      <c r="J40" s="173" t="n">
        <f aca="false">SUM(J20:J39)</f>
        <v>-1407638.15</v>
      </c>
      <c r="L40" s="173" t="n">
        <f aca="false">SUM(L20:L39)</f>
        <v>9187450.910675</v>
      </c>
      <c r="M40" s="174" t="n">
        <f aca="false">IFERROR(H40/L40-1,"")</f>
        <v>-0.559120166259217</v>
      </c>
      <c r="N40" s="173" t="n">
        <f aca="false">SUM(N20:N39)</f>
        <v>-5136889.080675</v>
      </c>
      <c r="P40" s="173" t="n">
        <f aca="false">SUM(P20:P39)</f>
        <v>6284819.94</v>
      </c>
      <c r="Q40" s="174" t="n">
        <f aca="false">IFERROR(H40/P40,"-")</f>
        <v>0.644499264683787</v>
      </c>
      <c r="R40" s="173" t="n">
        <f aca="false">E40-P40</f>
        <v>-6284819.94</v>
      </c>
    </row>
    <row r="41" customFormat="false" ht="15" hidden="false" customHeight="true" outlineLevel="0" collapsed="false">
      <c r="A41" s="169"/>
      <c r="B41" s="175"/>
      <c r="C41" s="175" t="s">
        <v>175</v>
      </c>
      <c r="D41" s="175" t="s">
        <v>175</v>
      </c>
      <c r="E41" s="175"/>
      <c r="F41" s="175" t="n">
        <f aca="false">F40+F19</f>
        <v>22478196.468</v>
      </c>
      <c r="G41" s="175" t="n">
        <f aca="false">G40+G19</f>
        <v>22117357.472</v>
      </c>
      <c r="H41" s="175" t="n">
        <f aca="false">H40+H19</f>
        <v>19243216.601</v>
      </c>
      <c r="I41" s="147" t="n">
        <f aca="false">IFERROR(H41/G41-1,"")</f>
        <v>-0.129949559961609</v>
      </c>
      <c r="J41" s="175" t="n">
        <f aca="false">J40+J19</f>
        <v>-2874140.87100001</v>
      </c>
      <c r="L41" s="175" t="n">
        <f aca="false">L40+L19</f>
        <v>37378774.8247899</v>
      </c>
      <c r="M41" s="147" t="n">
        <f aca="false">IFERROR(H41/L41-1,"")</f>
        <v>-0.485183324193981</v>
      </c>
      <c r="N41" s="175" t="n">
        <f aca="false">N40+N19</f>
        <v>-18135558.2237899</v>
      </c>
      <c r="P41" s="175" t="n">
        <f aca="false">P40+P19</f>
        <v>28486371.8341187</v>
      </c>
      <c r="Q41" s="147" t="n">
        <f aca="false">IFERROR(H41/P41,"-")</f>
        <v>0.675523605219253</v>
      </c>
      <c r="R41" s="175" t="n">
        <f aca="false">E41-P41</f>
        <v>-28486371.8341187</v>
      </c>
    </row>
    <row r="42" customFormat="false" ht="15" hidden="false" customHeight="true" outlineLevel="0" collapsed="false">
      <c r="B42" s="176"/>
      <c r="C42" s="176" t="s">
        <v>121</v>
      </c>
      <c r="D42" s="176" t="s">
        <v>121</v>
      </c>
      <c r="E42" s="176"/>
      <c r="F42" s="177" t="n">
        <f aca="false">F40/F41</f>
        <v>0.30123037271426</v>
      </c>
      <c r="G42" s="177" t="n">
        <f aca="false">G40/G41</f>
        <v>0.246783549386943</v>
      </c>
      <c r="H42" s="177" t="n">
        <f aca="false">H40/H41</f>
        <v>0.2104929707952</v>
      </c>
      <c r="I42" s="177" t="n">
        <f aca="false">IFERROR(H42/G42-1,"")</f>
        <v>-0.147054285757281</v>
      </c>
      <c r="J42" s="177"/>
      <c r="L42" s="177" t="n">
        <f aca="false">L40-ינואר!J40-פברואר!J40-מרץ!J40-אפריל!J40-מאי!J40-יוני!J40-יולי!M40-אוגוסט!M40-ספטמבר!M40-אוקטובר!M40-נובמבר!M40</f>
        <v>0</v>
      </c>
      <c r="M42" s="177"/>
      <c r="N42" s="177"/>
      <c r="P42" s="242"/>
      <c r="Q42" s="177" t="str">
        <f aca="false">IFERROR(H42/P42,"-")</f>
        <v>-</v>
      </c>
      <c r="R42" s="242"/>
    </row>
    <row r="43" customFormat="false" ht="14.25" hidden="false" customHeight="true" outlineLevel="0" collapsed="false">
      <c r="F43" s="1" t="n">
        <f aca="false">F41-ינואר!E41-פברואר!E41-מרץ!E41-אפריל!E41-מאי!E41-יוני!E41-יולי!F41-אוגוסט!F41-ספטמבר!F41-אוקטובר!F41-נובמבר!F41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false" showRowColHeaders="true" showZeros="true" rightToLeft="true" tabSelected="false" showOutlineSymbols="true" defaultGridColor="true" view="normal" topLeftCell="A1" colorId="64" zoomScale="70" zoomScaleNormal="7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M47" activeCellId="0" sqref="M47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179" width="26"/>
    <col collapsed="false" customWidth="true" hidden="false" outlineLevel="0" max="4" min="4" style="179" width="26"/>
    <col collapsed="false" customWidth="true" hidden="false" outlineLevel="0" max="5" min="5" style="179" width="12.25"/>
    <col collapsed="false" customWidth="true" hidden="false" outlineLevel="0" max="8" min="6" style="1" width="9.87"/>
    <col collapsed="false" customWidth="true" hidden="false" outlineLevel="0" max="9" min="9" style="1" width="6.88"/>
    <col collapsed="false" customWidth="true" hidden="false" outlineLevel="0" max="11" min="10" style="1" width="11.88"/>
    <col collapsed="false" customWidth="true" hidden="false" outlineLevel="0" max="13" min="13" style="1" width="10.88"/>
    <col collapsed="false" customWidth="true" hidden="false" outlineLevel="0" max="14" min="14" style="1" width="11.88"/>
    <col collapsed="false" customWidth="true" hidden="false" outlineLevel="0" max="15" min="15" style="1" width="11.38"/>
    <col collapsed="false" customWidth="true" hidden="false" outlineLevel="0" max="17" min="17" style="1" width="10.88"/>
    <col collapsed="false" customWidth="true" hidden="false" outlineLevel="0" max="20" min="18" style="1" width="11.88"/>
    <col collapsed="false" customWidth="true" hidden="false" outlineLevel="0" max="22" min="22" style="1" width="9.87"/>
    <col collapsed="false" customWidth="true" hidden="false" outlineLevel="0" max="23" min="23" style="1" width="10.5"/>
    <col collapsed="false" customWidth="true" hidden="false" outlineLevel="0" max="24" min="24" style="180" width="9"/>
  </cols>
  <sheetData>
    <row r="1" customFormat="false" ht="15.75" hidden="false" customHeight="true" outlineLevel="0" collapsed="false">
      <c r="B1" s="181"/>
      <c r="C1" s="181" t="s">
        <v>245</v>
      </c>
      <c r="D1" s="181" t="s">
        <v>245</v>
      </c>
      <c r="E1" s="181"/>
      <c r="F1" s="7"/>
      <c r="G1" s="7"/>
      <c r="H1" s="7"/>
      <c r="I1" s="7"/>
      <c r="J1" s="7"/>
      <c r="K1" s="7"/>
      <c r="M1" s="7"/>
      <c r="N1" s="7"/>
      <c r="O1" s="7"/>
      <c r="Q1" s="7"/>
      <c r="R1" s="7"/>
      <c r="S1" s="7"/>
      <c r="T1" s="7"/>
      <c r="V1" s="7"/>
    </row>
    <row r="2" customFormat="false" ht="15" hidden="false" customHeight="true" outlineLevel="0" collapsed="false">
      <c r="A2" s="161" t="s">
        <v>2</v>
      </c>
      <c r="B2" s="38"/>
      <c r="C2" s="38"/>
      <c r="D2" s="38"/>
      <c r="E2" s="38" t="s">
        <v>3</v>
      </c>
      <c r="F2" s="163" t="n">
        <v>12.2024</v>
      </c>
      <c r="G2" s="163" t="n">
        <v>12.2025</v>
      </c>
      <c r="H2" s="163" t="n">
        <v>12.2026</v>
      </c>
      <c r="I2" s="185" t="s">
        <v>211</v>
      </c>
      <c r="J2" s="185" t="s">
        <v>168</v>
      </c>
      <c r="K2" s="163" t="s">
        <v>169</v>
      </c>
      <c r="M2" s="163" t="s">
        <v>170</v>
      </c>
      <c r="N2" s="185" t="s">
        <v>114</v>
      </c>
      <c r="O2" s="163" t="s">
        <v>115</v>
      </c>
      <c r="Q2" s="186" t="s">
        <v>1</v>
      </c>
      <c r="R2" s="185" t="s">
        <v>214</v>
      </c>
      <c r="S2" s="185" t="s">
        <v>212</v>
      </c>
      <c r="T2" s="163" t="s">
        <v>215</v>
      </c>
      <c r="U2" s="187"/>
      <c r="V2" s="162" t="n">
        <v>12.2026</v>
      </c>
      <c r="W2" s="187"/>
    </row>
    <row r="3" customFormat="false" ht="14.25" hidden="false" customHeight="true" outlineLevel="0" collapsed="false">
      <c r="A3" s="165" t="n">
        <v>5</v>
      </c>
      <c r="B3" s="189" t="s">
        <v>143</v>
      </c>
      <c r="C3" s="189" t="s">
        <v>31</v>
      </c>
      <c r="D3" s="189" t="s">
        <v>31</v>
      </c>
      <c r="E3" s="189" t="s">
        <v>32</v>
      </c>
      <c r="F3" s="158" t="n">
        <f aca="false">VLOOKUP(B3,'2024'!$A:$O,13,0)</f>
        <v>318421.6</v>
      </c>
      <c r="G3" s="158" t="n">
        <f aca="false">VLOOKUP($B3,'2025'!$A:$O,13,0)</f>
        <v>97619.06</v>
      </c>
      <c r="H3" s="158"/>
      <c r="I3" s="190" t="str">
        <f aca="false">IFERROR(H3/$H$19,"")</f>
        <v/>
      </c>
      <c r="J3" s="190" t="n">
        <f aca="false">IFERROR(H3/G3-1,"")</f>
        <v>-1</v>
      </c>
      <c r="K3" s="158" t="n">
        <f aca="false">H3-G3</f>
        <v>-97619.06</v>
      </c>
      <c r="M3" s="158" t="n">
        <f aca="false">VLOOKUP(C3,'תקציב  '!$B:$S,15,0)*1</f>
        <v>243492.063492064</v>
      </c>
      <c r="N3" s="190" t="n">
        <f aca="false">IFERROR(H3/M3-1,"")</f>
        <v>-1</v>
      </c>
      <c r="O3" s="158" t="n">
        <f aca="false">H3-M3</f>
        <v>-243492.063492064</v>
      </c>
      <c r="Q3" s="166" t="n">
        <v>200000</v>
      </c>
      <c r="R3" s="190" t="n">
        <f aca="false">IFERROR(H3/Q3-1,"-")</f>
        <v>-1</v>
      </c>
      <c r="S3" s="190" t="n">
        <f aca="false">IFERROR(H3/Q3,"-")</f>
        <v>0</v>
      </c>
      <c r="T3" s="158" t="n">
        <f aca="false">H3-Q3</f>
        <v>-200000</v>
      </c>
      <c r="V3" s="158"/>
      <c r="W3" s="5" t="n">
        <f aca="false">H3-V3</f>
        <v>0</v>
      </c>
      <c r="X3" s="191" t="str">
        <f aca="false">IFERROR((G3/V3)-1,"-")</f>
        <v>-</v>
      </c>
    </row>
    <row r="4" customFormat="false" ht="14.25" hidden="false" customHeight="true" outlineLevel="0" collapsed="false">
      <c r="A4" s="168" t="n">
        <v>1</v>
      </c>
      <c r="B4" s="189" t="s">
        <v>33</v>
      </c>
      <c r="C4" s="189" t="s">
        <v>33</v>
      </c>
      <c r="D4" s="189" t="s">
        <v>33</v>
      </c>
      <c r="E4" s="189" t="s">
        <v>32</v>
      </c>
      <c r="F4" s="158" t="n">
        <f aca="false">VLOOKUP(C4,'2024'!$A:$O,13,0)</f>
        <v>453775.686</v>
      </c>
      <c r="G4" s="158" t="n">
        <f aca="false">VLOOKUP($B4,'2025'!$A:$O,13,0)</f>
        <v>453051.69</v>
      </c>
      <c r="H4" s="158"/>
      <c r="I4" s="190" t="str">
        <f aca="false">IFERROR(H4/$H$19,"")</f>
        <v/>
      </c>
      <c r="J4" s="190" t="n">
        <f aca="false">IFERROR(H4/G4-1,"")</f>
        <v>-1</v>
      </c>
      <c r="K4" s="158" t="n">
        <f aca="false">H4-G4</f>
        <v>-453051.69</v>
      </c>
      <c r="M4" s="158" t="n">
        <f aca="false">VLOOKUP(C4,'תקציב  '!$B:$S,15,0)*1</f>
        <v>598730.158730159</v>
      </c>
      <c r="N4" s="190" t="n">
        <f aca="false">IFERROR(H4/M4-1,"")</f>
        <v>-1</v>
      </c>
      <c r="O4" s="158" t="n">
        <f aca="false">H4-M4</f>
        <v>-598730.158730159</v>
      </c>
      <c r="Q4" s="166" t="n">
        <v>550000</v>
      </c>
      <c r="R4" s="190" t="n">
        <f aca="false">IFERROR(H4/Q4-1,"-")</f>
        <v>-1</v>
      </c>
      <c r="S4" s="190" t="n">
        <f aca="false">IFERROR(H4/Q4,"-")</f>
        <v>0</v>
      </c>
      <c r="T4" s="158" t="n">
        <f aca="false">H4-Q4</f>
        <v>-550000</v>
      </c>
      <c r="V4" s="158"/>
      <c r="W4" s="5" t="n">
        <f aca="false">H4-V4</f>
        <v>0</v>
      </c>
      <c r="X4" s="191" t="str">
        <f aca="false">IFERROR((G4/V4)-1,"-")</f>
        <v>-</v>
      </c>
    </row>
    <row r="5" customFormat="false" ht="14.25" hidden="false" customHeight="true" outlineLevel="0" collapsed="false">
      <c r="A5" s="168" t="n">
        <v>7</v>
      </c>
      <c r="B5" s="189" t="s">
        <v>34</v>
      </c>
      <c r="C5" s="189" t="s">
        <v>34</v>
      </c>
      <c r="D5" s="189" t="s">
        <v>34</v>
      </c>
      <c r="E5" s="189" t="s">
        <v>32</v>
      </c>
      <c r="F5" s="158" t="n">
        <f aca="false">VLOOKUP(C5,'2024'!$A:$O,13,0)</f>
        <v>89875.877</v>
      </c>
      <c r="G5" s="158" t="n">
        <f aca="false">VLOOKUP($B5,'2025'!$A:$O,13,0)</f>
        <v>61250.28</v>
      </c>
      <c r="H5" s="158"/>
      <c r="I5" s="190" t="str">
        <f aca="false">IFERROR(H5/$H$19,"")</f>
        <v/>
      </c>
      <c r="J5" s="190" t="n">
        <f aca="false">IFERROR(H5/G5-1,"")</f>
        <v>-1</v>
      </c>
      <c r="K5" s="158" t="n">
        <f aca="false">H5-G5</f>
        <v>-61250.28</v>
      </c>
      <c r="M5" s="158" t="n">
        <f aca="false">VLOOKUP(C5,'תקציב  '!$B:$S,15,0)*1</f>
        <v>82142.8571428571</v>
      </c>
      <c r="N5" s="190" t="n">
        <f aca="false">IFERROR(H5/M5-1,"")</f>
        <v>-1</v>
      </c>
      <c r="O5" s="158" t="n">
        <f aca="false">H5-M5</f>
        <v>-82142.8571428571</v>
      </c>
      <c r="Q5" s="166" t="n">
        <v>100000</v>
      </c>
      <c r="R5" s="190" t="n">
        <f aca="false">IFERROR(H5/Q5-1,"-")</f>
        <v>-1</v>
      </c>
      <c r="S5" s="190" t="n">
        <f aca="false">IFERROR(H5/Q5,"-")</f>
        <v>0</v>
      </c>
      <c r="T5" s="158" t="n">
        <f aca="false">H5-Q5</f>
        <v>-100000</v>
      </c>
      <c r="V5" s="158"/>
      <c r="W5" s="5" t="n">
        <f aca="false">H5-V5</f>
        <v>0</v>
      </c>
      <c r="X5" s="191" t="str">
        <f aca="false">IFERROR((G5/V5)-1,"-")</f>
        <v>-</v>
      </c>
    </row>
    <row r="6" customFormat="false" ht="14.25" hidden="false" customHeight="true" outlineLevel="0" collapsed="false">
      <c r="A6" s="168" t="n">
        <v>4</v>
      </c>
      <c r="B6" s="189" t="s">
        <v>35</v>
      </c>
      <c r="C6" s="189" t="s">
        <v>35</v>
      </c>
      <c r="D6" s="189" t="s">
        <v>35</v>
      </c>
      <c r="E6" s="189" t="s">
        <v>32</v>
      </c>
      <c r="F6" s="158" t="n">
        <f aca="false">VLOOKUP(C6,'2024'!$A:$O,13,0)</f>
        <v>149421.213</v>
      </c>
      <c r="G6" s="158" t="n">
        <f aca="false">VLOOKUP($B6,'2025'!$A:$O,13,0)</f>
        <v>144058.52</v>
      </c>
      <c r="H6" s="158"/>
      <c r="I6" s="190" t="str">
        <f aca="false">IFERROR(H6/$H$19,"")</f>
        <v/>
      </c>
      <c r="J6" s="190" t="n">
        <f aca="false">IFERROR(H6/G6-1,"")</f>
        <v>-1</v>
      </c>
      <c r="K6" s="158" t="n">
        <f aca="false">H6-G6</f>
        <v>-144058.52</v>
      </c>
      <c r="M6" s="158" t="n">
        <f aca="false">VLOOKUP(B6,'תקציב  '!$B:$S,15,0)*1</f>
        <v>173412.698412698</v>
      </c>
      <c r="N6" s="190" t="n">
        <f aca="false">IFERROR(H6/M6-1,"")</f>
        <v>-1</v>
      </c>
      <c r="O6" s="158" t="n">
        <f aca="false">H6-M6</f>
        <v>-173412.698412698</v>
      </c>
      <c r="Q6" s="166" t="n">
        <v>200000</v>
      </c>
      <c r="R6" s="190" t="n">
        <f aca="false">IFERROR(H6/Q6-1,"-")</f>
        <v>-1</v>
      </c>
      <c r="S6" s="190" t="n">
        <f aca="false">IFERROR(H6/Q6,"-")</f>
        <v>0</v>
      </c>
      <c r="T6" s="158" t="n">
        <f aca="false">H6-Q6</f>
        <v>-200000</v>
      </c>
      <c r="V6" s="158"/>
      <c r="W6" s="5" t="n">
        <f aca="false">H6-V6</f>
        <v>0</v>
      </c>
      <c r="X6" s="191" t="str">
        <f aca="false">IFERROR((G6/V6)-1,"-")</f>
        <v>-</v>
      </c>
    </row>
    <row r="7" customFormat="false" ht="14.25" hidden="false" customHeight="true" outlineLevel="0" collapsed="false">
      <c r="A7" s="168" t="n">
        <v>3</v>
      </c>
      <c r="B7" s="189" t="s">
        <v>148</v>
      </c>
      <c r="C7" s="189" t="s">
        <v>36</v>
      </c>
      <c r="D7" s="189" t="s">
        <v>36</v>
      </c>
      <c r="E7" s="189" t="s">
        <v>32</v>
      </c>
      <c r="F7" s="158" t="n">
        <f aca="false">VLOOKUP(B7,'2024'!$A:$O,13,0)</f>
        <v>378149.8</v>
      </c>
      <c r="G7" s="158" t="n">
        <f aca="false">VLOOKUP($B7,'2025'!$A:$O,13,0)</f>
        <v>367699.5</v>
      </c>
      <c r="H7" s="158"/>
      <c r="I7" s="190" t="str">
        <f aca="false">IFERROR(H7/$H$19,"")</f>
        <v/>
      </c>
      <c r="J7" s="190" t="n">
        <f aca="false">IFERROR(H7/G7-1,"")</f>
        <v>-1</v>
      </c>
      <c r="K7" s="158" t="n">
        <f aca="false">H7-G7</f>
        <v>-367699.5</v>
      </c>
      <c r="M7" s="158" t="n">
        <f aca="false">VLOOKUP(C7,'תקציב  '!$B:$S,15,0)*1</f>
        <v>366000</v>
      </c>
      <c r="N7" s="190" t="n">
        <f aca="false">IFERROR(H7/M7-1,"")</f>
        <v>-1</v>
      </c>
      <c r="O7" s="158" t="n">
        <f aca="false">H7-M7</f>
        <v>-366000</v>
      </c>
      <c r="Q7" s="166" t="n">
        <v>330000</v>
      </c>
      <c r="R7" s="190" t="n">
        <f aca="false">IFERROR(H7/Q7-1,"-")</f>
        <v>-1</v>
      </c>
      <c r="S7" s="190" t="n">
        <f aca="false">IFERROR(H7/Q7,"-")</f>
        <v>0</v>
      </c>
      <c r="T7" s="158" t="n">
        <f aca="false">H7-Q7</f>
        <v>-330000</v>
      </c>
      <c r="V7" s="158"/>
      <c r="W7" s="5" t="n">
        <f aca="false">H7-V7</f>
        <v>0</v>
      </c>
      <c r="X7" s="191" t="str">
        <f aca="false">IFERROR((G7/V7)-1,"-")</f>
        <v>-</v>
      </c>
    </row>
    <row r="8" customFormat="false" ht="14.25" hidden="false" customHeight="true" outlineLevel="0" collapsed="false">
      <c r="A8" s="168" t="n">
        <v>8</v>
      </c>
      <c r="B8" s="189" t="s">
        <v>147</v>
      </c>
      <c r="C8" s="189" t="s">
        <v>37</v>
      </c>
      <c r="D8" s="189" t="s">
        <v>37</v>
      </c>
      <c r="E8" s="189" t="s">
        <v>32</v>
      </c>
      <c r="F8" s="158" t="n">
        <f aca="false">VLOOKUP(B8,'2024'!$A:$O,13,0)</f>
        <v>68517.25</v>
      </c>
      <c r="G8" s="158" t="n">
        <f aca="false">VLOOKUP($B8,'2025'!$A:$O,13,0)</f>
        <v>60034.25</v>
      </c>
      <c r="H8" s="158"/>
      <c r="I8" s="190" t="str">
        <f aca="false">IFERROR(H8/$H$19,"")</f>
        <v/>
      </c>
      <c r="J8" s="190" t="n">
        <f aca="false">IFERROR(H8/G8-1,"")</f>
        <v>-1</v>
      </c>
      <c r="K8" s="158" t="n">
        <f aca="false">H8-G8</f>
        <v>-60034.25</v>
      </c>
      <c r="M8" s="158" t="n">
        <f aca="false">VLOOKUP(C8,'תקציב  '!$B:$S,15,0)*1</f>
        <v>91269.8412698413</v>
      </c>
      <c r="N8" s="190" t="n">
        <f aca="false">IFERROR(H8/M8-1,"")</f>
        <v>-1</v>
      </c>
      <c r="O8" s="158" t="n">
        <f aca="false">H8-M8</f>
        <v>-91269.8412698413</v>
      </c>
      <c r="Q8" s="166" t="n">
        <v>100000</v>
      </c>
      <c r="R8" s="190" t="n">
        <f aca="false">IFERROR(H8/Q8-1,"-")</f>
        <v>-1</v>
      </c>
      <c r="S8" s="190" t="n">
        <f aca="false">IFERROR(H8/Q8,"-")</f>
        <v>0</v>
      </c>
      <c r="T8" s="158" t="n">
        <f aca="false">H8-Q8</f>
        <v>-100000</v>
      </c>
      <c r="V8" s="158"/>
      <c r="W8" s="5" t="n">
        <f aca="false">H8-V8</f>
        <v>0</v>
      </c>
      <c r="X8" s="191" t="str">
        <f aca="false">IFERROR((G8/V8)-1,"-")</f>
        <v>-</v>
      </c>
    </row>
    <row r="9" customFormat="false" ht="14.25" hidden="false" customHeight="true" outlineLevel="0" collapsed="false">
      <c r="A9" s="168" t="n">
        <v>6</v>
      </c>
      <c r="B9" s="189" t="s">
        <v>137</v>
      </c>
      <c r="C9" s="189" t="s">
        <v>38</v>
      </c>
      <c r="D9" s="189" t="s">
        <v>38</v>
      </c>
      <c r="E9" s="189" t="s">
        <v>32</v>
      </c>
      <c r="F9" s="158" t="n">
        <f aca="false">VLOOKUP(B9,'2024'!$A:$O,13,0)</f>
        <v>65670.46</v>
      </c>
      <c r="G9" s="158" t="n">
        <f aca="false">VLOOKUP($B9,'2025'!$A:$O,13,0)</f>
        <v>69362.57</v>
      </c>
      <c r="H9" s="158"/>
      <c r="I9" s="190" t="str">
        <f aca="false">IFERROR(H9/$H$19,"")</f>
        <v/>
      </c>
      <c r="J9" s="190" t="n">
        <f aca="false">IFERROR(H9/G9-1,"")</f>
        <v>-1</v>
      </c>
      <c r="K9" s="158" t="n">
        <f aca="false">H9-G9</f>
        <v>-69362.57</v>
      </c>
      <c r="M9" s="158" t="n">
        <f aca="false">VLOOKUP(C9,'תקציב  '!$B:$S,15,0)*1</f>
        <v>177591.26984127</v>
      </c>
      <c r="N9" s="190" t="n">
        <f aca="false">IFERROR(H9/M9-1,"")</f>
        <v>-1</v>
      </c>
      <c r="O9" s="158" t="n">
        <f aca="false">H9-M9</f>
        <v>-177591.26984127</v>
      </c>
      <c r="Q9" s="166" t="n">
        <v>100000</v>
      </c>
      <c r="R9" s="190" t="n">
        <f aca="false">IFERROR(H9/Q9-1,"-")</f>
        <v>-1</v>
      </c>
      <c r="S9" s="190" t="n">
        <f aca="false">IFERROR(H9/Q9,"-")</f>
        <v>0</v>
      </c>
      <c r="T9" s="158" t="n">
        <f aca="false">H9-Q9</f>
        <v>-100000</v>
      </c>
      <c r="V9" s="158"/>
      <c r="W9" s="5" t="n">
        <f aca="false">H9-V9</f>
        <v>0</v>
      </c>
      <c r="X9" s="191" t="str">
        <f aca="false">IFERROR((G9/V9)-1,"-")</f>
        <v>-</v>
      </c>
    </row>
    <row r="10" customFormat="false" ht="14.25" hidden="false" customHeight="true" outlineLevel="0" collapsed="false">
      <c r="A10" s="169" t="n">
        <v>10</v>
      </c>
      <c r="B10" s="193" t="s">
        <v>138</v>
      </c>
      <c r="C10" s="193" t="s">
        <v>39</v>
      </c>
      <c r="D10" s="193" t="s">
        <v>39</v>
      </c>
      <c r="E10" s="193" t="s">
        <v>32</v>
      </c>
      <c r="F10" s="158" t="n">
        <f aca="false">VLOOKUP(B10,'2024'!$A:$O,13,0)</f>
        <v>16400.06</v>
      </c>
      <c r="G10" s="158" t="n">
        <f aca="false">VLOOKUP($B10,'2025'!$A:$O,13,0)</f>
        <v>11214.5</v>
      </c>
      <c r="H10" s="158"/>
      <c r="I10" s="190" t="str">
        <f aca="false">IFERROR(H10/$H$19,"")</f>
        <v/>
      </c>
      <c r="J10" s="190" t="n">
        <f aca="false">IFERROR(H10/G10-1,"")</f>
        <v>-1</v>
      </c>
      <c r="K10" s="158" t="n">
        <f aca="false">H10-G10</f>
        <v>-11214.5</v>
      </c>
      <c r="M10" s="158" t="n">
        <f aca="false">VLOOKUP(C10,'תקציב  '!$B:$S,15,0)*1</f>
        <v>17341.2698412698</v>
      </c>
      <c r="N10" s="190" t="n">
        <f aca="false">IFERROR(H10/M10-1,"")</f>
        <v>-1</v>
      </c>
      <c r="O10" s="158" t="n">
        <f aca="false">H10-M10</f>
        <v>-17341.2698412698</v>
      </c>
      <c r="Q10" s="166" t="n">
        <v>15000</v>
      </c>
      <c r="R10" s="190" t="n">
        <f aca="false">IFERROR(H10/Q10-1,"-")</f>
        <v>-1</v>
      </c>
      <c r="S10" s="190" t="n">
        <f aca="false">IFERROR(H10/Q10,"-")</f>
        <v>0</v>
      </c>
      <c r="T10" s="158" t="n">
        <f aca="false">H10-Q10</f>
        <v>-15000</v>
      </c>
      <c r="V10" s="158"/>
      <c r="W10" s="5" t="n">
        <f aca="false">H10-V10</f>
        <v>0</v>
      </c>
      <c r="X10" s="191" t="str">
        <f aca="false">IFERROR((G10/V10)-1,"-")</f>
        <v>-</v>
      </c>
    </row>
    <row r="11" customFormat="false" ht="14.25" hidden="false" customHeight="true" outlineLevel="0" collapsed="false">
      <c r="A11" s="168" t="n">
        <v>11</v>
      </c>
      <c r="B11" s="189" t="s">
        <v>141</v>
      </c>
      <c r="C11" s="189" t="s">
        <v>40</v>
      </c>
      <c r="D11" s="189" t="s">
        <v>40</v>
      </c>
      <c r="E11" s="189" t="s">
        <v>32</v>
      </c>
      <c r="F11" s="158" t="n">
        <f aca="false">VLOOKUP(B11,'2024'!$A:$O,13,0)</f>
        <v>10713.92</v>
      </c>
      <c r="G11" s="158" t="n">
        <f aca="false">VLOOKUP($B11,'2025'!$A:$O,13,0)</f>
        <v>5866.58</v>
      </c>
      <c r="H11" s="158"/>
      <c r="I11" s="190" t="str">
        <f aca="false">IFERROR(H11/$H$19,"")</f>
        <v/>
      </c>
      <c r="J11" s="190" t="n">
        <f aca="false">IFERROR(H11/G11-1,"")</f>
        <v>-1</v>
      </c>
      <c r="K11" s="158" t="n">
        <f aca="false">H11-G11</f>
        <v>-5866.58</v>
      </c>
      <c r="M11" s="158" t="n">
        <f aca="false">VLOOKUP(C11,'תקציב  '!$B:$S,15,0)*1</f>
        <v>9126.98412698413</v>
      </c>
      <c r="N11" s="190" t="n">
        <f aca="false">IFERROR(H11/M11-1,"")</f>
        <v>-1</v>
      </c>
      <c r="O11" s="158" t="n">
        <f aca="false">H11-M11</f>
        <v>-9126.98412698413</v>
      </c>
      <c r="Q11" s="166" t="n">
        <v>10000</v>
      </c>
      <c r="R11" s="190" t="n">
        <f aca="false">IFERROR(H11/Q11-1,"-")</f>
        <v>-1</v>
      </c>
      <c r="S11" s="190" t="n">
        <f aca="false">IFERROR(H11/Q11,"-")</f>
        <v>0</v>
      </c>
      <c r="T11" s="158" t="n">
        <f aca="false">H11-Q11</f>
        <v>-10000</v>
      </c>
      <c r="V11" s="158"/>
      <c r="W11" s="5" t="n">
        <f aca="false">H11-V11</f>
        <v>0</v>
      </c>
      <c r="X11" s="191" t="str">
        <f aca="false">IFERROR((G11/V11)-1,"-")</f>
        <v>-</v>
      </c>
    </row>
    <row r="12" customFormat="false" ht="14.25" hidden="false" customHeight="true" outlineLevel="0" collapsed="false">
      <c r="A12" s="168" t="n">
        <v>14</v>
      </c>
      <c r="B12" s="189" t="s">
        <v>142</v>
      </c>
      <c r="C12" s="189" t="s">
        <v>41</v>
      </c>
      <c r="D12" s="189" t="s">
        <v>41</v>
      </c>
      <c r="E12" s="189" t="s">
        <v>32</v>
      </c>
      <c r="F12" s="158" t="n">
        <f aca="false">VLOOKUP(B12,'2024'!$A:$O,13,0)</f>
        <v>850.4</v>
      </c>
      <c r="G12" s="158" t="n">
        <f aca="false">VLOOKUP($B12,'2025'!$A:$O,13,0)</f>
        <v>0</v>
      </c>
      <c r="H12" s="158"/>
      <c r="I12" s="190" t="str">
        <f aca="false">IFERROR(H12/$H$19,"")</f>
        <v/>
      </c>
      <c r="J12" s="190" t="str">
        <f aca="false">IFERROR(H12/G12-1,"")</f>
        <v/>
      </c>
      <c r="K12" s="158" t="n">
        <f aca="false">H12-G12</f>
        <v>0</v>
      </c>
      <c r="M12" s="158" t="n">
        <f aca="false">VLOOKUP(C12,'תקציב  '!$B:$S,15,0)*1</f>
        <v>0</v>
      </c>
      <c r="N12" s="190" t="str">
        <f aca="false">IFERROR(H12/M12-1,"")</f>
        <v/>
      </c>
      <c r="O12" s="158" t="n">
        <f aca="false">H12-M12</f>
        <v>0</v>
      </c>
      <c r="Q12" s="166" t="n">
        <v>5000</v>
      </c>
      <c r="R12" s="190" t="n">
        <f aca="false">IFERROR(H12/Q12-1,"-")</f>
        <v>-1</v>
      </c>
      <c r="S12" s="190" t="n">
        <f aca="false">IFERROR(H12/Q12,"-")</f>
        <v>0</v>
      </c>
      <c r="T12" s="158" t="n">
        <f aca="false">H12-Q12</f>
        <v>-5000</v>
      </c>
      <c r="V12" s="158"/>
      <c r="W12" s="5" t="n">
        <f aca="false">H12-V12</f>
        <v>0</v>
      </c>
      <c r="X12" s="191" t="str">
        <f aca="false">IFERROR((G12/V12)-1,"-")</f>
        <v>-</v>
      </c>
    </row>
    <row r="13" customFormat="false" ht="14.25" hidden="false" customHeight="true" outlineLevel="0" collapsed="false">
      <c r="A13" s="168" t="n">
        <v>15</v>
      </c>
      <c r="B13" s="189" t="s">
        <v>139</v>
      </c>
      <c r="C13" s="189" t="s">
        <v>47</v>
      </c>
      <c r="D13" s="189" t="s">
        <v>47</v>
      </c>
      <c r="E13" s="189" t="s">
        <v>32</v>
      </c>
      <c r="F13" s="158" t="n">
        <f aca="false">VLOOKUP(B13,'2024'!$A:$O,13,0)</f>
        <v>-14.28</v>
      </c>
      <c r="G13" s="158" t="n">
        <f aca="false">VLOOKUP($B13,'2025'!$A:$O,13,0)</f>
        <v>0</v>
      </c>
      <c r="H13" s="158"/>
      <c r="I13" s="190" t="str">
        <f aca="false">IFERROR(H13/$H$19,"")</f>
        <v/>
      </c>
      <c r="J13" s="190" t="str">
        <f aca="false">IFERROR(H13/G13-1,"")</f>
        <v/>
      </c>
      <c r="K13" s="158" t="n">
        <f aca="false">H13-G13</f>
        <v>0</v>
      </c>
      <c r="M13" s="158" t="n">
        <f aca="false">VLOOKUP(C13,'תקציב  '!$B:$S,15,0)*1</f>
        <v>0</v>
      </c>
      <c r="N13" s="190" t="str">
        <f aca="false">IFERROR(H13/M13-1,"")</f>
        <v/>
      </c>
      <c r="O13" s="158" t="n">
        <f aca="false">H13-M13</f>
        <v>0</v>
      </c>
      <c r="Q13" s="166" t="n">
        <v>5000</v>
      </c>
      <c r="R13" s="190" t="n">
        <f aca="false">IFERROR(H13/Q13-1,"-")</f>
        <v>-1</v>
      </c>
      <c r="S13" s="190" t="n">
        <f aca="false">IFERROR(H13/Q13,"-")</f>
        <v>0</v>
      </c>
      <c r="T13" s="158" t="n">
        <f aca="false">H13-Q13</f>
        <v>-5000</v>
      </c>
      <c r="V13" s="158"/>
      <c r="W13" s="5" t="n">
        <f aca="false">H13-V13</f>
        <v>0</v>
      </c>
      <c r="X13" s="191" t="str">
        <f aca="false">IFERROR((G13/V13)-1,"-")</f>
        <v>-</v>
      </c>
    </row>
    <row r="14" customFormat="false" ht="14.25" hidden="false" customHeight="true" outlineLevel="0" collapsed="false">
      <c r="A14" s="168" t="n">
        <v>13</v>
      </c>
      <c r="B14" s="189" t="s">
        <v>145</v>
      </c>
      <c r="C14" s="189" t="s">
        <v>43</v>
      </c>
      <c r="D14" s="189" t="s">
        <v>43</v>
      </c>
      <c r="E14" s="189" t="s">
        <v>32</v>
      </c>
      <c r="F14" s="158" t="n">
        <f aca="false">VLOOKUP(B14,'2024'!$A:$O,13,0)</f>
        <v>2520</v>
      </c>
      <c r="G14" s="158" t="n">
        <f aca="false">VLOOKUP($B14,'2025'!$A:$O,13,0)</f>
        <v>1813.57</v>
      </c>
      <c r="H14" s="158"/>
      <c r="I14" s="190" t="str">
        <f aca="false">IFERROR(H14/$H$19,"")</f>
        <v/>
      </c>
      <c r="J14" s="190" t="n">
        <f aca="false">IFERROR(H14/G14-1,"")</f>
        <v>-1</v>
      </c>
      <c r="K14" s="158" t="n">
        <f aca="false">H14-G14</f>
        <v>-1813.57</v>
      </c>
      <c r="M14" s="158" t="n">
        <f aca="false">VLOOKUP(C14,'תקציב  '!$B:$S,15,0)*1</f>
        <v>0</v>
      </c>
      <c r="N14" s="190" t="str">
        <f aca="false">IFERROR(H14/M14-1,"")</f>
        <v/>
      </c>
      <c r="O14" s="158" t="n">
        <f aca="false">H14-M14</f>
        <v>0</v>
      </c>
      <c r="Q14" s="166" t="n">
        <v>5000</v>
      </c>
      <c r="R14" s="190" t="n">
        <f aca="false">IFERROR(H14/Q14-1,"-")</f>
        <v>-1</v>
      </c>
      <c r="S14" s="190" t="n">
        <f aca="false">IFERROR(H14/Q14,"-")</f>
        <v>0</v>
      </c>
      <c r="T14" s="158" t="n">
        <f aca="false">H14-Q14</f>
        <v>-5000</v>
      </c>
      <c r="V14" s="158"/>
      <c r="W14" s="5" t="n">
        <f aca="false">H14-V14</f>
        <v>0</v>
      </c>
      <c r="X14" s="191" t="str">
        <f aca="false">IFERROR((G14/V14)-1,"-")</f>
        <v>-</v>
      </c>
    </row>
    <row r="15" customFormat="false" ht="14.25" hidden="false" customHeight="true" outlineLevel="0" collapsed="false">
      <c r="A15" s="168" t="n">
        <v>9</v>
      </c>
      <c r="B15" s="189" t="s">
        <v>140</v>
      </c>
      <c r="C15" s="189" t="s">
        <v>44</v>
      </c>
      <c r="D15" s="189" t="s">
        <v>44</v>
      </c>
      <c r="E15" s="189" t="s">
        <v>32</v>
      </c>
      <c r="F15" s="158" t="n">
        <f aca="false">VLOOKUP(B15,'2024'!$A:$O,13,0)</f>
        <v>4549.9</v>
      </c>
      <c r="G15" s="158" t="n">
        <f aca="false">VLOOKUP($B15,'2025'!$A:$O,13,0)</f>
        <v>361.5</v>
      </c>
      <c r="H15" s="158"/>
      <c r="I15" s="190" t="str">
        <f aca="false">IFERROR(H15/$H$19,"")</f>
        <v/>
      </c>
      <c r="J15" s="190" t="n">
        <f aca="false">IFERROR(H15/G15-1,"")</f>
        <v>-1</v>
      </c>
      <c r="K15" s="158" t="n">
        <f aca="false">H15-G15</f>
        <v>-361.5</v>
      </c>
      <c r="M15" s="158" t="n">
        <f aca="false">VLOOKUP(C15,'תקציב  '!$B:$S,15,0)*1</f>
        <v>18253.9682539683</v>
      </c>
      <c r="N15" s="190" t="n">
        <f aca="false">IFERROR(H15/M15-1,"")</f>
        <v>-1</v>
      </c>
      <c r="O15" s="158" t="n">
        <f aca="false">H15-M15</f>
        <v>-18253.9682539683</v>
      </c>
      <c r="Q15" s="166" t="n">
        <v>25000</v>
      </c>
      <c r="R15" s="190" t="n">
        <f aca="false">IFERROR(H15/Q15-1,"-")</f>
        <v>-1</v>
      </c>
      <c r="S15" s="190" t="n">
        <f aca="false">IFERROR(H15/Q15,"-")</f>
        <v>0</v>
      </c>
      <c r="T15" s="158" t="n">
        <f aca="false">H15-Q15</f>
        <v>-25000</v>
      </c>
      <c r="V15" s="158"/>
      <c r="W15" s="5" t="n">
        <f aca="false">H15-V15</f>
        <v>0</v>
      </c>
      <c r="X15" s="191" t="str">
        <f aca="false">IFERROR((G15/V15)-1,"-")</f>
        <v>-</v>
      </c>
    </row>
    <row r="16" customFormat="false" ht="15" hidden="false" customHeight="true" outlineLevel="0" collapsed="false">
      <c r="A16" s="170"/>
      <c r="B16" s="195"/>
      <c r="C16" s="195" t="s">
        <v>119</v>
      </c>
      <c r="D16" s="195" t="s">
        <v>119</v>
      </c>
      <c r="E16" s="195"/>
      <c r="F16" s="171" t="n">
        <f aca="false">SUM(F3:F15)+F50</f>
        <v>1558851.886</v>
      </c>
      <c r="G16" s="171" t="n">
        <f aca="false">SUM(G3:G15)+G50</f>
        <v>1272332.02</v>
      </c>
      <c r="H16" s="171" t="n">
        <f aca="false">SUM(H3:H15)+H50</f>
        <v>0</v>
      </c>
      <c r="I16" s="197" t="str">
        <f aca="false">IFERROR(H16/$H$19,"")</f>
        <v/>
      </c>
      <c r="J16" s="197" t="n">
        <f aca="false">IFERROR(H16/G16-1,"")</f>
        <v>-1</v>
      </c>
      <c r="K16" s="171" t="n">
        <f aca="false">SUM(K3:K15)+K50</f>
        <v>-1272332.02</v>
      </c>
      <c r="M16" s="171" t="n">
        <f aca="false">SUM(M3:M15)+M50</f>
        <v>1777361.11111111</v>
      </c>
      <c r="N16" s="197" t="n">
        <f aca="false">IFERROR(H16/M16-1,"")</f>
        <v>-1</v>
      </c>
      <c r="O16" s="171" t="n">
        <f aca="false">SUM(O3:O15)+O50</f>
        <v>-1777361.11111111</v>
      </c>
      <c r="Q16" s="171" t="n">
        <f aca="false">SUM(Q3:Q15)+Q50</f>
        <v>1645000</v>
      </c>
      <c r="R16" s="197" t="n">
        <f aca="false">IFERROR(H16/Q16-1,"-")</f>
        <v>-1</v>
      </c>
      <c r="S16" s="197" t="n">
        <f aca="false">IFERROR(H16/Q16,"-")</f>
        <v>0</v>
      </c>
      <c r="T16" s="171" t="n">
        <f aca="false">H16-Q16</f>
        <v>-1645000</v>
      </c>
      <c r="U16" s="198"/>
      <c r="V16" s="171"/>
      <c r="W16" s="199" t="n">
        <f aca="false">H16-V16</f>
        <v>0</v>
      </c>
      <c r="X16" s="200" t="str">
        <f aca="false">IFERROR((G16/V16)-1,"-")</f>
        <v>-</v>
      </c>
    </row>
    <row r="17" customFormat="false" ht="14.25" hidden="false" customHeight="true" outlineLevel="0" collapsed="false">
      <c r="A17" s="168" t="n">
        <v>2</v>
      </c>
      <c r="B17" s="189" t="s">
        <v>149</v>
      </c>
      <c r="C17" s="189" t="s">
        <v>45</v>
      </c>
      <c r="D17" s="189" t="s">
        <v>45</v>
      </c>
      <c r="E17" s="189" t="s">
        <v>32</v>
      </c>
      <c r="F17" s="158" t="n">
        <f aca="false">VLOOKUP(B17,'2024'!$A:$O,13,0)</f>
        <v>95223.2699999995</v>
      </c>
      <c r="G17" s="158" t="n">
        <f aca="false">VLOOKUP($B17,'2025'!$A:$O,13,0)</f>
        <v>213224.459999998</v>
      </c>
      <c r="H17" s="158"/>
      <c r="I17" s="190" t="str">
        <f aca="false">IFERROR(H17/$H$19,"")</f>
        <v/>
      </c>
      <c r="J17" s="190" t="n">
        <f aca="false">IFERROR(H17/G17-1,"")</f>
        <v>-1</v>
      </c>
      <c r="K17" s="158" t="n">
        <f aca="false">H17-G17</f>
        <v>-213224.459999998</v>
      </c>
      <c r="M17" s="158" t="n">
        <f aca="false">VLOOKUP(C17,'תקציב  '!$B:$S,15,0)*1</f>
        <v>1488884.74576271</v>
      </c>
      <c r="N17" s="190" t="n">
        <f aca="false">IFERROR(H17/M17-1,"")</f>
        <v>-1</v>
      </c>
      <c r="O17" s="158" t="n">
        <f aca="false">H17-M17</f>
        <v>-1488884.74576271</v>
      </c>
      <c r="Q17" s="166" t="n">
        <v>1300521.18644068</v>
      </c>
      <c r="R17" s="190" t="n">
        <f aca="false">IFERROR(H17/Q17-1,"-")</f>
        <v>-1</v>
      </c>
      <c r="S17" s="190" t="n">
        <f aca="false">IFERROR(H17/Q17,"-")</f>
        <v>0</v>
      </c>
      <c r="T17" s="158" t="n">
        <f aca="false">H17-Q17</f>
        <v>-1300521.18644068</v>
      </c>
      <c r="V17" s="158"/>
      <c r="W17" s="5" t="n">
        <f aca="false">H17-V17</f>
        <v>0</v>
      </c>
      <c r="X17" s="191" t="str">
        <f aca="false">IFERROR((G17/V17)-1,"-")</f>
        <v>-</v>
      </c>
    </row>
    <row r="18" customFormat="false" ht="14.25" hidden="false" customHeight="true" outlineLevel="0" collapsed="false">
      <c r="A18" s="168" t="n">
        <v>12</v>
      </c>
      <c r="B18" s="189" t="s">
        <v>150</v>
      </c>
      <c r="C18" s="189" t="s">
        <v>46</v>
      </c>
      <c r="D18" s="189" t="s">
        <v>46</v>
      </c>
      <c r="E18" s="189" t="s">
        <v>32</v>
      </c>
      <c r="F18" s="158" t="n">
        <f aca="false">VLOOKUP(B18,'2024'!$A:$O,13,0)</f>
        <v>3126.19</v>
      </c>
      <c r="G18" s="158" t="n">
        <f aca="false">VLOOKUP($B18,'2025'!$A:$O,13,0)</f>
        <v>1561.46</v>
      </c>
      <c r="H18" s="158"/>
      <c r="I18" s="190" t="str">
        <f aca="false">IFERROR(H18/$H$19,"")</f>
        <v/>
      </c>
      <c r="J18" s="190" t="n">
        <f aca="false">IFERROR(H18/G18-1,"")</f>
        <v>-1</v>
      </c>
      <c r="K18" s="158" t="n">
        <f aca="false">H18-G18</f>
        <v>-1561.46</v>
      </c>
      <c r="M18" s="158" t="n">
        <f aca="false">VLOOKUP(C18,'תקציב  '!$B:$S,15,0)*1</f>
        <v>2536.92833333333</v>
      </c>
      <c r="N18" s="190" t="n">
        <f aca="false">IFERROR(H18/M18-1,"")</f>
        <v>-1</v>
      </c>
      <c r="O18" s="158" t="n">
        <f aca="false">H18-M18</f>
        <v>-2536.92833333333</v>
      </c>
      <c r="Q18" s="166" t="n">
        <v>5000</v>
      </c>
      <c r="R18" s="190" t="n">
        <f aca="false">IFERROR(H18/Q18-1,"-")</f>
        <v>-1</v>
      </c>
      <c r="S18" s="190" t="n">
        <f aca="false">IFERROR(H18/Q18,"-")</f>
        <v>0</v>
      </c>
      <c r="T18" s="158" t="n">
        <f aca="false">H18-Q18</f>
        <v>-5000</v>
      </c>
      <c r="V18" s="158"/>
      <c r="W18" s="5" t="n">
        <f aca="false">H18-V18</f>
        <v>0</v>
      </c>
      <c r="X18" s="191" t="str">
        <f aca="false">IFERROR((G18/V18)-1,"-")</f>
        <v>-</v>
      </c>
    </row>
    <row r="19" customFormat="false" ht="15" hidden="false" customHeight="true" outlineLevel="0" collapsed="false">
      <c r="A19" s="169"/>
      <c r="B19" s="202"/>
      <c r="C19" s="202" t="s">
        <v>48</v>
      </c>
      <c r="D19" s="202" t="s">
        <v>48</v>
      </c>
      <c r="E19" s="202"/>
      <c r="F19" s="171" t="n">
        <f aca="false">F16+F17+F18</f>
        <v>1657201.346</v>
      </c>
      <c r="G19" s="171" t="n">
        <f aca="false">G16+G17+G18</f>
        <v>1487117.94</v>
      </c>
      <c r="H19" s="171" t="n">
        <f aca="false">H16+H17+H18</f>
        <v>0</v>
      </c>
      <c r="I19" s="197" t="str">
        <f aca="false">IFERROR(H19/$H$19,"")</f>
        <v/>
      </c>
      <c r="J19" s="197" t="n">
        <f aca="false">IFERROR(H19/G19-1,"")</f>
        <v>-1</v>
      </c>
      <c r="K19" s="171" t="n">
        <f aca="false">K16+K17+K18</f>
        <v>-1487117.94</v>
      </c>
      <c r="M19" s="171" t="n">
        <f aca="false">M16+M17+M18</f>
        <v>3268782.78520715</v>
      </c>
      <c r="N19" s="197" t="n">
        <f aca="false">IFERROR(H19/M19-1,"")</f>
        <v>-1</v>
      </c>
      <c r="O19" s="171" t="n">
        <f aca="false">O16+O17+O18</f>
        <v>-3268782.78520715</v>
      </c>
      <c r="Q19" s="171" t="n">
        <f aca="false">Q16+Q17+Q18</f>
        <v>2950521.18644068</v>
      </c>
      <c r="R19" s="197" t="n">
        <f aca="false">IFERROR(H19/Q19-1,"-")</f>
        <v>-1</v>
      </c>
      <c r="S19" s="197" t="n">
        <f aca="false">IFERROR(H19/Q19,"-")</f>
        <v>0</v>
      </c>
      <c r="T19" s="171" t="n">
        <f aca="false">H19-Q19</f>
        <v>-2950521.18644068</v>
      </c>
      <c r="U19" s="198"/>
      <c r="V19" s="171"/>
      <c r="W19" s="199" t="n">
        <f aca="false">H19-V19</f>
        <v>0</v>
      </c>
      <c r="X19" s="200" t="str">
        <f aca="false">IFERROR((G19/V19)-1,"-")</f>
        <v>-</v>
      </c>
    </row>
    <row r="20" customFormat="false" ht="14.25" hidden="false" customHeight="true" outlineLevel="0" collapsed="false">
      <c r="A20" s="169" t="n">
        <v>50</v>
      </c>
      <c r="B20" s="193" t="s">
        <v>155</v>
      </c>
      <c r="C20" s="193" t="s">
        <v>49</v>
      </c>
      <c r="D20" s="193" t="s">
        <v>50</v>
      </c>
      <c r="E20" s="193" t="s">
        <v>51</v>
      </c>
      <c r="F20" s="158" t="n">
        <f aca="false">VLOOKUP(B20,'2024'!$A:$O,13,0)</f>
        <v>190607.48</v>
      </c>
      <c r="G20" s="158" t="n">
        <f aca="false">VLOOKUP($B20,'2025'!$A:$O,13,0)</f>
        <v>182118.44</v>
      </c>
      <c r="H20" s="158"/>
      <c r="I20" s="190" t="str">
        <f aca="false">IFERROR(H20/$H$19,"")</f>
        <v/>
      </c>
      <c r="J20" s="190" t="n">
        <f aca="false">IFERROR(H20/G20-1,"")</f>
        <v>-1</v>
      </c>
      <c r="K20" s="158" t="n">
        <f aca="false">H20-G20</f>
        <v>-182118.44</v>
      </c>
      <c r="M20" s="158" t="n">
        <f aca="false">VLOOKUP(C20,'תקציב  '!$B:$S,15,0)*1</f>
        <v>402156.5266125</v>
      </c>
      <c r="N20" s="190" t="n">
        <f aca="false">IFERROR(H20/M20-1,"")</f>
        <v>-1</v>
      </c>
      <c r="O20" s="158" t="n">
        <f aca="false">H20-M20</f>
        <v>-402156.5266125</v>
      </c>
      <c r="Q20" s="166" t="n">
        <v>297561</v>
      </c>
      <c r="R20" s="190" t="n">
        <f aca="false">IFERROR(H20/Q20-1,"-")</f>
        <v>-1</v>
      </c>
      <c r="S20" s="190" t="n">
        <f aca="false">IFERROR(H20/Q20,"-")</f>
        <v>0</v>
      </c>
      <c r="T20" s="158" t="n">
        <f aca="false">H20-Q20</f>
        <v>-297561</v>
      </c>
      <c r="V20" s="158"/>
      <c r="W20" s="5" t="n">
        <f aca="false">H20-V20</f>
        <v>0</v>
      </c>
      <c r="X20" s="191" t="str">
        <f aca="false">IFERROR((G20/V20)-1,"-")</f>
        <v>-</v>
      </c>
    </row>
    <row r="21" customFormat="false" ht="14.25" hidden="false" customHeight="true" outlineLevel="0" collapsed="false">
      <c r="A21" s="169" t="n">
        <v>20</v>
      </c>
      <c r="B21" s="193" t="s">
        <v>151</v>
      </c>
      <c r="C21" s="193" t="s">
        <v>52</v>
      </c>
      <c r="D21" s="193" t="s">
        <v>53</v>
      </c>
      <c r="E21" s="193" t="s">
        <v>54</v>
      </c>
      <c r="F21" s="158" t="n">
        <f aca="false">VLOOKUP(B21,'2024'!$A:$O,13,0)</f>
        <v>137974.18</v>
      </c>
      <c r="G21" s="158" t="n">
        <f aca="false">VLOOKUP($B21,'2025'!$A:$O,13,0)</f>
        <v>144741.73</v>
      </c>
      <c r="H21" s="158"/>
      <c r="I21" s="190" t="str">
        <f aca="false">IFERROR(H21/$H$19,"")</f>
        <v/>
      </c>
      <c r="J21" s="190" t="n">
        <f aca="false">IFERROR(H21/G21-1,"")</f>
        <v>-1</v>
      </c>
      <c r="K21" s="158" t="n">
        <f aca="false">H21-G21</f>
        <v>-144741.73</v>
      </c>
      <c r="M21" s="158" t="n">
        <f aca="false">VLOOKUP(C21,'תקציב  '!$B:$S,15,0)*1</f>
        <v>147000</v>
      </c>
      <c r="N21" s="190" t="n">
        <f aca="false">IFERROR(H21/M21-1,"")</f>
        <v>-1</v>
      </c>
      <c r="O21" s="158" t="n">
        <f aca="false">H21-M21</f>
        <v>-147000</v>
      </c>
      <c r="Q21" s="166" t="n">
        <v>150000</v>
      </c>
      <c r="R21" s="190" t="n">
        <f aca="false">IFERROR(H21/Q21-1,"-")</f>
        <v>-1</v>
      </c>
      <c r="S21" s="190" t="n">
        <f aca="false">IFERROR(H21/Q21,"-")</f>
        <v>0</v>
      </c>
      <c r="T21" s="158" t="n">
        <f aca="false">H21-Q21</f>
        <v>-150000</v>
      </c>
      <c r="V21" s="158"/>
      <c r="W21" s="5" t="n">
        <f aca="false">H21-V21</f>
        <v>0</v>
      </c>
      <c r="X21" s="191" t="str">
        <f aca="false">IFERROR((G21/V21)-1,"-")</f>
        <v>-</v>
      </c>
    </row>
    <row r="22" customFormat="false" ht="14.25" hidden="false" customHeight="true" outlineLevel="0" collapsed="false">
      <c r="A22" s="169" t="n">
        <v>21</v>
      </c>
      <c r="B22" s="193" t="s">
        <v>157</v>
      </c>
      <c r="C22" s="193" t="s">
        <v>55</v>
      </c>
      <c r="D22" s="193" t="s">
        <v>56</v>
      </c>
      <c r="E22" s="193" t="s">
        <v>57</v>
      </c>
      <c r="F22" s="158" t="n">
        <f aca="false">VLOOKUP(B22,'2024'!$A:$O,13,0)</f>
        <v>1400.99</v>
      </c>
      <c r="G22" s="158" t="n">
        <f aca="false">VLOOKUP($B22,'2025'!$A:$O,13,0)</f>
        <v>121.12</v>
      </c>
      <c r="H22" s="158"/>
      <c r="I22" s="190" t="str">
        <f aca="false">IFERROR(H22/$H$19,"")</f>
        <v/>
      </c>
      <c r="J22" s="190" t="n">
        <f aca="false">IFERROR(H22/G22-1,"")</f>
        <v>-1</v>
      </c>
      <c r="K22" s="158" t="n">
        <f aca="false">H22-G22</f>
        <v>-121.12</v>
      </c>
      <c r="M22" s="158" t="n">
        <f aca="false">VLOOKUP(C22,'תקציב  '!$B:$S,15,0)*1</f>
        <v>0</v>
      </c>
      <c r="N22" s="190" t="str">
        <f aca="false">IFERROR(H22/M22-1,"")</f>
        <v/>
      </c>
      <c r="O22" s="158" t="n">
        <f aca="false">H22-M22</f>
        <v>0</v>
      </c>
      <c r="Q22" s="166" t="n">
        <v>0</v>
      </c>
      <c r="R22" s="190" t="str">
        <f aca="false">IFERROR(H22/Q22-1,"-")</f>
        <v>-</v>
      </c>
      <c r="S22" s="190" t="str">
        <f aca="false">IFERROR(H22/Q22,"-")</f>
        <v>-</v>
      </c>
      <c r="T22" s="158" t="n">
        <f aca="false">H22-Q22</f>
        <v>0</v>
      </c>
      <c r="V22" s="158"/>
      <c r="W22" s="5" t="n">
        <f aca="false">H22-V22</f>
        <v>0</v>
      </c>
      <c r="X22" s="191" t="str">
        <f aca="false">IFERROR((G22/V22)-1,"-")</f>
        <v>-</v>
      </c>
    </row>
    <row r="23" customFormat="false" ht="14.25" hidden="false" customHeight="true" outlineLevel="0" collapsed="false">
      <c r="A23" s="169" t="n">
        <v>22</v>
      </c>
      <c r="B23" s="193" t="s">
        <v>159</v>
      </c>
      <c r="C23" s="193" t="s">
        <v>58</v>
      </c>
      <c r="D23" s="193" t="s">
        <v>59</v>
      </c>
      <c r="E23" s="193" t="s">
        <v>60</v>
      </c>
      <c r="F23" s="158" t="n">
        <f aca="false">VLOOKUP(B23,'2024'!$A:$O,13,0)</f>
        <v>80366.28</v>
      </c>
      <c r="G23" s="158" t="n">
        <f aca="false">VLOOKUP($B23,'2025'!$A:$O,13,0)</f>
        <v>0</v>
      </c>
      <c r="H23" s="158"/>
      <c r="I23" s="190" t="str">
        <f aca="false">IFERROR(H23/$H$19,"")</f>
        <v/>
      </c>
      <c r="J23" s="190" t="str">
        <f aca="false">IFERROR(H23/G23-1,"")</f>
        <v/>
      </c>
      <c r="K23" s="158" t="n">
        <f aca="false">H23-G23</f>
        <v>0</v>
      </c>
      <c r="M23" s="158" t="n">
        <f aca="false">VLOOKUP(C23,'תקציב  '!$B:$S,15,0)*1</f>
        <v>0</v>
      </c>
      <c r="N23" s="190" t="str">
        <f aca="false">IFERROR(H23/M23-1,"")</f>
        <v/>
      </c>
      <c r="O23" s="158" t="n">
        <f aca="false">H23-M23</f>
        <v>0</v>
      </c>
      <c r="Q23" s="166" t="n">
        <v>0</v>
      </c>
      <c r="R23" s="190" t="str">
        <f aca="false">IFERROR(H23/Q23-1,"-")</f>
        <v>-</v>
      </c>
      <c r="S23" s="190" t="str">
        <f aca="false">IFERROR(H23/Q23,"-")</f>
        <v>-</v>
      </c>
      <c r="T23" s="158" t="n">
        <f aca="false">H23-Q23</f>
        <v>0</v>
      </c>
      <c r="V23" s="158"/>
      <c r="W23" s="5" t="n">
        <f aca="false">H23-V23</f>
        <v>0</v>
      </c>
      <c r="X23" s="191" t="str">
        <f aca="false">IFERROR((G23/V23)-1,"-")</f>
        <v>-</v>
      </c>
    </row>
    <row r="24" customFormat="false" ht="14.25" hidden="false" customHeight="true" outlineLevel="0" collapsed="false">
      <c r="A24" s="169" t="n">
        <v>23</v>
      </c>
      <c r="B24" s="193" t="s">
        <v>154</v>
      </c>
      <c r="C24" s="193" t="s">
        <v>61</v>
      </c>
      <c r="D24" s="193" t="s">
        <v>62</v>
      </c>
      <c r="E24" s="193" t="s">
        <v>63</v>
      </c>
      <c r="F24" s="158" t="n">
        <f aca="false">VLOOKUP(B24,'2024'!$A:$O,13,0)</f>
        <v>0</v>
      </c>
      <c r="G24" s="158" t="n">
        <f aca="false">VLOOKUP($B24,'2025'!$A:$O,13,0)</f>
        <v>0</v>
      </c>
      <c r="H24" s="158"/>
      <c r="I24" s="190" t="str">
        <f aca="false">IFERROR(H24/$H$19,"")</f>
        <v/>
      </c>
      <c r="J24" s="190" t="str">
        <f aca="false">IFERROR(H24/G24-1,"")</f>
        <v/>
      </c>
      <c r="K24" s="158" t="n">
        <f aca="false">H24-G24</f>
        <v>0</v>
      </c>
      <c r="M24" s="158" t="n">
        <f aca="false">VLOOKUP(C24,'תקציב  '!$B:$S,15,0)*1</f>
        <v>0</v>
      </c>
      <c r="N24" s="190" t="str">
        <f aca="false">IFERROR(H24/M24-1,"")</f>
        <v/>
      </c>
      <c r="O24" s="158" t="n">
        <f aca="false">H24-M24</f>
        <v>0</v>
      </c>
      <c r="Q24" s="166" t="n">
        <v>0</v>
      </c>
      <c r="R24" s="190" t="str">
        <f aca="false">IFERROR(H24/Q24-1,"-")</f>
        <v>-</v>
      </c>
      <c r="S24" s="190" t="str">
        <f aca="false">IFERROR(H24/Q24,"-")</f>
        <v>-</v>
      </c>
      <c r="T24" s="158" t="n">
        <f aca="false">H24-Q24</f>
        <v>0</v>
      </c>
      <c r="V24" s="158"/>
      <c r="W24" s="5" t="n">
        <f aca="false">H24-V24</f>
        <v>0</v>
      </c>
      <c r="X24" s="191" t="str">
        <f aca="false">IFERROR((G24/V24)-1,"-")</f>
        <v>-</v>
      </c>
    </row>
    <row r="25" customFormat="false" ht="14.25" hidden="false" customHeight="true" outlineLevel="0" collapsed="false">
      <c r="A25" s="169" t="n">
        <v>24</v>
      </c>
      <c r="B25" s="193" t="s">
        <v>156</v>
      </c>
      <c r="C25" s="193" t="s">
        <v>64</v>
      </c>
      <c r="D25" s="193" t="s">
        <v>65</v>
      </c>
      <c r="E25" s="193" t="s">
        <v>66</v>
      </c>
      <c r="F25" s="158" t="n">
        <f aca="false">VLOOKUP(B25,'2024'!$A:$O,13,0)</f>
        <v>0</v>
      </c>
      <c r="G25" s="158" t="n">
        <f aca="false">VLOOKUP($B25,'2025'!$A:$O,13,0)</f>
        <v>0</v>
      </c>
      <c r="H25" s="158"/>
      <c r="I25" s="190" t="str">
        <f aca="false">IFERROR(H25/$H$19,"")</f>
        <v/>
      </c>
      <c r="J25" s="190" t="str">
        <f aca="false">IFERROR(H25/G25-1,"")</f>
        <v/>
      </c>
      <c r="K25" s="158" t="n">
        <f aca="false">H25-G25</f>
        <v>0</v>
      </c>
      <c r="M25" s="158" t="n">
        <f aca="false">VLOOKUP(C25,'תקציב  '!$B:$S,15,0)*1</f>
        <v>5000</v>
      </c>
      <c r="N25" s="190" t="n">
        <f aca="false">IFERROR(H25/M25-1,"")</f>
        <v>-1</v>
      </c>
      <c r="O25" s="158" t="n">
        <f aca="false">H25-M25</f>
        <v>-5000</v>
      </c>
      <c r="Q25" s="166" t="n">
        <v>0</v>
      </c>
      <c r="R25" s="190" t="str">
        <f aca="false">IFERROR(H25/Q25-1,"-")</f>
        <v>-</v>
      </c>
      <c r="S25" s="190" t="str">
        <f aca="false">IFERROR(H25/Q25,"-")</f>
        <v>-</v>
      </c>
      <c r="T25" s="158" t="n">
        <f aca="false">H25-Q25</f>
        <v>0</v>
      </c>
      <c r="V25" s="158"/>
      <c r="W25" s="5" t="n">
        <f aca="false">H25-V25</f>
        <v>0</v>
      </c>
      <c r="X25" s="191" t="str">
        <f aca="false">IFERROR((G25/V25)-1,"-")</f>
        <v>-</v>
      </c>
    </row>
    <row r="26" customFormat="false" ht="13.5" hidden="false" customHeight="true" outlineLevel="0" collapsed="false">
      <c r="A26" s="169" t="n">
        <v>25</v>
      </c>
      <c r="B26" s="193" t="s">
        <v>162</v>
      </c>
      <c r="C26" s="193" t="s">
        <v>67</v>
      </c>
      <c r="D26" s="193" t="s">
        <v>68</v>
      </c>
      <c r="E26" s="193" t="s">
        <v>69</v>
      </c>
      <c r="F26" s="158" t="n">
        <f aca="false">VLOOKUP(B26,'2024'!$A:$O,13,0)</f>
        <v>222074.04</v>
      </c>
      <c r="G26" s="158" t="n">
        <f aca="false">VLOOKUP($B26,'2025'!$A:$O,13,0)</f>
        <v>146752.62</v>
      </c>
      <c r="H26" s="158"/>
      <c r="I26" s="190" t="str">
        <f aca="false">IFERROR(H26/$H$19,"")</f>
        <v/>
      </c>
      <c r="J26" s="190" t="n">
        <f aca="false">IFERROR(H26/G26-1,"")</f>
        <v>-1</v>
      </c>
      <c r="K26" s="158" t="n">
        <f aca="false">H26-G26</f>
        <v>-146752.62</v>
      </c>
      <c r="M26" s="158" t="n">
        <f aca="false">VLOOKUP(C26,'תקציב  '!$B:$S,15,0)*1</f>
        <v>0</v>
      </c>
      <c r="N26" s="190" t="str">
        <f aca="false">IFERROR(H26/M26-1,"")</f>
        <v/>
      </c>
      <c r="O26" s="158" t="n">
        <f aca="false">H26-M26</f>
        <v>0</v>
      </c>
      <c r="Q26" s="166" t="n">
        <v>0</v>
      </c>
      <c r="R26" s="190" t="str">
        <f aca="false">IFERROR(H26/Q26-1,"-")</f>
        <v>-</v>
      </c>
      <c r="S26" s="190" t="str">
        <f aca="false">IFERROR(H26/Q26,"-")</f>
        <v>-</v>
      </c>
      <c r="T26" s="158" t="n">
        <f aca="false">H26-Q26</f>
        <v>0</v>
      </c>
      <c r="V26" s="158"/>
      <c r="W26" s="5" t="n">
        <f aca="false">H26-V26</f>
        <v>0</v>
      </c>
      <c r="X26" s="191" t="str">
        <f aca="false">IFERROR((G26/V26)-1,"-")</f>
        <v>-</v>
      </c>
    </row>
    <row r="27" customFormat="false" ht="14.25" hidden="false" customHeight="true" outlineLevel="0" collapsed="false">
      <c r="A27" s="169" t="n">
        <v>26</v>
      </c>
      <c r="B27" s="193" t="s">
        <v>153</v>
      </c>
      <c r="C27" s="193" t="s">
        <v>70</v>
      </c>
      <c r="D27" s="193" t="s">
        <v>71</v>
      </c>
      <c r="E27" s="193" t="s">
        <v>72</v>
      </c>
      <c r="F27" s="158" t="n">
        <f aca="false">VLOOKUP(B27,'2024'!$A:$O,13,0)</f>
        <v>0</v>
      </c>
      <c r="G27" s="158" t="n">
        <f aca="false">VLOOKUP($B27,'2025'!$A:$O,13,0)</f>
        <v>0</v>
      </c>
      <c r="H27" s="158"/>
      <c r="I27" s="190" t="str">
        <f aca="false">IFERROR(H27/$H$19,"")</f>
        <v/>
      </c>
      <c r="J27" s="190" t="str">
        <f aca="false">IFERROR(H27/G27-1,"")</f>
        <v/>
      </c>
      <c r="K27" s="158" t="n">
        <f aca="false">H27-G27</f>
        <v>0</v>
      </c>
      <c r="M27" s="158" t="n">
        <f aca="false">VLOOKUP(C27,'תקציב  '!$B:$S,15,0)*1</f>
        <v>0</v>
      </c>
      <c r="N27" s="190" t="str">
        <f aca="false">IFERROR(H27/M27-1,"")</f>
        <v/>
      </c>
      <c r="O27" s="158" t="n">
        <f aca="false">H27-M27</f>
        <v>0</v>
      </c>
      <c r="Q27" s="166" t="n">
        <v>0</v>
      </c>
      <c r="R27" s="190" t="str">
        <f aca="false">IFERROR(H27/Q27-1,"-")</f>
        <v>-</v>
      </c>
      <c r="S27" s="190" t="str">
        <f aca="false">IFERROR(H27/Q27,"-")</f>
        <v>-</v>
      </c>
      <c r="T27" s="158" t="n">
        <f aca="false">H27-Q27</f>
        <v>0</v>
      </c>
      <c r="V27" s="158"/>
      <c r="W27" s="5" t="n">
        <f aca="false">H27-V27</f>
        <v>0</v>
      </c>
      <c r="X27" s="191" t="str">
        <f aca="false">IFERROR((G27/V27)-1,"-")</f>
        <v>-</v>
      </c>
    </row>
    <row r="28" customFormat="false" ht="13.5" hidden="false" customHeight="true" outlineLevel="0" collapsed="false">
      <c r="A28" s="169" t="n">
        <v>27</v>
      </c>
      <c r="B28" s="193" t="s">
        <v>163</v>
      </c>
      <c r="C28" s="193" t="s">
        <v>73</v>
      </c>
      <c r="D28" s="193" t="s">
        <v>74</v>
      </c>
      <c r="E28" s="193" t="s">
        <v>75</v>
      </c>
      <c r="F28" s="158" t="n">
        <f aca="false">VLOOKUP(B28,'2024'!$A:$O,13,0)</f>
        <v>83394.96</v>
      </c>
      <c r="G28" s="158" t="n">
        <f aca="false">VLOOKUP($B28,'2025'!$A:$O,13,0)</f>
        <v>0</v>
      </c>
      <c r="H28" s="158"/>
      <c r="I28" s="190" t="str">
        <f aca="false">IFERROR(H28/$H$19,"")</f>
        <v/>
      </c>
      <c r="J28" s="190" t="str">
        <f aca="false">IFERROR(H28/G28-1,"")</f>
        <v/>
      </c>
      <c r="K28" s="158" t="n">
        <f aca="false">H28-G28</f>
        <v>0</v>
      </c>
      <c r="M28" s="158" t="n">
        <f aca="false">VLOOKUP(C28,'תקציב  '!$B:$S,15,0)*1</f>
        <v>0</v>
      </c>
      <c r="N28" s="190" t="str">
        <f aca="false">IFERROR(H28/M28-1,"")</f>
        <v/>
      </c>
      <c r="O28" s="158" t="n">
        <f aca="false">H28-M28</f>
        <v>0</v>
      </c>
      <c r="Q28" s="166" t="n">
        <v>0</v>
      </c>
      <c r="R28" s="190" t="str">
        <f aca="false">IFERROR(H28/Q28-1,"-")</f>
        <v>-</v>
      </c>
      <c r="S28" s="190" t="str">
        <f aca="false">IFERROR(H28/Q28,"-")</f>
        <v>-</v>
      </c>
      <c r="T28" s="158" t="n">
        <f aca="false">H28-Q28</f>
        <v>0</v>
      </c>
      <c r="V28" s="158"/>
      <c r="W28" s="5" t="n">
        <f aca="false">H28-V28</f>
        <v>0</v>
      </c>
      <c r="X28" s="191" t="str">
        <f aca="false">IFERROR((G28/V28)-1,"-")</f>
        <v>-</v>
      </c>
    </row>
    <row r="29" customFormat="false" ht="13.5" hidden="false" customHeight="true" outlineLevel="0" collapsed="false">
      <c r="A29" s="169" t="n">
        <v>28</v>
      </c>
      <c r="B29" s="193" t="s">
        <v>164</v>
      </c>
      <c r="C29" s="193" t="s">
        <v>76</v>
      </c>
      <c r="D29" s="193" t="s">
        <v>77</v>
      </c>
      <c r="E29" s="193" t="s">
        <v>78</v>
      </c>
      <c r="F29" s="158" t="n">
        <f aca="false">VLOOKUP(B29,'2024'!$A:$O,13,0)</f>
        <v>0</v>
      </c>
      <c r="G29" s="158" t="n">
        <f aca="false">VLOOKUP($B29,'2025'!$A:$O,13,0)</f>
        <v>41441.91</v>
      </c>
      <c r="H29" s="158"/>
      <c r="I29" s="190" t="str">
        <f aca="false">IFERROR(H29/$H$19,"")</f>
        <v/>
      </c>
      <c r="J29" s="190" t="n">
        <f aca="false">IFERROR(H29/G29-1,"")</f>
        <v>-1</v>
      </c>
      <c r="K29" s="158" t="n">
        <f aca="false">H29-G29</f>
        <v>-41441.91</v>
      </c>
      <c r="M29" s="158" t="n">
        <f aca="false">VLOOKUP(C29,'תקציב  '!$B:$S,15,0)*1</f>
        <v>39765.076</v>
      </c>
      <c r="N29" s="190" t="n">
        <f aca="false">IFERROR(H29/M29-1,"")</f>
        <v>-1</v>
      </c>
      <c r="O29" s="158" t="n">
        <f aca="false">H29-M29</f>
        <v>-39765.076</v>
      </c>
      <c r="Q29" s="166" t="n">
        <v>15000</v>
      </c>
      <c r="R29" s="190" t="n">
        <f aca="false">IFERROR(H29/Q29-1,"-")</f>
        <v>-1</v>
      </c>
      <c r="S29" s="190" t="n">
        <f aca="false">IFERROR(H29/Q29,"-")</f>
        <v>0</v>
      </c>
      <c r="T29" s="158" t="n">
        <f aca="false">H29-Q29</f>
        <v>-15000</v>
      </c>
      <c r="V29" s="158"/>
      <c r="W29" s="5" t="n">
        <f aca="false">H29-V29</f>
        <v>0</v>
      </c>
      <c r="X29" s="191" t="str">
        <f aca="false">IFERROR((G29/V29)-1,"-")</f>
        <v>-</v>
      </c>
    </row>
    <row r="30" customFormat="false" ht="14.25" hidden="false" customHeight="true" outlineLevel="0" collapsed="false">
      <c r="A30" s="169" t="n">
        <v>29</v>
      </c>
      <c r="B30" s="193" t="s">
        <v>158</v>
      </c>
      <c r="C30" s="193" t="s">
        <v>79</v>
      </c>
      <c r="D30" s="193" t="s">
        <v>80</v>
      </c>
      <c r="E30" s="193" t="s">
        <v>81</v>
      </c>
      <c r="F30" s="158" t="n">
        <f aca="false">VLOOKUP(B30,'2024'!$A:$O,13,0)</f>
        <v>0</v>
      </c>
      <c r="G30" s="158" t="n">
        <f aca="false">VLOOKUP($B30,'2025'!$A:$O,13,0)</f>
        <v>0</v>
      </c>
      <c r="H30" s="158"/>
      <c r="I30" s="190" t="str">
        <f aca="false">IFERROR(H30/$H$19,"")</f>
        <v/>
      </c>
      <c r="J30" s="190" t="str">
        <f aca="false">IFERROR(H30/G30-1,"")</f>
        <v/>
      </c>
      <c r="K30" s="158" t="n">
        <f aca="false">H30-G30</f>
        <v>0</v>
      </c>
      <c r="M30" s="158" t="n">
        <f aca="false">VLOOKUP(C30,'תקציב  '!$B:$S,15,0)*1</f>
        <v>0</v>
      </c>
      <c r="N30" s="190" t="str">
        <f aca="false">IFERROR(H30/M30-1,"")</f>
        <v/>
      </c>
      <c r="O30" s="158" t="n">
        <f aca="false">H30-M30</f>
        <v>0</v>
      </c>
      <c r="Q30" s="166" t="n">
        <v>0</v>
      </c>
      <c r="R30" s="190" t="str">
        <f aca="false">IFERROR(H30/Q30-1,"-")</f>
        <v>-</v>
      </c>
      <c r="S30" s="190" t="str">
        <f aca="false">IFERROR(H30/Q30,"-")</f>
        <v>-</v>
      </c>
      <c r="T30" s="158" t="n">
        <f aca="false">H30-Q30</f>
        <v>0</v>
      </c>
      <c r="V30" s="158"/>
      <c r="W30" s="5" t="n">
        <f aca="false">H30-V30</f>
        <v>0</v>
      </c>
      <c r="X30" s="191" t="str">
        <f aca="false">IFERROR((G30/V30)-1,"-")</f>
        <v>-</v>
      </c>
    </row>
    <row r="31" customFormat="false" ht="14.25" hidden="false" customHeight="true" outlineLevel="0" collapsed="false">
      <c r="A31" s="169" t="n">
        <v>30</v>
      </c>
      <c r="B31" s="193" t="s">
        <v>152</v>
      </c>
      <c r="C31" s="193" t="s">
        <v>82</v>
      </c>
      <c r="D31" s="193" t="s">
        <v>83</v>
      </c>
      <c r="E31" s="193" t="s">
        <v>81</v>
      </c>
      <c r="F31" s="158" t="n">
        <f aca="false">VLOOKUP(B31,'2024'!$A:$O,13,0)</f>
        <v>0</v>
      </c>
      <c r="G31" s="158" t="n">
        <f aca="false">VLOOKUP($B31,'2025'!$A:$O,13,0)</f>
        <v>0</v>
      </c>
      <c r="H31" s="158"/>
      <c r="I31" s="190" t="str">
        <f aca="false">IFERROR(H31/$H$19,"")</f>
        <v/>
      </c>
      <c r="J31" s="190" t="str">
        <f aca="false">IFERROR(H31/G31-1,"")</f>
        <v/>
      </c>
      <c r="K31" s="158" t="n">
        <f aca="false">H31-G31</f>
        <v>0</v>
      </c>
      <c r="M31" s="158" t="n">
        <f aca="false">VLOOKUP(C31,'תקציב  '!$B:$S,15,0)*1</f>
        <v>0</v>
      </c>
      <c r="N31" s="190" t="str">
        <f aca="false">IFERROR(H31/M31-1,"")</f>
        <v/>
      </c>
      <c r="O31" s="158" t="n">
        <f aca="false">H31-M31</f>
        <v>0</v>
      </c>
      <c r="Q31" s="166" t="n">
        <v>0</v>
      </c>
      <c r="R31" s="190" t="str">
        <f aca="false">IFERROR(H31/Q31-1,"-")</f>
        <v>-</v>
      </c>
      <c r="S31" s="190" t="str">
        <f aca="false">IFERROR(H31/Q31,"-")</f>
        <v>-</v>
      </c>
      <c r="T31" s="158" t="n">
        <f aca="false">H31-Q31</f>
        <v>0</v>
      </c>
      <c r="V31" s="158"/>
      <c r="W31" s="5" t="n">
        <f aca="false">H31-V31</f>
        <v>0</v>
      </c>
      <c r="X31" s="191" t="str">
        <f aca="false">IFERROR((G31/V31)-1,"-")</f>
        <v>-</v>
      </c>
    </row>
    <row r="32" customFormat="false" ht="13.5" hidden="false" customHeight="true" outlineLevel="0" collapsed="false">
      <c r="A32" s="169" t="n">
        <v>31</v>
      </c>
      <c r="B32" s="193" t="s">
        <v>84</v>
      </c>
      <c r="C32" s="193" t="s">
        <v>84</v>
      </c>
      <c r="D32" s="193" t="s">
        <v>85</v>
      </c>
      <c r="E32" s="193" t="s">
        <v>86</v>
      </c>
      <c r="F32" s="158" t="n">
        <f aca="false">VLOOKUP(B32,'2024'!$A:$O,13,0)</f>
        <v>0</v>
      </c>
      <c r="G32" s="158" t="n">
        <f aca="false">VLOOKUP($B32,'2025'!$A:$O,13,0)</f>
        <v>0</v>
      </c>
      <c r="H32" s="158"/>
      <c r="I32" s="190" t="str">
        <f aca="false">IFERROR(H32/$H$19,"")</f>
        <v/>
      </c>
      <c r="J32" s="190" t="str">
        <f aca="false">IFERROR(H32/G32-1,"")</f>
        <v/>
      </c>
      <c r="K32" s="158" t="n">
        <f aca="false">H32-G32</f>
        <v>0</v>
      </c>
      <c r="M32" s="158" t="n">
        <f aca="false">VLOOKUP(C32,'תקציב  '!$B:$S,15,0)*1</f>
        <v>0</v>
      </c>
      <c r="N32" s="190" t="str">
        <f aca="false">IFERROR(H32/M32-1,"")</f>
        <v/>
      </c>
      <c r="O32" s="158" t="n">
        <f aca="false">H32-M32</f>
        <v>0</v>
      </c>
      <c r="Q32" s="166" t="n">
        <v>0</v>
      </c>
      <c r="R32" s="190" t="str">
        <f aca="false">IFERROR(H32/Q32-1,"-")</f>
        <v>-</v>
      </c>
      <c r="S32" s="190" t="str">
        <f aca="false">IFERROR(H32/Q32,"-")</f>
        <v>-</v>
      </c>
      <c r="T32" s="158" t="n">
        <f aca="false">H32-Q32</f>
        <v>0</v>
      </c>
      <c r="V32" s="158"/>
      <c r="W32" s="5" t="n">
        <f aca="false">H32-V32</f>
        <v>0</v>
      </c>
      <c r="X32" s="191" t="str">
        <f aca="false">IFERROR((G32/V32)-1,"-")</f>
        <v>-</v>
      </c>
    </row>
    <row r="33" customFormat="false" ht="13.5" hidden="false" customHeight="true" outlineLevel="0" collapsed="false">
      <c r="A33" s="169"/>
      <c r="B33" s="193"/>
      <c r="C33" s="193"/>
      <c r="D33" s="193" t="s">
        <v>171</v>
      </c>
      <c r="E33" s="193" t="s">
        <v>172</v>
      </c>
      <c r="F33" s="158"/>
      <c r="G33" s="158"/>
      <c r="H33" s="158"/>
      <c r="I33" s="190" t="str">
        <f aca="false">IFERROR(H33/$H$19,"")</f>
        <v/>
      </c>
      <c r="J33" s="190" t="str">
        <f aca="false">IFERROR(H33/G33-1,"")</f>
        <v/>
      </c>
      <c r="K33" s="158" t="n">
        <f aca="false">H33-G33</f>
        <v>0</v>
      </c>
      <c r="M33" s="158"/>
      <c r="N33" s="190" t="str">
        <f aca="false">IFERROR(H33/M33-1,"")</f>
        <v/>
      </c>
      <c r="O33" s="158" t="n">
        <f aca="false">H33-M33</f>
        <v>0</v>
      </c>
      <c r="Q33" s="166" t="n">
        <v>0</v>
      </c>
      <c r="R33" s="190" t="str">
        <f aca="false">IFERROR(H33/Q33-1,"-")</f>
        <v>-</v>
      </c>
      <c r="S33" s="190" t="str">
        <f aca="false">IFERROR(H33/Q33,"-")</f>
        <v>-</v>
      </c>
      <c r="T33" s="158" t="n">
        <f aca="false">H33-Q33</f>
        <v>0</v>
      </c>
      <c r="V33" s="158"/>
      <c r="W33" s="5" t="n">
        <f aca="false">H33-V33</f>
        <v>0</v>
      </c>
      <c r="X33" s="191" t="str">
        <f aca="false">IFERROR((G33/V33)-1,"-")</f>
        <v>-</v>
      </c>
    </row>
    <row r="34" customFormat="false" ht="13.5" hidden="false" customHeight="true" outlineLevel="0" collapsed="false">
      <c r="A34" s="169" t="n">
        <v>32</v>
      </c>
      <c r="B34" s="193" t="s">
        <v>161</v>
      </c>
      <c r="C34" s="193" t="s">
        <v>87</v>
      </c>
      <c r="D34" s="193" t="s">
        <v>88</v>
      </c>
      <c r="E34" s="193" t="s">
        <v>89</v>
      </c>
      <c r="F34" s="158" t="n">
        <f aca="false">VLOOKUP(B34,'2024'!$A:$O,13,0)</f>
        <v>0</v>
      </c>
      <c r="G34" s="158" t="n">
        <f aca="false">VLOOKUP($B34,'2025'!$A:$O,13,0)</f>
        <v>0</v>
      </c>
      <c r="H34" s="158"/>
      <c r="I34" s="190" t="str">
        <f aca="false">IFERROR(H34/$H$19,"")</f>
        <v/>
      </c>
      <c r="J34" s="190" t="str">
        <f aca="false">IFERROR(H34/G34-1,"")</f>
        <v/>
      </c>
      <c r="K34" s="158" t="n">
        <f aca="false">H34-G34</f>
        <v>0</v>
      </c>
      <c r="M34" s="158" t="n">
        <f aca="false">VLOOKUP(C34,'תקציב  '!$B:$S,15,0)*1</f>
        <v>0</v>
      </c>
      <c r="N34" s="190" t="str">
        <f aca="false">IFERROR(H34/M34-1,"")</f>
        <v/>
      </c>
      <c r="O34" s="158" t="n">
        <f aca="false">H34-M34</f>
        <v>0</v>
      </c>
      <c r="Q34" s="166" t="n">
        <v>0</v>
      </c>
      <c r="R34" s="190" t="str">
        <f aca="false">IFERROR(H34/Q34-1,"-")</f>
        <v>-</v>
      </c>
      <c r="S34" s="190" t="str">
        <f aca="false">IFERROR(H34/Q34,"-")</f>
        <v>-</v>
      </c>
      <c r="T34" s="158" t="n">
        <f aca="false">H34-Q34</f>
        <v>0</v>
      </c>
      <c r="V34" s="158"/>
      <c r="W34" s="5" t="n">
        <f aca="false">H34-V34</f>
        <v>0</v>
      </c>
      <c r="X34" s="191" t="str">
        <f aca="false">IFERROR((G34/V34)-1,"-")</f>
        <v>-</v>
      </c>
    </row>
    <row r="35" customFormat="false" ht="13.5" hidden="false" customHeight="true" outlineLevel="0" collapsed="false">
      <c r="A35" s="169" t="n">
        <v>33</v>
      </c>
      <c r="B35" s="193" t="s">
        <v>160</v>
      </c>
      <c r="C35" s="193" t="s">
        <v>90</v>
      </c>
      <c r="D35" s="193" t="s">
        <v>91</v>
      </c>
      <c r="E35" s="193" t="s">
        <v>92</v>
      </c>
      <c r="F35" s="158" t="n">
        <f aca="false">VLOOKUP(B35,'2024'!$A:$O,13,0)</f>
        <v>0</v>
      </c>
      <c r="G35" s="158" t="n">
        <f aca="false">VLOOKUP($B35,'2025'!$A:$O,13,0)</f>
        <v>0</v>
      </c>
      <c r="H35" s="158"/>
      <c r="I35" s="190" t="str">
        <f aca="false">IFERROR(H35/$H$19,"")</f>
        <v/>
      </c>
      <c r="J35" s="190" t="str">
        <f aca="false">IFERROR(H35/G35-1,"")</f>
        <v/>
      </c>
      <c r="K35" s="158" t="n">
        <f aca="false">H35-G35</f>
        <v>0</v>
      </c>
      <c r="M35" s="158" t="n">
        <f aca="false">VLOOKUP(C35,'תקציב  '!$B:$S,15,0)*1</f>
        <v>0</v>
      </c>
      <c r="N35" s="190" t="str">
        <f aca="false">IFERROR(H35/M35-1,"")</f>
        <v/>
      </c>
      <c r="O35" s="158" t="n">
        <f aca="false">H35-M35</f>
        <v>0</v>
      </c>
      <c r="Q35" s="166" t="n">
        <v>25000</v>
      </c>
      <c r="R35" s="190" t="n">
        <f aca="false">IFERROR(H35/Q35-1,"-")</f>
        <v>-1</v>
      </c>
      <c r="S35" s="190" t="n">
        <f aca="false">IFERROR(H35/Q35,"-")</f>
        <v>0</v>
      </c>
      <c r="T35" s="158" t="n">
        <f aca="false">H35-Q35</f>
        <v>-25000</v>
      </c>
      <c r="V35" s="158"/>
      <c r="W35" s="5" t="n">
        <f aca="false">H35-V35</f>
        <v>0</v>
      </c>
      <c r="X35" s="191" t="str">
        <f aca="false">IFERROR((G35/V35)-1,"-")</f>
        <v>-</v>
      </c>
    </row>
    <row r="36" customFormat="false" ht="14.25" hidden="false" customHeight="true" outlineLevel="0" collapsed="false">
      <c r="A36" s="169"/>
      <c r="B36" s="193" t="s">
        <v>166</v>
      </c>
      <c r="C36" s="193" t="s">
        <v>166</v>
      </c>
      <c r="D36" s="193" t="s">
        <v>173</v>
      </c>
      <c r="E36" s="193" t="s">
        <v>78</v>
      </c>
      <c r="F36" s="158" t="n">
        <f aca="false">VLOOKUP(B36,'2024'!$A:$O,13,0)</f>
        <v>0</v>
      </c>
      <c r="G36" s="158" t="n">
        <f aca="false">VLOOKUP($B36,'2025'!$A:$O,13,0)</f>
        <v>0</v>
      </c>
      <c r="H36" s="158"/>
      <c r="I36" s="190" t="str">
        <f aca="false">IFERROR(H36/$H$19,"")</f>
        <v/>
      </c>
      <c r="J36" s="190" t="str">
        <f aca="false">IFERROR(H36/G36-1,"")</f>
        <v/>
      </c>
      <c r="K36" s="158" t="n">
        <f aca="false">H36-G36</f>
        <v>0</v>
      </c>
      <c r="M36" s="158"/>
      <c r="N36" s="190" t="str">
        <f aca="false">IFERROR(H36/M36-1,"")</f>
        <v/>
      </c>
      <c r="O36" s="158" t="n">
        <f aca="false">H36-M36</f>
        <v>0</v>
      </c>
      <c r="Q36" s="166" t="n">
        <v>0</v>
      </c>
      <c r="R36" s="190" t="str">
        <f aca="false">IFERROR(H36/Q36-1,"-")</f>
        <v>-</v>
      </c>
      <c r="S36" s="190" t="str">
        <f aca="false">IFERROR(H36/Q36,"-")</f>
        <v>-</v>
      </c>
      <c r="T36" s="158" t="n">
        <f aca="false">H36-Q36</f>
        <v>0</v>
      </c>
      <c r="V36" s="158"/>
      <c r="W36" s="5" t="n">
        <f aca="false">H36-V36</f>
        <v>0</v>
      </c>
      <c r="X36" s="191" t="str">
        <f aca="false">IFERROR((G36/V36)-1,"-")</f>
        <v>-</v>
      </c>
    </row>
    <row r="37" customFormat="false" ht="14.25" hidden="false" customHeight="true" outlineLevel="0" collapsed="false">
      <c r="A37" s="169" t="n">
        <v>34</v>
      </c>
      <c r="B37" s="193" t="s">
        <v>165</v>
      </c>
      <c r="C37" s="193" t="s">
        <v>165</v>
      </c>
      <c r="D37" s="193" t="s">
        <v>93</v>
      </c>
      <c r="E37" s="193" t="s">
        <v>174</v>
      </c>
      <c r="F37" s="158" t="n">
        <f aca="false">VLOOKUP(B37,'2024'!$A:$O,13,0)</f>
        <v>0</v>
      </c>
      <c r="G37" s="158" t="n">
        <f aca="false">VLOOKUP($B37,'2025'!$A:$O,13,0)</f>
        <v>0</v>
      </c>
      <c r="H37" s="158"/>
      <c r="I37" s="190" t="str">
        <f aca="false">IFERROR(H37/$H$19,"")</f>
        <v/>
      </c>
      <c r="J37" s="190" t="str">
        <f aca="false">IFERROR(H37/G37-1,"")</f>
        <v/>
      </c>
      <c r="K37" s="158" t="n">
        <f aca="false">H37-G37</f>
        <v>0</v>
      </c>
      <c r="M37" s="158"/>
      <c r="N37" s="190" t="str">
        <f aca="false">IFERROR(H37/M37-1,"")</f>
        <v/>
      </c>
      <c r="O37" s="158" t="n">
        <f aca="false">H37-M37</f>
        <v>0</v>
      </c>
      <c r="Q37" s="166" t="n">
        <v>0</v>
      </c>
      <c r="R37" s="190" t="str">
        <f aca="false">IFERROR(H37/Q37-1,"-")</f>
        <v>-</v>
      </c>
      <c r="S37" s="190" t="str">
        <f aca="false">IFERROR(H37/Q37,"-")</f>
        <v>-</v>
      </c>
      <c r="T37" s="158" t="n">
        <f aca="false">H37-Q37</f>
        <v>0</v>
      </c>
      <c r="V37" s="158"/>
      <c r="W37" s="5" t="n">
        <f aca="false">H37-V37</f>
        <v>0</v>
      </c>
      <c r="X37" s="191" t="str">
        <f aca="false">IFERROR((G37/V37)-1,"-")</f>
        <v>-</v>
      </c>
    </row>
    <row r="38" customFormat="false" ht="13.5" hidden="false" customHeight="true" outlineLevel="0" collapsed="false">
      <c r="A38" s="169" t="n">
        <v>35</v>
      </c>
      <c r="B38" s="193" t="s">
        <v>94</v>
      </c>
      <c r="C38" s="193" t="s">
        <v>94</v>
      </c>
      <c r="D38" s="193" t="s">
        <v>95</v>
      </c>
      <c r="E38" s="193" t="s">
        <v>51</v>
      </c>
      <c r="F38" s="158" t="n">
        <f aca="false">VLOOKUP(B38,'2024'!$A:$O,13,0)</f>
        <v>161576.19</v>
      </c>
      <c r="G38" s="158" t="n">
        <f aca="false">VLOOKUP($B38,'2025'!$A:$O,13,0)</f>
        <v>0</v>
      </c>
      <c r="H38" s="158"/>
      <c r="I38" s="190" t="str">
        <f aca="false">IFERROR(H38/$H$19,"")</f>
        <v/>
      </c>
      <c r="J38" s="190" t="str">
        <f aca="false">IFERROR(H38/G38-1,"")</f>
        <v/>
      </c>
      <c r="K38" s="158" t="n">
        <f aca="false">H38-G38</f>
        <v>0</v>
      </c>
      <c r="M38" s="158" t="n">
        <f aca="false">VLOOKUP(C38,'תקציב  '!$B:$S,15,0)*1</f>
        <v>0</v>
      </c>
      <c r="N38" s="190" t="str">
        <f aca="false">IFERROR(H38/M38-1,"")</f>
        <v/>
      </c>
      <c r="O38" s="158" t="n">
        <f aca="false">H38-M38</f>
        <v>0</v>
      </c>
      <c r="Q38" s="166" t="n">
        <v>0</v>
      </c>
      <c r="R38" s="190" t="str">
        <f aca="false">IFERROR(H38/Q38-1,"-")</f>
        <v>-</v>
      </c>
      <c r="S38" s="190" t="str">
        <f aca="false">IFERROR(H38/Q38,"-")</f>
        <v>-</v>
      </c>
      <c r="T38" s="158" t="n">
        <f aca="false">H38-Q38</f>
        <v>0</v>
      </c>
      <c r="V38" s="158"/>
      <c r="W38" s="5" t="n">
        <f aca="false">H38-V38</f>
        <v>0</v>
      </c>
      <c r="X38" s="191" t="str">
        <f aca="false">IFERROR((G38/V38)-1,"-")</f>
        <v>-</v>
      </c>
    </row>
    <row r="39" customFormat="false" ht="13.5" hidden="false" customHeight="true" outlineLevel="0" collapsed="false">
      <c r="A39" s="226" t="n">
        <v>36</v>
      </c>
      <c r="B39" s="227"/>
      <c r="C39" s="227" t="s">
        <v>97</v>
      </c>
      <c r="D39" s="227" t="s">
        <v>97</v>
      </c>
      <c r="E39" s="227"/>
      <c r="F39" s="158"/>
      <c r="G39" s="158"/>
      <c r="H39" s="158"/>
      <c r="I39" s="229" t="str">
        <f aca="false">IFERROR(H39/$H$19,"")</f>
        <v/>
      </c>
      <c r="J39" s="229" t="str">
        <f aca="false">IFERROR(H39/G39-1,"")</f>
        <v/>
      </c>
      <c r="K39" s="158" t="n">
        <f aca="false">H39-G39</f>
        <v>0</v>
      </c>
      <c r="M39" s="158" t="n">
        <f aca="false">VLOOKUP(C39,'תקציב  '!$B:$S,15,0)*1</f>
        <v>0</v>
      </c>
      <c r="N39" s="229" t="str">
        <f aca="false">IFERROR(H39/M39-1,"")</f>
        <v/>
      </c>
      <c r="O39" s="158" t="n">
        <f aca="false">H39-M39</f>
        <v>0</v>
      </c>
      <c r="Q39" s="166" t="n">
        <v>0</v>
      </c>
      <c r="R39" s="229" t="str">
        <f aca="false">IFERROR(H39/Q39-1,"-")</f>
        <v>-</v>
      </c>
      <c r="S39" s="229" t="str">
        <f aca="false">IFERROR(H39/Q39,"-")</f>
        <v>-</v>
      </c>
      <c r="T39" s="158" t="n">
        <f aca="false">H39-Q39</f>
        <v>0</v>
      </c>
      <c r="V39" s="158"/>
      <c r="W39" s="5" t="n">
        <f aca="false">H39-V39</f>
        <v>0</v>
      </c>
      <c r="X39" s="191" t="str">
        <f aca="false">IFERROR((G39/V39)-1,"-")</f>
        <v>-</v>
      </c>
    </row>
    <row r="40" customFormat="false" ht="15" hidden="false" customHeight="true" outlineLevel="0" collapsed="false">
      <c r="A40" s="169"/>
      <c r="B40" s="206"/>
      <c r="C40" s="206" t="s">
        <v>98</v>
      </c>
      <c r="D40" s="206" t="s">
        <v>98</v>
      </c>
      <c r="E40" s="206"/>
      <c r="F40" s="173" t="n">
        <f aca="false">SUM(F20:F39)+F51+F52</f>
        <v>877394.12</v>
      </c>
      <c r="G40" s="173" t="n">
        <f aca="false">SUM(G20:G39)+G51+G52</f>
        <v>515175.82</v>
      </c>
      <c r="H40" s="173" t="n">
        <f aca="false">SUM(H20:H39)+H51+H52</f>
        <v>0</v>
      </c>
      <c r="I40" s="174" t="str">
        <f aca="false">IFERROR(H40/$H$19,"")</f>
        <v/>
      </c>
      <c r="J40" s="174" t="n">
        <f aca="false">IFERROR(H40/G40-1,"")</f>
        <v>-1</v>
      </c>
      <c r="K40" s="173" t="n">
        <f aca="false">SUM(K20:K39)+K51+K52</f>
        <v>-515175.82</v>
      </c>
      <c r="M40" s="173" t="n">
        <f aca="false">SUM(M20:M39)+M51+M52</f>
        <v>593921.6026125</v>
      </c>
      <c r="N40" s="174" t="n">
        <f aca="false">IFERROR(H40/M40-1,"")</f>
        <v>-1</v>
      </c>
      <c r="O40" s="173" t="n">
        <f aca="false">SUM(O20:O39)+O51+O52</f>
        <v>-593921.6026125</v>
      </c>
      <c r="Q40" s="173" t="n">
        <f aca="false">SUM(Q20:Q39)+Q51+Q52</f>
        <v>487561</v>
      </c>
      <c r="R40" s="174" t="n">
        <f aca="false">IFERROR(H40/Q40-1,"-")</f>
        <v>-1</v>
      </c>
      <c r="S40" s="174" t="n">
        <f aca="false">IFERROR(H40/Q40,"-")</f>
        <v>0</v>
      </c>
      <c r="T40" s="173" t="n">
        <f aca="false">H40-Q40</f>
        <v>-487561</v>
      </c>
      <c r="U40" s="198"/>
      <c r="V40" s="173"/>
      <c r="W40" s="5" t="n">
        <f aca="false">H40-V40</f>
        <v>0</v>
      </c>
      <c r="X40" s="200" t="str">
        <f aca="false">IFERROR((G40/V40)-1,"-")</f>
        <v>-</v>
      </c>
    </row>
    <row r="41" customFormat="false" ht="15" hidden="false" customHeight="true" outlineLevel="0" collapsed="false">
      <c r="A41" s="169"/>
      <c r="B41" s="207"/>
      <c r="C41" s="207" t="s">
        <v>175</v>
      </c>
      <c r="D41" s="207" t="s">
        <v>175</v>
      </c>
      <c r="E41" s="207"/>
      <c r="F41" s="175" t="n">
        <f aca="false">F40+F19</f>
        <v>2534595.466</v>
      </c>
      <c r="G41" s="175" t="n">
        <f aca="false">G40+G19</f>
        <v>2002293.76</v>
      </c>
      <c r="H41" s="175" t="n">
        <f aca="false">H40+H19</f>
        <v>0</v>
      </c>
      <c r="I41" s="147" t="str">
        <f aca="false">IFERROR(H41/$H$19,"")</f>
        <v/>
      </c>
      <c r="J41" s="147" t="n">
        <f aca="false">IFERROR(H41/G41-1,"")</f>
        <v>-1</v>
      </c>
      <c r="K41" s="175" t="n">
        <f aca="false">K40+K19</f>
        <v>-2002293.76</v>
      </c>
      <c r="M41" s="175" t="n">
        <f aca="false">M40+M19</f>
        <v>3862704.38781966</v>
      </c>
      <c r="N41" s="147" t="n">
        <f aca="false">IFERROR(H41/M41-1,"")</f>
        <v>-1</v>
      </c>
      <c r="O41" s="175" t="n">
        <f aca="false">O40+O19</f>
        <v>-3862704.38781966</v>
      </c>
      <c r="Q41" s="175" t="n">
        <f aca="false">Q40+Q19</f>
        <v>3438082.18644068</v>
      </c>
      <c r="R41" s="147" t="n">
        <f aca="false">IFERROR(H41/Q41-1,"-")</f>
        <v>-1</v>
      </c>
      <c r="S41" s="147" t="n">
        <f aca="false">IFERROR(H41/Q41,"-")</f>
        <v>0</v>
      </c>
      <c r="T41" s="175" t="n">
        <f aca="false">H41-Q41</f>
        <v>-3438082.18644068</v>
      </c>
      <c r="U41" s="198"/>
      <c r="V41" s="175"/>
      <c r="W41" s="199" t="n">
        <f aca="false">H41-V41</f>
        <v>0</v>
      </c>
      <c r="X41" s="200" t="str">
        <f aca="false">IFERROR((G41/V41)-1,"-")</f>
        <v>-</v>
      </c>
    </row>
    <row r="42" customFormat="false" ht="15" hidden="false" customHeight="true" outlineLevel="0" collapsed="false">
      <c r="A42" s="230"/>
      <c r="B42" s="223"/>
      <c r="C42" s="223" t="s">
        <v>121</v>
      </c>
      <c r="D42" s="223" t="s">
        <v>121</v>
      </c>
      <c r="E42" s="223"/>
      <c r="F42" s="243" t="n">
        <f aca="false">F40/F41</f>
        <v>0.346167320098883</v>
      </c>
      <c r="G42" s="243" t="n">
        <f aca="false">G40/G41</f>
        <v>0.257292826003713</v>
      </c>
      <c r="H42" s="243"/>
      <c r="I42" s="224" t="str">
        <f aca="false">IFERROR(H42/$H$19,"")</f>
        <v/>
      </c>
      <c r="J42" s="224"/>
      <c r="K42" s="243"/>
      <c r="M42" s="243" t="n">
        <f aca="false">M41-'תקציב  '!P41*1</f>
        <v>0</v>
      </c>
      <c r="N42" s="224" t="str">
        <f aca="false">IFERROR(H42/M42-1,"")</f>
        <v/>
      </c>
      <c r="O42" s="243"/>
      <c r="Q42" s="224"/>
      <c r="R42" s="224"/>
      <c r="S42" s="224"/>
      <c r="T42" s="243"/>
      <c r="V42" s="224" t="str">
        <f aca="false">IFERROR(V40/V41,"")</f>
        <v/>
      </c>
      <c r="W42" s="5" t="str">
        <f aca="false">IFERROR(H42-V42,"-")</f>
        <v>-</v>
      </c>
    </row>
    <row r="43" customFormat="false" ht="14.25" hidden="false" customHeight="true" outlineLevel="0" collapsed="false">
      <c r="F43" s="1" t="n">
        <f aca="false">F41-'2024'!M38</f>
        <v>0</v>
      </c>
    </row>
    <row r="50" customFormat="false" ht="14.25" hidden="false" customHeight="true" outlineLevel="0" collapsed="false">
      <c r="A50" s="165"/>
      <c r="B50" s="189"/>
      <c r="C50" s="189" t="s">
        <v>176</v>
      </c>
      <c r="D50" s="189" t="s">
        <v>176</v>
      </c>
      <c r="E50" s="189" t="s">
        <v>32</v>
      </c>
      <c r="F50" s="158"/>
      <c r="G50" s="158"/>
      <c r="H50" s="158" t="n">
        <v>0</v>
      </c>
      <c r="I50" s="190" t="str">
        <f aca="false">IFERROR(H50/$H$19,"")</f>
        <v/>
      </c>
      <c r="J50" s="190" t="str">
        <f aca="false">IFERROR(H50/G50-1,"-")</f>
        <v>-</v>
      </c>
      <c r="K50" s="158" t="n">
        <f aca="false">H50-G50</f>
        <v>0</v>
      </c>
      <c r="M50" s="158"/>
      <c r="N50" s="190" t="str">
        <f aca="false">IFERROR(H50/M50-1,"-")</f>
        <v>-</v>
      </c>
      <c r="O50" s="158" t="n">
        <f aca="false">H50-M50</f>
        <v>0</v>
      </c>
    </row>
    <row r="51" customFormat="false" ht="14.25" hidden="false" customHeight="true" outlineLevel="0" collapsed="false">
      <c r="A51" s="169"/>
      <c r="B51" s="193"/>
      <c r="C51" s="193" t="s">
        <v>177</v>
      </c>
      <c r="D51" s="193" t="s">
        <v>177</v>
      </c>
      <c r="E51" s="193" t="s">
        <v>178</v>
      </c>
      <c r="F51" s="158"/>
      <c r="G51" s="158"/>
      <c r="H51" s="158" t="n">
        <v>0</v>
      </c>
      <c r="I51" s="190" t="str">
        <f aca="false">IFERROR(H51/$H$19,"")</f>
        <v/>
      </c>
      <c r="J51" s="190" t="str">
        <f aca="false">IFERROR(H51/G51-1,"-")</f>
        <v>-</v>
      </c>
      <c r="K51" s="158" t="n">
        <f aca="false">H51-G51</f>
        <v>0</v>
      </c>
      <c r="M51" s="158"/>
      <c r="N51" s="190" t="str">
        <f aca="false">IFERROR(H51/M51-1,"-")</f>
        <v>-</v>
      </c>
      <c r="O51" s="158" t="n">
        <f aca="false">H51-M51</f>
        <v>0</v>
      </c>
    </row>
    <row r="52" customFormat="false" ht="14.25" hidden="false" customHeight="true" outlineLevel="0" collapsed="false">
      <c r="A52" s="169"/>
      <c r="B52" s="193"/>
      <c r="C52" s="193" t="s">
        <v>179</v>
      </c>
      <c r="D52" s="193" t="s">
        <v>179</v>
      </c>
      <c r="E52" s="193" t="s">
        <v>179</v>
      </c>
      <c r="F52" s="158"/>
      <c r="G52" s="158"/>
      <c r="H52" s="158" t="n">
        <v>0</v>
      </c>
      <c r="I52" s="190" t="str">
        <f aca="false">IFERROR(H52/$H$19,"")</f>
        <v/>
      </c>
      <c r="J52" s="190" t="str">
        <f aca="false">IFERROR(H52/G52-1,"-")</f>
        <v>-</v>
      </c>
      <c r="K52" s="158" t="n">
        <f aca="false">H52-G52</f>
        <v>0</v>
      </c>
      <c r="M52" s="158"/>
      <c r="N52" s="190" t="str">
        <f aca="false">IFERROR(H52/M52-1,"-")</f>
        <v>-</v>
      </c>
      <c r="O52" s="158" t="n">
        <f aca="false">H52-M52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5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5" ySplit="2" topLeftCell="F12" activePane="bottomRight" state="frozen"/>
      <selection pane="topLeft" activeCell="A1" activeCellId="0" sqref="A1"/>
      <selection pane="topRight" activeCell="F1" activeCellId="0" sqref="F1"/>
      <selection pane="bottomLeft" activeCell="A12" activeCellId="0" sqref="A12"/>
      <selection pane="bottomRight" activeCell="J30" activeCellId="0" sqref="J30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1" width="28"/>
    <col collapsed="false" customWidth="true" hidden="false" outlineLevel="0" max="4" min="4" style="1" width="28"/>
    <col collapsed="false" customWidth="true" hidden="false" outlineLevel="0" max="5" min="5" style="1" width="13.38"/>
    <col collapsed="false" customWidth="true" hidden="false" outlineLevel="0" max="8" min="6" style="1" width="12.25"/>
    <col collapsed="false" customWidth="true" hidden="false" outlineLevel="0" max="9" min="9" style="111" width="10.75"/>
    <col collapsed="false" customWidth="true" hidden="false" outlineLevel="0" max="10" min="10" style="1" width="12.25"/>
    <col collapsed="false" customWidth="true" hidden="false" outlineLevel="0" max="11" min="11" style="5" width="9.75"/>
    <col collapsed="false" customWidth="true" hidden="false" outlineLevel="0" max="12" min="12" style="1" width="12.25"/>
    <col collapsed="false" customWidth="true" hidden="false" outlineLevel="0" max="13" min="13" style="111" width="9.75"/>
    <col collapsed="false" customWidth="true" hidden="false" outlineLevel="0" max="14" min="14" style="1" width="12.25"/>
    <col collapsed="false" customWidth="true" hidden="false" outlineLevel="0" max="15" min="15" style="5" width="10.5"/>
    <col collapsed="false" customWidth="true" hidden="false" outlineLevel="0" max="16" min="16" style="1" width="11.88"/>
    <col collapsed="false" customWidth="true" hidden="false" outlineLevel="0" max="17" min="17" style="111" width="6.75"/>
    <col collapsed="false" customWidth="true" hidden="false" outlineLevel="0" max="18" min="18" style="1" width="13"/>
    <col collapsed="false" customWidth="true" hidden="true" outlineLevel="0" max="21" min="20" style="1" width="13"/>
    <col collapsed="false" customWidth="true" hidden="true" outlineLevel="0" max="22" min="22" style="1" width="11.88"/>
    <col collapsed="false" customWidth="true" hidden="false" outlineLevel="0" max="23" min="23" style="1" width="13.62"/>
  </cols>
  <sheetData>
    <row r="1" customFormat="false" ht="15.75" hidden="false" customHeight="true" outlineLevel="0" collapsed="false">
      <c r="B1" s="7"/>
      <c r="C1" s="7" t="s">
        <v>246</v>
      </c>
      <c r="D1" s="7" t="s">
        <v>246</v>
      </c>
      <c r="E1" s="7"/>
      <c r="F1" s="159"/>
      <c r="G1" s="159"/>
      <c r="H1" s="159"/>
      <c r="I1" s="160"/>
      <c r="J1" s="159"/>
      <c r="L1" s="159"/>
      <c r="M1" s="160"/>
      <c r="N1" s="159"/>
      <c r="P1" s="7"/>
      <c r="Q1" s="160"/>
      <c r="R1" s="7"/>
      <c r="T1" s="7"/>
      <c r="U1" s="7"/>
    </row>
    <row r="2" customFormat="false" ht="15" hidden="false" customHeight="true" outlineLevel="0" collapsed="false">
      <c r="A2" s="161" t="s">
        <v>2</v>
      </c>
      <c r="B2" s="162"/>
      <c r="C2" s="162"/>
      <c r="D2" s="162"/>
      <c r="E2" s="162" t="s">
        <v>3</v>
      </c>
      <c r="F2" s="163" t="s">
        <v>247</v>
      </c>
      <c r="G2" s="163" t="s">
        <v>248</v>
      </c>
      <c r="H2" s="163" t="s">
        <v>249</v>
      </c>
      <c r="I2" s="164" t="s">
        <v>168</v>
      </c>
      <c r="J2" s="163" t="s">
        <v>169</v>
      </c>
      <c r="L2" s="163" t="s">
        <v>170</v>
      </c>
      <c r="M2" s="164" t="s">
        <v>114</v>
      </c>
      <c r="N2" s="163" t="s">
        <v>115</v>
      </c>
      <c r="P2" s="186" t="s">
        <v>1</v>
      </c>
      <c r="Q2" s="164" t="s">
        <v>212</v>
      </c>
      <c r="R2" s="162" t="s">
        <v>215</v>
      </c>
      <c r="T2" s="162" t="s">
        <v>29</v>
      </c>
      <c r="U2" s="162" t="s">
        <v>250</v>
      </c>
      <c r="V2" s="162" t="s">
        <v>251</v>
      </c>
    </row>
    <row r="3" customFormat="false" ht="14.25" hidden="false" customHeight="true" outlineLevel="0" collapsed="false">
      <c r="A3" s="165" t="n">
        <v>5</v>
      </c>
      <c r="B3" s="166" t="s">
        <v>143</v>
      </c>
      <c r="C3" s="166" t="s">
        <v>31</v>
      </c>
      <c r="D3" s="166" t="s">
        <v>31</v>
      </c>
      <c r="E3" s="166" t="s">
        <v>32</v>
      </c>
      <c r="F3" s="158" t="n">
        <f aca="false">ינואר!E3+פברואר!E3+מרץ!E3+אפריל!E3+מאי!E3+יוני!E3+יולי!F3+אוגוסט!F3+ספטמבר!F3+אוקטובר!F3+נובמבר!F3+דצמבר!F3</f>
        <v>2052731.8</v>
      </c>
      <c r="G3" s="158" t="n">
        <f aca="false">ינואר!F3+פברואר!F3+מרץ!F3+אפריל!F3+מאי!F3+יוני!F3+יולי!G3+אוגוסט!G3+ספטמבר!G3+אוקטובר!G3+נובמבר!G3+דצמבר!G3</f>
        <v>1708656.85</v>
      </c>
      <c r="H3" s="158" t="n">
        <f aca="false">ינואר!G3+פברואר!G3+מרץ!G3+אפריל!G3+מאי!G3+יוני!G3+יולי!H3+אוגוסט!H3+ספטמבר!H3+אוקטובר!H3+נובמבר!H3+דצמבר!H3</f>
        <v>1328770.55</v>
      </c>
      <c r="I3" s="167" t="n">
        <f aca="false">IFERROR(H3/G3-1,"")</f>
        <v>-0.222330364344368</v>
      </c>
      <c r="J3" s="158" t="n">
        <f aca="false">H3-G3</f>
        <v>-379886.3</v>
      </c>
      <c r="L3" s="158" t="n">
        <f aca="false">ינואר!J3+פברואר!J3+מרץ!J3+אפריל!J3+מאי!J3+יוני!J3+יולי!M3+אוגוסט!M3+ספטמבר!M3+אוקטובר!M3+נובמבר!M3+דצמבר!M3</f>
        <v>2520000</v>
      </c>
      <c r="M3" s="167" t="n">
        <f aca="false">IFERROR(H3/L3-1,"")</f>
        <v>-0.472710099206349</v>
      </c>
      <c r="N3" s="158" t="n">
        <f aca="false">H3-L3</f>
        <v>-1191229.45</v>
      </c>
      <c r="P3" s="166" t="n">
        <v>1940443.3</v>
      </c>
      <c r="Q3" s="167" t="n">
        <f aca="false">IFERROR(H3/P3,"-")</f>
        <v>0.684776798167718</v>
      </c>
      <c r="R3" s="166" t="n">
        <f aca="false">H3-P3</f>
        <v>-611672.75</v>
      </c>
      <c r="T3" s="166" t="n">
        <f aca="false">'מצטבר יוני'!H3</f>
        <v>740443.3</v>
      </c>
      <c r="U3" s="166" t="n">
        <v>1200000</v>
      </c>
      <c r="V3" s="166" t="n">
        <f aca="false">U3+T3</f>
        <v>1940443.3</v>
      </c>
    </row>
    <row r="4" customFormat="false" ht="14.25" hidden="false" customHeight="true" outlineLevel="0" collapsed="false">
      <c r="A4" s="168" t="n">
        <v>1</v>
      </c>
      <c r="B4" s="166" t="s">
        <v>33</v>
      </c>
      <c r="C4" s="166" t="s">
        <v>33</v>
      </c>
      <c r="D4" s="166" t="s">
        <v>33</v>
      </c>
      <c r="E4" s="166" t="s">
        <v>32</v>
      </c>
      <c r="F4" s="158" t="n">
        <f aca="false">ינואר!E4+פברואר!E4+מרץ!E4+אפריל!E4+מאי!E4+יוני!E4+יולי!F4+אוגוסט!F4+ספטמבר!F4+אוקטובר!F4+נובמבר!F4+דצמבר!F4</f>
        <v>5482291.178</v>
      </c>
      <c r="G4" s="158" t="n">
        <f aca="false">ינואר!F4+פברואר!F4+מרץ!F4+אפריל!F4+מאי!F4+יוני!F4+יולי!G4+אוגוסט!G4+ספטמבר!G4+אוקטובר!G4+נובמבר!G4+דצמבר!G4</f>
        <v>6071777.62260004</v>
      </c>
      <c r="H4" s="158" t="n">
        <f aca="false">ינואר!G4+פברואר!G4+מרץ!G4+אפריל!G4+מאי!G4+יוני!G4+יולי!H4+אוגוסט!H4+ספטמבר!H4+אוקטובר!H4+נובמבר!H4+דצמבר!H4</f>
        <v>4231396.26</v>
      </c>
      <c r="I4" s="167" t="n">
        <f aca="false">IFERROR(H4/G4-1,"")</f>
        <v>-0.303104210495106</v>
      </c>
      <c r="J4" s="158" t="n">
        <f aca="false">H4-G4</f>
        <v>-1840381.36260004</v>
      </c>
      <c r="L4" s="158" t="n">
        <f aca="false">ינואר!J4+פברואר!J4+מרץ!J4+אפריל!J4+מאי!J4+יוני!J4+יולי!M4+אוגוסט!M4+ספטמבר!M4+אוקטובר!M4+נובמבר!M4+דצמבר!M4</f>
        <v>6779000.00000001</v>
      </c>
      <c r="M4" s="167" t="n">
        <f aca="false">IFERROR(H4/L4-1,"")</f>
        <v>-0.375808192948813</v>
      </c>
      <c r="N4" s="158" t="n">
        <f aca="false">H4-L4</f>
        <v>-2547603.74000001</v>
      </c>
      <c r="P4" s="166" t="n">
        <v>6074937.893</v>
      </c>
      <c r="Q4" s="167" t="n">
        <f aca="false">IFERROR(H4/P4,"-")</f>
        <v>0.696533254253633</v>
      </c>
      <c r="R4" s="166" t="n">
        <f aca="false">H4-P4</f>
        <v>-1843541.633</v>
      </c>
      <c r="T4" s="166" t="n">
        <f aca="false">'מצטבר יוני'!H4</f>
        <v>2774937.893</v>
      </c>
      <c r="U4" s="166" t="n">
        <v>3300000</v>
      </c>
      <c r="V4" s="166" t="n">
        <f aca="false">U4+T4</f>
        <v>6074937.893</v>
      </c>
    </row>
    <row r="5" customFormat="false" ht="14.25" hidden="false" customHeight="true" outlineLevel="0" collapsed="false">
      <c r="A5" s="168" t="n">
        <v>7</v>
      </c>
      <c r="B5" s="166" t="s">
        <v>34</v>
      </c>
      <c r="C5" s="166" t="s">
        <v>34</v>
      </c>
      <c r="D5" s="166" t="s">
        <v>34</v>
      </c>
      <c r="E5" s="166" t="s">
        <v>32</v>
      </c>
      <c r="F5" s="158" t="n">
        <f aca="false">ינואר!E5+פברואר!E5+מרץ!E5+אפריל!E5+מאי!E5+יוני!E5+יולי!F5+אוגוסט!F5+ספטמבר!F5+אוקטובר!F5+נובמבר!F5+דצמבר!F5</f>
        <v>1089803.806</v>
      </c>
      <c r="G5" s="158" t="n">
        <f aca="false">ינואר!F5+פברואר!F5+מרץ!F5+אפריל!F5+מאי!F5+יוני!F5+יולי!G5+אוגוסט!G5+ספטמבר!G5+אוקטובר!G5+נובמבר!G5+דצמבר!G5</f>
        <v>828689.86</v>
      </c>
      <c r="H5" s="158" t="n">
        <f aca="false">ינואר!G5+פברואר!G5+מרץ!G5+אפריל!G5+מאי!G5+יוני!G5+יולי!H5+אוגוסט!H5+ספטמבר!H5+אוקטובר!H5+נובמבר!H5+דצמבר!H5</f>
        <v>651059.045</v>
      </c>
      <c r="I5" s="167" t="n">
        <f aca="false">IFERROR(H5/G5-1,"")</f>
        <v>-0.214351379899834</v>
      </c>
      <c r="J5" s="158" t="n">
        <f aca="false">H5-G5</f>
        <v>-177630.815</v>
      </c>
      <c r="L5" s="158" t="n">
        <f aca="false">ינואר!J5+פברואר!J5+מרץ!J5+אפריל!J5+מאי!J5+יוני!J5+יולי!M5+אוגוסט!M5+ספטמבר!M5+אוקטובר!M5+נובמבר!M5+דצמבר!M5</f>
        <v>900000</v>
      </c>
      <c r="M5" s="167" t="n">
        <f aca="false">IFERROR(H5/L5-1,"")</f>
        <v>-0.276601061111111</v>
      </c>
      <c r="N5" s="158" t="n">
        <f aca="false">H5-L5</f>
        <v>-248940.955</v>
      </c>
      <c r="P5" s="166" t="n">
        <v>1037274.565</v>
      </c>
      <c r="Q5" s="167" t="n">
        <f aca="false">IFERROR(H5/P5,"-")</f>
        <v>0.627663173250566</v>
      </c>
      <c r="R5" s="166" t="n">
        <f aca="false">H5-P5</f>
        <v>-386215.52</v>
      </c>
      <c r="T5" s="166" t="n">
        <f aca="false">'מצטבר יוני'!H5</f>
        <v>437274.565</v>
      </c>
      <c r="U5" s="166" t="n">
        <v>600000</v>
      </c>
      <c r="V5" s="166" t="n">
        <f aca="false">U5+T5</f>
        <v>1037274.565</v>
      </c>
    </row>
    <row r="6" customFormat="false" ht="14.25" hidden="false" customHeight="true" outlineLevel="0" collapsed="false">
      <c r="A6" s="168" t="n">
        <v>4</v>
      </c>
      <c r="B6" s="166" t="s">
        <v>35</v>
      </c>
      <c r="C6" s="166" t="s">
        <v>35</v>
      </c>
      <c r="D6" s="166" t="s">
        <v>35</v>
      </c>
      <c r="E6" s="166" t="s">
        <v>32</v>
      </c>
      <c r="F6" s="158" t="n">
        <f aca="false">ינואר!E6+פברואר!E6+מרץ!E6+אפריל!E6+מאי!E6+יוני!E6+יולי!F6+אוגוסט!F6+ספטמבר!F6+אוקטובר!F6+נובמבר!F6+דצמבר!F6</f>
        <v>1835959.53</v>
      </c>
      <c r="G6" s="158" t="n">
        <f aca="false">ינואר!F6+פברואר!F6+מרץ!F6+אפריל!F6+מאי!F6+יוני!F6+יולי!G6+אוגוסט!G6+ספטמבר!G6+אוקטובר!G6+נובמבר!G6+דצמבר!G6</f>
        <v>1941001.5794</v>
      </c>
      <c r="H6" s="158" t="n">
        <f aca="false">ינואר!G6+פברואר!G6+מרץ!G6+אפריל!G6+מאי!G6+יוני!G6+יולי!H6+אוגוסט!H6+ספטמבר!H6+אוקטובר!H6+נובמבר!H6+דצמבר!H6</f>
        <v>1409547.845</v>
      </c>
      <c r="I6" s="167" t="n">
        <f aca="false">IFERROR(H6/G6-1,"")</f>
        <v>-0.273803864994424</v>
      </c>
      <c r="J6" s="158" t="n">
        <f aca="false">H6-G6</f>
        <v>-531453.734400002</v>
      </c>
      <c r="L6" s="158" t="n">
        <f aca="false">ינואר!J6+פברואר!J6+מרץ!J6+אפריל!J6+מאי!J6+יוני!J6+יולי!M6+אוגוסט!M6+ספטמבר!M6+אוקטובר!M6+נובמבר!M6+דצמבר!M6</f>
        <v>1947000</v>
      </c>
      <c r="M6" s="167" t="n">
        <f aca="false">IFERROR(H6/L6-1,"")</f>
        <v>-0.276041168464304</v>
      </c>
      <c r="N6" s="158" t="n">
        <f aca="false">H6-L6</f>
        <v>-537452.154999999</v>
      </c>
      <c r="P6" s="166" t="n">
        <v>2118523.978</v>
      </c>
      <c r="Q6" s="167" t="n">
        <f aca="false">IFERROR(H6/P6,"-")</f>
        <v>0.665344296140886</v>
      </c>
      <c r="R6" s="166" t="n">
        <f aca="false">H6-P6</f>
        <v>-708976.133</v>
      </c>
      <c r="T6" s="166" t="n">
        <f aca="false">'מצטבר יוני'!H6</f>
        <v>918523.978</v>
      </c>
      <c r="U6" s="166" t="n">
        <v>1200000</v>
      </c>
      <c r="V6" s="166" t="n">
        <f aca="false">U6+T6</f>
        <v>2118523.978</v>
      </c>
    </row>
    <row r="7" customFormat="false" ht="14.25" hidden="false" customHeight="true" outlineLevel="0" collapsed="false">
      <c r="A7" s="168" t="n">
        <v>3</v>
      </c>
      <c r="B7" s="166" t="s">
        <v>148</v>
      </c>
      <c r="C7" s="166" t="s">
        <v>36</v>
      </c>
      <c r="D7" s="166" t="s">
        <v>36</v>
      </c>
      <c r="E7" s="166" t="s">
        <v>32</v>
      </c>
      <c r="F7" s="158" t="n">
        <f aca="false">ינואר!E7+פברואר!E7+מרץ!E7+אפריל!E7+מאי!E7+יוני!E7+יולי!F7+אוגוסט!F7+ספטמבר!F7+אוקטובר!F7+נובמבר!F7+דצמבר!F7</f>
        <v>4118466.1</v>
      </c>
      <c r="G7" s="158" t="n">
        <f aca="false">ינואר!F7+פברואר!F7+מרץ!F7+אפריל!F7+מאי!F7+יוני!F7+יולי!G7+אוגוסט!G7+ספטמבר!G7+אוקטובר!G7+נובמבר!G7+דצמבר!G7</f>
        <v>3809616.42</v>
      </c>
      <c r="H7" s="158" t="n">
        <f aca="false">ינואר!G7+פברואר!G7+מרץ!G7+אפריל!G7+מאי!G7+יוני!G7+יולי!H7+אוגוסט!H7+ספטמבר!H7+אוקטובר!H7+נובמבר!H7+דצמבר!H7</f>
        <v>2727663.25</v>
      </c>
      <c r="I7" s="167" t="n">
        <f aca="false">IFERROR(H7/G7-1,"")</f>
        <v>-0.284005802872931</v>
      </c>
      <c r="J7" s="158" t="n">
        <f aca="false">H7-G7</f>
        <v>-1081953.17</v>
      </c>
      <c r="L7" s="158" t="n">
        <f aca="false">ינואר!J7+פברואר!J7+מרץ!J7+אפריל!J7+מאי!J7+יוני!J7+יולי!M7+אוגוסט!M7+ספטמבר!M7+אוקטובר!M7+נובמבר!M7+דצמבר!M7</f>
        <v>4381000</v>
      </c>
      <c r="M7" s="167" t="n">
        <f aca="false">IFERROR(H7/L7-1,"")</f>
        <v>-0.377387982195846</v>
      </c>
      <c r="N7" s="158" t="n">
        <f aca="false">H7-L7</f>
        <v>-1653336.75</v>
      </c>
      <c r="P7" s="166" t="n">
        <v>3722410.85</v>
      </c>
      <c r="Q7" s="167" t="n">
        <f aca="false">IFERROR(H7/P7,"-")</f>
        <v>0.732767918404278</v>
      </c>
      <c r="R7" s="166" t="n">
        <f aca="false">H7-P7</f>
        <v>-994747.6</v>
      </c>
      <c r="T7" s="166" t="n">
        <f aca="false">'מצטבר יוני'!H7</f>
        <v>1742410.85</v>
      </c>
      <c r="U7" s="166" t="n">
        <v>1980000</v>
      </c>
      <c r="V7" s="166" t="n">
        <f aca="false">U7+T7</f>
        <v>3722410.85</v>
      </c>
    </row>
    <row r="8" customFormat="false" ht="14.25" hidden="false" customHeight="true" outlineLevel="0" collapsed="false">
      <c r="A8" s="168" t="n">
        <v>8</v>
      </c>
      <c r="B8" s="166" t="s">
        <v>147</v>
      </c>
      <c r="C8" s="166" t="s">
        <v>37</v>
      </c>
      <c r="D8" s="166" t="s">
        <v>37</v>
      </c>
      <c r="E8" s="166" t="s">
        <v>32</v>
      </c>
      <c r="F8" s="158" t="n">
        <f aca="false">ינואר!E8+פברואר!E8+מרץ!E8+אפריל!E8+מאי!E8+יוני!E8+יולי!F8+אוגוסט!F8+ספטמבר!F8+אוקטובר!F8+נובמבר!F8+דצמבר!F8</f>
        <v>797978.25</v>
      </c>
      <c r="G8" s="158" t="n">
        <f aca="false">ינואר!F8+פברואר!F8+מרץ!F8+אפריל!F8+מאי!F8+יוני!F8+יולי!G8+אוגוסט!G8+ספטמבר!G8+אוקטובר!G8+נובמבר!G8+דצמבר!G8</f>
        <v>892626.19</v>
      </c>
      <c r="H8" s="158" t="n">
        <f aca="false">ינואר!G8+פברואר!G8+מרץ!G8+אפריל!G8+מאי!G8+יוני!G8+יולי!H8+אוגוסט!H8+ספטמבר!H8+אוקטובר!H8+נובמבר!H8+דצמבר!H8</f>
        <v>520254.741</v>
      </c>
      <c r="I8" s="167" t="n">
        <f aca="false">IFERROR(H8/G8-1,"")</f>
        <v>-0.417163929505586</v>
      </c>
      <c r="J8" s="158" t="n">
        <f aca="false">H8-G8</f>
        <v>-372371.449</v>
      </c>
      <c r="L8" s="158" t="n">
        <f aca="false">ינואר!J8+פברואר!J8+מרץ!J8+אפריל!J8+מאי!J8+יוני!J8+יולי!M8+אוגוסט!M8+ספטמבר!M8+אוקטובר!M8+נובמבר!M8+דצמבר!M8</f>
        <v>1220000</v>
      </c>
      <c r="M8" s="167" t="n">
        <f aca="false">IFERROR(H8/L8-1,"")</f>
        <v>-0.573561687704917</v>
      </c>
      <c r="N8" s="158" t="n">
        <f aca="false">H8-L8</f>
        <v>-699745.258999998</v>
      </c>
      <c r="P8" s="166" t="n">
        <v>943097.611</v>
      </c>
      <c r="Q8" s="167" t="n">
        <f aca="false">IFERROR(H8/P8,"-")</f>
        <v>0.551644638828377</v>
      </c>
      <c r="R8" s="166" t="n">
        <f aca="false">H8-P8</f>
        <v>-422842.87</v>
      </c>
      <c r="T8" s="166" t="n">
        <f aca="false">'מצטבר יוני'!H8</f>
        <v>343097.611</v>
      </c>
      <c r="U8" s="166" t="n">
        <v>600000</v>
      </c>
      <c r="V8" s="166" t="n">
        <f aca="false">U8+T8</f>
        <v>943097.611</v>
      </c>
    </row>
    <row r="9" customFormat="false" ht="14.25" hidden="false" customHeight="true" outlineLevel="0" collapsed="false">
      <c r="A9" s="168" t="n">
        <v>6</v>
      </c>
      <c r="B9" s="166" t="s">
        <v>137</v>
      </c>
      <c r="C9" s="166" t="s">
        <v>38</v>
      </c>
      <c r="D9" s="166" t="s">
        <v>38</v>
      </c>
      <c r="E9" s="166" t="s">
        <v>32</v>
      </c>
      <c r="F9" s="158" t="n">
        <f aca="false">ינואר!E9+פברואר!E9+מרץ!E9+אפריל!E9+מאי!E9+יוני!E9+יולי!F9+אוגוסט!F9+ספטמבר!F9+אוקטובר!F9+נובמבר!F9+דצמבר!F9</f>
        <v>901019.25</v>
      </c>
      <c r="G9" s="158" t="n">
        <f aca="false">ינואר!F9+פברואר!F9+מרץ!F9+אפריל!F9+מאי!F9+יוני!F9+יולי!G9+אוגוסט!G9+ספטמבר!G9+אוקטובר!G9+נובמבר!G9+דצמבר!G9</f>
        <v>854818.94</v>
      </c>
      <c r="H9" s="158" t="n">
        <f aca="false">ינואר!G9+פברואר!G9+מרץ!G9+אפריל!G9+מאי!G9+יוני!G9+יולי!H9+אוגוסט!H9+ספטמבר!H9+אוקטובר!H9+נובמבר!H9+דצמבר!H9</f>
        <v>678114.16</v>
      </c>
      <c r="I9" s="167" t="n">
        <f aca="false">IFERROR(H9/G9-1,"")</f>
        <v>-0.206716032754258</v>
      </c>
      <c r="J9" s="158" t="n">
        <f aca="false">H9-G9</f>
        <v>-176704.78</v>
      </c>
      <c r="L9" s="158" t="n">
        <f aca="false">ינואר!J9+פברואר!J9+מרץ!J9+אפריל!J9+מאי!J9+יוני!J9+יולי!M9+אוגוסט!M9+ספטמבר!M9+אוקטובר!M9+נובמבר!M9+דצמבר!M9</f>
        <v>1979000</v>
      </c>
      <c r="M9" s="167" t="n">
        <f aca="false">IFERROR(H9/L9-1,"")</f>
        <v>-0.657345042950986</v>
      </c>
      <c r="N9" s="158" t="n">
        <f aca="false">H9-L9</f>
        <v>-1300885.84</v>
      </c>
      <c r="P9" s="166" t="n">
        <v>1075277.57</v>
      </c>
      <c r="Q9" s="167" t="n">
        <f aca="false">IFERROR(H9/P9,"-")</f>
        <v>0.630641035318908</v>
      </c>
      <c r="R9" s="166" t="n">
        <f aca="false">H9-P9</f>
        <v>-397163.41</v>
      </c>
      <c r="T9" s="166" t="n">
        <f aca="false">'מצטבר יוני'!H9</f>
        <v>475277.57</v>
      </c>
      <c r="U9" s="166" t="n">
        <v>600000</v>
      </c>
      <c r="V9" s="166" t="n">
        <f aca="false">U9+T9</f>
        <v>1075277.57</v>
      </c>
    </row>
    <row r="10" customFormat="false" ht="14.25" hidden="false" customHeight="true" outlineLevel="0" collapsed="false">
      <c r="A10" s="169" t="n">
        <v>10</v>
      </c>
      <c r="B10" s="166" t="s">
        <v>138</v>
      </c>
      <c r="C10" s="166" t="s">
        <v>39</v>
      </c>
      <c r="D10" s="166" t="s">
        <v>39</v>
      </c>
      <c r="E10" s="166" t="s">
        <v>32</v>
      </c>
      <c r="F10" s="158" t="n">
        <f aca="false">ינואר!E10+פברואר!E10+מרץ!E10+אפריל!E10+מאי!E10+יוני!E10+יולי!F10+אוגוסט!F10+ספטמבר!F10+אוקטובר!F10+נובמבר!F10+דצמבר!F10</f>
        <v>187203.67</v>
      </c>
      <c r="G10" s="158" t="n">
        <f aca="false">ינואר!F10+פברואר!F10+מרץ!F10+אפריל!F10+מאי!F10+יוני!F10+יולי!G10+אוגוסט!G10+ספטמבר!G10+אוקטובר!G10+נובמבר!G10+דצמבר!G10</f>
        <v>185250.51</v>
      </c>
      <c r="H10" s="158" t="n">
        <f aca="false">ינואר!G10+פברואר!G10+מרץ!G10+אפריל!G10+מאי!G10+יוני!G10+יולי!H10+אוגוסט!H10+ספטמבר!H10+אוקטובר!H10+נובמבר!H10+דצמבר!H10</f>
        <v>79418.59</v>
      </c>
      <c r="I10" s="167" t="n">
        <f aca="false">IFERROR(H10/G10-1,"")</f>
        <v>-0.571290842870014</v>
      </c>
      <c r="J10" s="158" t="n">
        <f aca="false">H10-G10</f>
        <v>-105831.92</v>
      </c>
      <c r="L10" s="158" t="n">
        <f aca="false">ינואר!J10+פברואר!J10+מרץ!J10+אפריל!J10+מאי!J10+יוני!J10+יולי!M10+אוגוסט!M10+ספטמבר!M10+אוקטובר!M10+נובמבר!M10+דצמבר!M10</f>
        <v>190000</v>
      </c>
      <c r="M10" s="167" t="n">
        <f aca="false">IFERROR(H10/L10-1,"")</f>
        <v>-0.582007421052631</v>
      </c>
      <c r="N10" s="158" t="n">
        <f aca="false">H10-L10</f>
        <v>-110581.41</v>
      </c>
      <c r="P10" s="166" t="n">
        <v>151235.08</v>
      </c>
      <c r="Q10" s="167" t="n">
        <f aca="false">IFERROR(H10/P10,"-")</f>
        <v>0.525133388364657</v>
      </c>
      <c r="R10" s="166" t="n">
        <f aca="false">H10-P10</f>
        <v>-71816.49</v>
      </c>
      <c r="T10" s="166" t="n">
        <f aca="false">'מצטבר יוני'!H10</f>
        <v>61235.08</v>
      </c>
      <c r="U10" s="166" t="n">
        <v>90000</v>
      </c>
      <c r="V10" s="166" t="n">
        <f aca="false">U10+T10</f>
        <v>151235.08</v>
      </c>
    </row>
    <row r="11" customFormat="false" ht="14.25" hidden="false" customHeight="true" outlineLevel="0" collapsed="false">
      <c r="A11" s="168" t="n">
        <v>11</v>
      </c>
      <c r="B11" s="166" t="s">
        <v>141</v>
      </c>
      <c r="C11" s="166" t="s">
        <v>40</v>
      </c>
      <c r="D11" s="166" t="s">
        <v>40</v>
      </c>
      <c r="E11" s="166" t="s">
        <v>32</v>
      </c>
      <c r="F11" s="158" t="n">
        <f aca="false">ינואר!E11+פברואר!E11+מרץ!E11+אפריל!E11+מאי!E11+יוני!E11+יולי!F11+אוגוסט!F11+ספטמבר!F11+אוקטובר!F11+נובמבר!F11+דצמבר!F11</f>
        <v>92204.35</v>
      </c>
      <c r="G11" s="158" t="n">
        <f aca="false">ינואר!F11+פברואר!F11+מרץ!F11+אפריל!F11+מאי!F11+יוני!F11+יולי!G11+אוגוסט!G11+ספטמבר!G11+אוקטובר!G11+נובמבר!G11+דצמבר!G11</f>
        <v>57359.72</v>
      </c>
      <c r="H11" s="158" t="n">
        <f aca="false">ינואר!G11+פברואר!G11+מרץ!G11+אפריל!G11+מאי!G11+יוני!G11+יולי!H11+אוגוסט!H11+ספטמבר!H11+אוקטובר!H11+נובמבר!H11+דצמבר!H11</f>
        <v>45013.96</v>
      </c>
      <c r="I11" s="167" t="n">
        <f aca="false">IFERROR(H11/G11-1,"")</f>
        <v>-0.215233965577238</v>
      </c>
      <c r="J11" s="158" t="n">
        <f aca="false">H11-G11</f>
        <v>-12345.76</v>
      </c>
      <c r="L11" s="158" t="n">
        <f aca="false">ינואר!J11+פברואר!J11+מרץ!J11+אפריל!J11+מאי!J11+יוני!J11+יולי!M11+אוגוסט!M11+ספטמבר!M11+אוקטובר!M11+נובמבר!M11+דצמבר!M11</f>
        <v>100000</v>
      </c>
      <c r="M11" s="167" t="n">
        <f aca="false">IFERROR(H11/L11-1,"")</f>
        <v>-0.5498604</v>
      </c>
      <c r="N11" s="158" t="n">
        <f aca="false">H11-L11</f>
        <v>-54986.04</v>
      </c>
      <c r="P11" s="166" t="n">
        <v>94015.41</v>
      </c>
      <c r="Q11" s="167" t="n">
        <f aca="false">IFERROR(H11/P11,"-")</f>
        <v>0.478793423333473</v>
      </c>
      <c r="R11" s="166" t="n">
        <f aca="false">H11-P11</f>
        <v>-49001.45</v>
      </c>
      <c r="T11" s="166" t="n">
        <f aca="false">'מצטבר יוני'!H11</f>
        <v>34015.41</v>
      </c>
      <c r="U11" s="166" t="n">
        <v>60000</v>
      </c>
      <c r="V11" s="166" t="n">
        <f aca="false">U11+T11</f>
        <v>94015.41</v>
      </c>
    </row>
    <row r="12" customFormat="false" ht="14.25" hidden="false" customHeight="true" outlineLevel="0" collapsed="false">
      <c r="A12" s="168" t="n">
        <v>14</v>
      </c>
      <c r="B12" s="166" t="s">
        <v>142</v>
      </c>
      <c r="C12" s="166" t="s">
        <v>41</v>
      </c>
      <c r="D12" s="166" t="s">
        <v>41</v>
      </c>
      <c r="E12" s="166" t="s">
        <v>32</v>
      </c>
      <c r="F12" s="158" t="n">
        <f aca="false">ינואר!E12+פברואר!E12+מרץ!E12+אפריל!E12+מאי!E12+יוני!E12+יולי!F12+אוגוסט!F12+ספטמבר!F12+אוקטובר!F12+נובמבר!F12+דצמבר!F12</f>
        <v>3230.5</v>
      </c>
      <c r="G12" s="158" t="n">
        <f aca="false">ינואר!F12+פברואר!F12+מרץ!F12+אפריל!F12+מאי!F12+יוני!F12+יולי!G12+אוגוסט!G12+ספטמבר!G12+אוקטובר!G12+נובמבר!G12+דצמבר!G12</f>
        <v>4145.68</v>
      </c>
      <c r="H12" s="158" t="n">
        <f aca="false">ינואר!G12+פברואר!G12+מרץ!G12+אפריל!G12+מאי!G12+יוני!G12+יולי!H12+אוגוסט!H12+ספטמבר!H12+אוקטובר!H12+נובמבר!H12+דצמבר!H12</f>
        <v>4305.02</v>
      </c>
      <c r="I12" s="167" t="n">
        <f aca="false">IFERROR(H12/G12-1,"")</f>
        <v>0.0384351903668396</v>
      </c>
      <c r="J12" s="158" t="n">
        <f aca="false">H12-G12</f>
        <v>159.339999999999</v>
      </c>
      <c r="L12" s="158" t="n">
        <f aca="false">ינואר!J12+פברואר!J12+מרץ!J12+אפריל!J12+מאי!J12+יוני!J12+יולי!M12+אוגוסט!M12+ספטמבר!M12+אוקטובר!M12+נובמבר!M12+דצמבר!M12</f>
        <v>0</v>
      </c>
      <c r="M12" s="167" t="str">
        <f aca="false">IFERROR(H12/L12-1,"")</f>
        <v/>
      </c>
      <c r="N12" s="158" t="n">
        <f aca="false">H12-L12</f>
        <v>4305.02</v>
      </c>
      <c r="P12" s="166" t="n">
        <v>33576.15</v>
      </c>
      <c r="Q12" s="167" t="n">
        <f aca="false">IFERROR(H12/P12,"-")</f>
        <v>0.128216606132627</v>
      </c>
      <c r="R12" s="166" t="n">
        <f aca="false">H12-P12</f>
        <v>-29271.13</v>
      </c>
      <c r="T12" s="166" t="n">
        <f aca="false">'מצטבר יוני'!H12</f>
        <v>3576.15</v>
      </c>
      <c r="U12" s="166" t="n">
        <v>30000</v>
      </c>
      <c r="V12" s="166" t="n">
        <f aca="false">U12+T12</f>
        <v>33576.15</v>
      </c>
    </row>
    <row r="13" customFormat="false" ht="14.25" hidden="false" customHeight="true" outlineLevel="0" collapsed="false">
      <c r="A13" s="168" t="n">
        <v>15</v>
      </c>
      <c r="B13" s="166" t="s">
        <v>139</v>
      </c>
      <c r="C13" s="166" t="s">
        <v>47</v>
      </c>
      <c r="D13" s="166" t="s">
        <v>47</v>
      </c>
      <c r="E13" s="166" t="s">
        <v>32</v>
      </c>
      <c r="F13" s="158" t="n">
        <f aca="false">ינואר!E13+פברואר!E13+מרץ!E13+אפריל!E13+מאי!E13+יוני!E13+יולי!F13+אוגוסט!F13+ספטמבר!F13+אוקטובר!F13+נובמבר!F13+דצמבר!F13</f>
        <v>1583.18</v>
      </c>
      <c r="G13" s="158" t="n">
        <f aca="false">ינואר!F13+פברואר!F13+מרץ!F13+אפריל!F13+מאי!F13+יוני!F13+יולי!G13+אוגוסט!G13+ספטמבר!G13+אוקטובר!G13+נובמבר!G13+דצמבר!G13</f>
        <v>514.2</v>
      </c>
      <c r="H13" s="158" t="n">
        <f aca="false">ינואר!G13+פברואר!G13+מרץ!G13+אפריל!G13+מאי!G13+יוני!G13+יולי!H13+אוגוסט!H13+ספטמבר!H13+אוקטובר!H13+נובמבר!H13+דצמבר!H13</f>
        <v>1896.82</v>
      </c>
      <c r="I13" s="167" t="n">
        <f aca="false">IFERROR(H13/G13-1,"")</f>
        <v>2.68887592376507</v>
      </c>
      <c r="J13" s="158" t="n">
        <f aca="false">H13-G13</f>
        <v>1382.62</v>
      </c>
      <c r="L13" s="158" t="n">
        <f aca="false">ינואר!J13+פברואר!J13+מרץ!J13+אפריל!J13+מאי!J13+יוני!J13+יולי!M13+אוגוסט!M13+ספטמבר!M13+אוקטובר!M13+נובמבר!M13+דצמבר!M13</f>
        <v>25000</v>
      </c>
      <c r="M13" s="167" t="n">
        <f aca="false">IFERROR(H13/L13-1,"")</f>
        <v>-0.9241272</v>
      </c>
      <c r="N13" s="158" t="n">
        <f aca="false">H13-L13</f>
        <v>-23103.18</v>
      </c>
      <c r="P13" s="166" t="n">
        <v>31896.82</v>
      </c>
      <c r="Q13" s="167" t="n">
        <f aca="false">IFERROR(H13/P13,"-")</f>
        <v>0.0594673701014709</v>
      </c>
      <c r="R13" s="166" t="n">
        <f aca="false">H13-P13</f>
        <v>-30000</v>
      </c>
      <c r="T13" s="166" t="n">
        <f aca="false">'מצטבר יוני'!H13</f>
        <v>1896.82</v>
      </c>
      <c r="U13" s="166" t="n">
        <v>30000</v>
      </c>
      <c r="V13" s="166" t="n">
        <f aca="false">U13+T13</f>
        <v>31896.82</v>
      </c>
    </row>
    <row r="14" customFormat="false" ht="14.25" hidden="false" customHeight="true" outlineLevel="0" collapsed="false">
      <c r="A14" s="168" t="n">
        <v>13</v>
      </c>
      <c r="B14" s="166" t="s">
        <v>145</v>
      </c>
      <c r="C14" s="166" t="s">
        <v>43</v>
      </c>
      <c r="D14" s="166" t="s">
        <v>43</v>
      </c>
      <c r="E14" s="166" t="s">
        <v>32</v>
      </c>
      <c r="F14" s="158" t="n">
        <f aca="false">ינואר!E14+פברואר!E14+מרץ!E14+אפריל!E14+מאי!E14+יוני!E14+יולי!F14+אוגוסט!F14+ספטמבר!F14+אוקטובר!F14+נובמבר!F14+דצמבר!F14</f>
        <v>9577.5</v>
      </c>
      <c r="G14" s="158" t="n">
        <f aca="false">ינואר!F14+פברואר!F14+מרץ!F14+אפריל!F14+מאי!F14+יוני!F14+יולי!G14+אוגוסט!G14+ספטמבר!G14+אוקטובר!G14+נובמבר!G14+דצמבר!G14</f>
        <v>13532.23</v>
      </c>
      <c r="H14" s="158" t="n">
        <f aca="false">ינואר!G14+פברואר!G14+מרץ!G14+אפריל!G14+מאי!G14+יוני!G14+יולי!H14+אוגוסט!H14+ספטמבר!H14+אוקטובר!H14+נובמבר!H14+דצמבר!H14</f>
        <v>14953.48</v>
      </c>
      <c r="I14" s="167" t="n">
        <f aca="false">IFERROR(H14/G14-1,"")</f>
        <v>0.105027035455354</v>
      </c>
      <c r="J14" s="158" t="n">
        <f aca="false">H14-G14</f>
        <v>1421.25</v>
      </c>
      <c r="L14" s="158" t="n">
        <f aca="false">ינואר!J14+פברואר!J14+מרץ!J14+אפריל!J14+מאי!J14+יוני!J14+יולי!M14+אוגוסט!M14+ספטמבר!M14+אוקטובר!M14+נובמבר!M14+דצמבר!M14</f>
        <v>400000</v>
      </c>
      <c r="M14" s="167" t="n">
        <f aca="false">IFERROR(H14/L14-1,"")</f>
        <v>-0.9626163</v>
      </c>
      <c r="N14" s="158" t="n">
        <f aca="false">H14-L14</f>
        <v>-385046.52</v>
      </c>
      <c r="P14" s="166" t="n">
        <v>37748.72</v>
      </c>
      <c r="Q14" s="167" t="n">
        <f aca="false">IFERROR(H14/P14,"-")</f>
        <v>0.396132107260855</v>
      </c>
      <c r="R14" s="166" t="n">
        <f aca="false">H14-P14</f>
        <v>-22795.24</v>
      </c>
      <c r="T14" s="166" t="n">
        <f aca="false">'מצטבר יוני'!H14</f>
        <v>7748.72</v>
      </c>
      <c r="U14" s="166" t="n">
        <v>30000</v>
      </c>
      <c r="V14" s="166" t="n">
        <f aca="false">U14+T14</f>
        <v>37748.72</v>
      </c>
    </row>
    <row r="15" customFormat="false" ht="14.25" hidden="false" customHeight="true" outlineLevel="0" collapsed="false">
      <c r="A15" s="168" t="n">
        <v>9</v>
      </c>
      <c r="B15" s="166" t="s">
        <v>140</v>
      </c>
      <c r="C15" s="166" t="s">
        <v>44</v>
      </c>
      <c r="D15" s="166" t="s">
        <v>44</v>
      </c>
      <c r="E15" s="166" t="s">
        <v>32</v>
      </c>
      <c r="F15" s="158" t="n">
        <f aca="false">ינואר!E15+פברואר!E15+מרץ!E15+אפריל!E15+מאי!E15+יוני!E15+יולי!F15+אוגוסט!F15+ספטמבר!F15+אוקטובר!F15+נובמבר!F15+דצמבר!F15</f>
        <v>72915.81</v>
      </c>
      <c r="G15" s="158" t="n">
        <f aca="false">ינואר!F15+פברואר!F15+מרץ!F15+אפריל!F15+מאי!F15+יוני!F15+יולי!G15+אוגוסט!G15+ספטמבר!G15+אוקטובר!G15+נובמבר!G15+דצמבר!G15</f>
        <v>94701.6</v>
      </c>
      <c r="H15" s="158" t="n">
        <f aca="false">ינואר!G15+פברואר!G15+מרץ!G15+אפריל!G15+מאי!G15+יוני!G15+יולי!H15+אוגוסט!H15+ספטמבר!H15+אוקטובר!H15+נובמבר!H15+דצמבר!H15</f>
        <v>118677.26</v>
      </c>
      <c r="I15" s="167" t="n">
        <f aca="false">IFERROR(H15/G15-1,"")</f>
        <v>0.253170590570804</v>
      </c>
      <c r="J15" s="158" t="n">
        <f aca="false">H15-G15</f>
        <v>23975.66</v>
      </c>
      <c r="L15" s="158" t="n">
        <f aca="false">ינואר!J15+פברואר!J15+מרץ!J15+אפריל!J15+מאי!J15+יוני!J15+יולי!M15+אוגוסט!M15+ספטמבר!M15+אוקטובר!M15+נובמבר!M15+דצמבר!M15</f>
        <v>200000</v>
      </c>
      <c r="M15" s="167" t="n">
        <f aca="false">IFERROR(H15/L15-1,"")</f>
        <v>-0.406613700000001</v>
      </c>
      <c r="N15" s="158" t="n">
        <f aca="false">H15-L15</f>
        <v>-81322.7400000004</v>
      </c>
      <c r="P15" s="166" t="n">
        <v>239111.1</v>
      </c>
      <c r="Q15" s="167" t="n">
        <f aca="false">IFERROR(H15/P15,"-")</f>
        <v>0.496326853918534</v>
      </c>
      <c r="R15" s="166" t="n">
        <f aca="false">H15-P15</f>
        <v>-120433.84</v>
      </c>
      <c r="T15" s="166" t="n">
        <f aca="false">'מצטבר יוני'!H15</f>
        <v>89111.1</v>
      </c>
      <c r="U15" s="166" t="n">
        <v>150000</v>
      </c>
      <c r="V15" s="166" t="n">
        <f aca="false">U15+T15</f>
        <v>239111.1</v>
      </c>
    </row>
    <row r="16" customFormat="false" ht="15" hidden="false" customHeight="true" outlineLevel="0" collapsed="false">
      <c r="A16" s="170"/>
      <c r="B16" s="171"/>
      <c r="C16" s="171" t="s">
        <v>119</v>
      </c>
      <c r="D16" s="171" t="s">
        <v>119</v>
      </c>
      <c r="E16" s="171"/>
      <c r="F16" s="171" t="n">
        <f aca="false">SUM(F3:F15)</f>
        <v>16644964.924</v>
      </c>
      <c r="G16" s="171" t="n">
        <f aca="false">SUM(G3:G15)</f>
        <v>16462691.402</v>
      </c>
      <c r="H16" s="171" t="n">
        <f aca="false">SUM(H3:H15)</f>
        <v>11811070.981</v>
      </c>
      <c r="I16" s="172" t="n">
        <f aca="false">IFERROR(H16/G16-1,"")</f>
        <v>-0.282555282572746</v>
      </c>
      <c r="J16" s="171" t="n">
        <f aca="false">SUM(J3:J15)</f>
        <v>-4651620.42100004</v>
      </c>
      <c r="L16" s="171" t="n">
        <f aca="false">SUM(L3:L15)</f>
        <v>20641000</v>
      </c>
      <c r="M16" s="172" t="n">
        <f aca="false">IFERROR(H16/L16-1,"")</f>
        <v>-0.427785912455792</v>
      </c>
      <c r="N16" s="171" t="n">
        <f aca="false">SUM(N3:N15)</f>
        <v>-8829929.01900001</v>
      </c>
      <c r="P16" s="171" t="n">
        <f aca="false">SUM(P3:P15)</f>
        <v>17499549.047</v>
      </c>
      <c r="Q16" s="172" t="n">
        <f aca="false">IFERROR(H16/P16,"-")</f>
        <v>0.674935734016804</v>
      </c>
      <c r="R16" s="171" t="n">
        <f aca="false">SUM(R3:R15)</f>
        <v>-5688478.066</v>
      </c>
      <c r="T16" s="171" t="n">
        <f aca="false">SUM(T3:T15)</f>
        <v>7629549.047</v>
      </c>
      <c r="U16" s="171" t="n">
        <f aca="false">SUM(U3:U15)</f>
        <v>9870000</v>
      </c>
      <c r="V16" s="171" t="n">
        <f aca="false">SUM(V3:V15)</f>
        <v>17499549.047</v>
      </c>
    </row>
    <row r="17" customFormat="false" ht="14.25" hidden="false" customHeight="true" outlineLevel="0" collapsed="false">
      <c r="A17" s="168" t="n">
        <v>2</v>
      </c>
      <c r="B17" s="166" t="s">
        <v>149</v>
      </c>
      <c r="C17" s="166" t="s">
        <v>45</v>
      </c>
      <c r="D17" s="166" t="s">
        <v>45</v>
      </c>
      <c r="E17" s="166" t="s">
        <v>32</v>
      </c>
      <c r="F17" s="158" t="n">
        <f aca="false">ינואר!E17+פברואר!E17+מרץ!E17+אפריל!E17+מאי!E17+יוני!E17+יולי!F17+אוגוסט!F17+ספטמבר!F17+אוקטובר!F17+נובמבר!F17+דצמבר!F17</f>
        <v>683558.5</v>
      </c>
      <c r="G17" s="158" t="n">
        <f aca="false">ינואר!F17+פברואר!F17+מרץ!F17+אפריל!F17+מאי!F17+יוני!F17+יולי!G17+אוגוסט!G17+ספטמבר!G17+אוקטובר!G17+נובמבר!G17+דצמבר!G17</f>
        <v>1656258.29</v>
      </c>
      <c r="H17" s="158" t="n">
        <f aca="false">ינואר!G17+פברואר!G17+מרץ!G17+אפריל!G17+מאי!G17+יוני!G17+יולי!H17+אוגוסט!H17+ספטמבר!H17+אוקטובר!H17+נובמבר!H17+דצמבר!H17</f>
        <v>3368003.31000003</v>
      </c>
      <c r="I17" s="167" t="n">
        <f aca="false">IFERROR(H17/G17-1,"")</f>
        <v>1.03350125420356</v>
      </c>
      <c r="J17" s="158" t="n">
        <f aca="false">H17-G17</f>
        <v>1711745.02000003</v>
      </c>
      <c r="L17" s="158" t="n">
        <f aca="false">ינואר!J17+פברואר!J17+מרץ!J17+אפריל!J17+מאי!J17+יוני!J17+יולי!M17+אוגוסט!M17+ספטמבר!M17+אוקטובר!M17+נובמבר!M17+דצמבר!M17</f>
        <v>10788663.559322</v>
      </c>
      <c r="M17" s="167" t="n">
        <f aca="false">IFERROR(H17/L17-1,"")</f>
        <v>-0.687820155714294</v>
      </c>
      <c r="N17" s="158" t="n">
        <f aca="false">H17-L17</f>
        <v>-7420660.24932201</v>
      </c>
      <c r="P17" s="166" t="n">
        <v>7612717.01355935</v>
      </c>
      <c r="Q17" s="167" t="n">
        <f aca="false">IFERROR(H17/P17,"-")</f>
        <v>0.442418036031174</v>
      </c>
      <c r="R17" s="166" t="n">
        <f aca="false">H17-P17</f>
        <v>-4244713.70355932</v>
      </c>
      <c r="T17" s="166" t="n">
        <f aca="false">'מצטבר יוני'!H17</f>
        <v>2231238.20000003</v>
      </c>
      <c r="U17" s="166" t="n">
        <v>5381478.81355932</v>
      </c>
      <c r="V17" s="166" t="n">
        <f aca="false">U17+T17</f>
        <v>7612717.01355935</v>
      </c>
    </row>
    <row r="18" customFormat="false" ht="14.25" hidden="false" customHeight="true" outlineLevel="0" collapsed="false">
      <c r="A18" s="168" t="n">
        <v>12</v>
      </c>
      <c r="B18" s="166" t="s">
        <v>150</v>
      </c>
      <c r="C18" s="166" t="s">
        <v>46</v>
      </c>
      <c r="D18" s="166" t="s">
        <v>46</v>
      </c>
      <c r="E18" s="166" t="s">
        <v>32</v>
      </c>
      <c r="F18" s="158" t="n">
        <f aca="false">ינואר!E18+פברואר!E18+מרץ!E18+אפריל!E18+מאי!E18+יוני!E18+יולי!F18+אוגוסט!F18+ספטמבר!F18+אוקטובר!F18+נובמבר!F18+דצמבר!F18</f>
        <v>35758.89</v>
      </c>
      <c r="G18" s="158" t="n">
        <f aca="false">ינואר!F18+פברואר!F18+מרץ!F18+אפריל!F18+מאי!F18+יוני!F18+יולי!G18+אוגוסט!G18+ספטמבר!G18+אוקטובר!G18+נובמבר!G18+דצמבר!G18</f>
        <v>27325.74</v>
      </c>
      <c r="H18" s="158" t="n">
        <f aca="false">ינואר!G18+פברואר!G18+מרץ!G18+אפריל!G18+מאי!G18+יוני!G18+יולי!H18+אוגוסט!H18+ספטמבר!H18+אוקטובר!H18+נובמבר!H18+דצמבר!H18</f>
        <v>13580.48</v>
      </c>
      <c r="I18" s="167" t="n">
        <f aca="false">IFERROR(H18/G18-1,"")</f>
        <v>-0.503015105903811</v>
      </c>
      <c r="J18" s="158" t="n">
        <f aca="false">H18-G18</f>
        <v>-13745.26</v>
      </c>
      <c r="L18" s="158" t="n">
        <f aca="false">ינואר!J18+פברואר!J18+מרץ!J18+אפריל!J18+מאי!J18+יוני!J18+יולי!M18+אוגוסט!M18+ספטמבר!M18+אוקטובר!M18+נובמבר!M18+דצמבר!M18</f>
        <v>30443.14</v>
      </c>
      <c r="M18" s="167" t="n">
        <f aca="false">IFERROR(H18/L18-1,"")</f>
        <v>-0.553906725784528</v>
      </c>
      <c r="N18" s="158" t="n">
        <f aca="false">H18-L18</f>
        <v>-16862.66</v>
      </c>
      <c r="P18" s="166" t="n">
        <v>39807.02</v>
      </c>
      <c r="Q18" s="167" t="n">
        <f aca="false">IFERROR(H18/P18,"-")</f>
        <v>0.341157916367515</v>
      </c>
      <c r="R18" s="166" t="n">
        <f aca="false">H18-P18</f>
        <v>-26226.54</v>
      </c>
      <c r="T18" s="166" t="n">
        <f aca="false">'מצטבר יוני'!H18</f>
        <v>9807.02</v>
      </c>
      <c r="U18" s="166" t="n">
        <v>30000</v>
      </c>
      <c r="V18" s="166" t="n">
        <f aca="false">U18+T18</f>
        <v>39807.02</v>
      </c>
    </row>
    <row r="19" customFormat="false" ht="15" hidden="false" customHeight="true" outlineLevel="0" collapsed="false">
      <c r="A19" s="169"/>
      <c r="B19" s="171"/>
      <c r="C19" s="171" t="s">
        <v>48</v>
      </c>
      <c r="D19" s="171" t="s">
        <v>48</v>
      </c>
      <c r="E19" s="171"/>
      <c r="F19" s="171" t="n">
        <f aca="false">F16+F17+F18</f>
        <v>17364282.314</v>
      </c>
      <c r="G19" s="171" t="n">
        <f aca="false">G16+G17+G18</f>
        <v>18146275.432</v>
      </c>
      <c r="H19" s="171" t="n">
        <f aca="false">H16+H17+H18</f>
        <v>15192654.771</v>
      </c>
      <c r="I19" s="172" t="n">
        <f aca="false">IFERROR(H19/G19-1,"")</f>
        <v>-0.162767322256745</v>
      </c>
      <c r="J19" s="171" t="n">
        <f aca="false">J16+J17+J18</f>
        <v>-2953620.66100001</v>
      </c>
      <c r="L19" s="171" t="n">
        <f aca="false">L16+L17+L18</f>
        <v>31460106.699322</v>
      </c>
      <c r="M19" s="172" t="n">
        <f aca="false">IFERROR(H19/L19-1,"")</f>
        <v>-0.51708190578618</v>
      </c>
      <c r="N19" s="171" t="n">
        <f aca="false">N16+N17+N18</f>
        <v>-16267451.928322</v>
      </c>
      <c r="P19" s="171" t="n">
        <f aca="false">P16+P17+P18</f>
        <v>25152073.0805594</v>
      </c>
      <c r="Q19" s="172" t="n">
        <f aca="false">IFERROR(H19/P19,"-")</f>
        <v>0.604031911100911</v>
      </c>
      <c r="R19" s="171" t="n">
        <f aca="false">R16+R17+R18</f>
        <v>-9959418.30955932</v>
      </c>
      <c r="T19" s="171" t="n">
        <f aca="false">SUM(T16:T18)</f>
        <v>9870594.26700003</v>
      </c>
      <c r="U19" s="171" t="n">
        <f aca="false">SUM(U16:U18)</f>
        <v>15281478.8135593</v>
      </c>
      <c r="V19" s="171" t="n">
        <f aca="false">SUM(V16:V18)</f>
        <v>25152073.0805594</v>
      </c>
    </row>
    <row r="20" customFormat="false" ht="14.25" hidden="false" customHeight="true" outlineLevel="0" collapsed="false">
      <c r="A20" s="169" t="n">
        <v>50</v>
      </c>
      <c r="B20" s="166" t="s">
        <v>155</v>
      </c>
      <c r="C20" s="166" t="s">
        <v>49</v>
      </c>
      <c r="D20" s="166" t="s">
        <v>50</v>
      </c>
      <c r="E20" s="166" t="s">
        <v>51</v>
      </c>
      <c r="F20" s="158" t="n">
        <f aca="false">ינואר!E20+פברואר!E20+מרץ!E20+אפריל!E20+מאי!E20+יוני!E20+יולי!F20+אוגוסט!F20+ספטמבר!F20+אוקטובר!F20+נובמבר!F20+דצמבר!F20</f>
        <v>3501494.53</v>
      </c>
      <c r="G20" s="158" t="n">
        <f aca="false">ינואר!F20+פברואר!F20+מרץ!F20+אפריל!F20+מאי!F20+יוני!F20+יולי!G20+אוגוסט!G20+ספטמבר!G20+אוקטובר!G20+נובמבר!G20+דצמבר!G20</f>
        <v>2705391.22</v>
      </c>
      <c r="H20" s="158" t="n">
        <f aca="false">ינואר!G20+פברואר!G20+מרץ!G20+אפריל!G20+מאי!G20+יוני!G20+יולי!H20+אוגוסט!H20+ספטמבר!H20+אוקטובר!H20+נובמבר!H20+דצמבר!H20</f>
        <v>1879662.74</v>
      </c>
      <c r="I20" s="167" t="n">
        <f aca="false">IFERROR(H20/G20-1,"")</f>
        <v>-0.305215923632664</v>
      </c>
      <c r="J20" s="158" t="n">
        <f aca="false">H20-G20</f>
        <v>-825728.48</v>
      </c>
      <c r="L20" s="158" t="n">
        <f aca="false">ינואר!J20+פברואר!J20+מרץ!J20+אפריל!J20+מאי!J20+יוני!J20+יולי!M20+אוגוסט!M20+ספטמבר!M20+אוקטובר!M20+נובמבר!M20+דצמבר!M20</f>
        <v>4776579.3532875</v>
      </c>
      <c r="M20" s="167" t="n">
        <f aca="false">IFERROR(H20/L20-1,"")</f>
        <v>-0.606483510274709</v>
      </c>
      <c r="N20" s="158" t="n">
        <f aca="false">H20-L20</f>
        <v>-2896916.6132875</v>
      </c>
      <c r="P20" s="166" t="n">
        <v>3098024.51</v>
      </c>
      <c r="Q20" s="167" t="n">
        <f aca="false">IFERROR(H20/P20,"-")</f>
        <v>0.606729460639419</v>
      </c>
      <c r="R20" s="166" t="n">
        <f aca="false">H20-P20</f>
        <v>-1218361.77</v>
      </c>
      <c r="T20" s="166" t="n">
        <f aca="false">'מצטבר יוני'!H20</f>
        <v>1254357.41</v>
      </c>
      <c r="U20" s="166" t="n">
        <v>1843667.1</v>
      </c>
      <c r="V20" s="166" t="n">
        <f aca="false">U20+T20</f>
        <v>3098024.51</v>
      </c>
    </row>
    <row r="21" customFormat="false" ht="14.25" hidden="false" customHeight="true" outlineLevel="0" collapsed="false">
      <c r="A21" s="169" t="n">
        <v>20</v>
      </c>
      <c r="B21" s="166" t="s">
        <v>151</v>
      </c>
      <c r="C21" s="166" t="s">
        <v>52</v>
      </c>
      <c r="D21" s="166" t="s">
        <v>53</v>
      </c>
      <c r="E21" s="166" t="s">
        <v>54</v>
      </c>
      <c r="F21" s="158" t="n">
        <f aca="false">ינואר!E21+פברואר!E21+מרץ!E21+אפריל!E21+מאי!E21+יוני!E21+יולי!F21+אוגוסט!F21+ספטמבר!F21+אוקטובר!F21+נובמבר!F21+דצמבר!F21</f>
        <v>879383.45</v>
      </c>
      <c r="G21" s="158" t="n">
        <f aca="false">ינואר!F21+פברואר!F21+מרץ!F21+אפריל!F21+מאי!F21+יוני!F21+יולי!G21+אוגוסט!G21+ספטמבר!G21+אוקטובר!G21+נובמבר!G21+דצמבר!G21</f>
        <v>902537.64</v>
      </c>
      <c r="H21" s="158" t="n">
        <f aca="false">ינואר!G21+פברואר!G21+מרץ!G21+אפריל!G21+מאי!G21+יוני!G21+יולי!H21+אוגוסט!H21+ספטמבר!H21+אוקטובר!H21+נובמבר!H21+דצמבר!H21</f>
        <v>474182.59</v>
      </c>
      <c r="I21" s="167" t="n">
        <f aca="false">IFERROR(H21/G21-1,"")</f>
        <v>-0.474611840011459</v>
      </c>
      <c r="J21" s="158" t="n">
        <f aca="false">H21-G21</f>
        <v>-428355.05</v>
      </c>
      <c r="L21" s="158" t="n">
        <f aca="false">ינואר!J21+פברואר!J21+מרץ!J21+אפריל!J21+מאי!J21+יוני!J21+יולי!M21+אוגוסט!M21+ספטמבר!M21+אוקטובר!M21+נובמבר!M21+דצמבר!M21</f>
        <v>980000</v>
      </c>
      <c r="M21" s="167" t="n">
        <f aca="false">IFERROR(H21/L21-1,"")</f>
        <v>-0.516140214285714</v>
      </c>
      <c r="N21" s="158" t="n">
        <f aca="false">H21-L21</f>
        <v>-505817.41</v>
      </c>
      <c r="P21" s="166" t="n">
        <v>922081.02</v>
      </c>
      <c r="Q21" s="167" t="n">
        <f aca="false">IFERROR(H21/P21,"-")</f>
        <v>0.514252630425036</v>
      </c>
      <c r="R21" s="166" t="n">
        <f aca="false">H21-P21</f>
        <v>-447898.43</v>
      </c>
      <c r="T21" s="166" t="n">
        <f aca="false">'מצטבר יוני'!H21</f>
        <v>342081.02</v>
      </c>
      <c r="U21" s="166" t="n">
        <v>580000</v>
      </c>
      <c r="V21" s="166" t="n">
        <f aca="false">U21+T21</f>
        <v>922081.02</v>
      </c>
    </row>
    <row r="22" customFormat="false" ht="14.25" hidden="false" customHeight="true" outlineLevel="0" collapsed="false">
      <c r="A22" s="169" t="n">
        <v>21</v>
      </c>
      <c r="B22" s="166" t="s">
        <v>157</v>
      </c>
      <c r="C22" s="166" t="s">
        <v>55</v>
      </c>
      <c r="D22" s="166" t="s">
        <v>56</v>
      </c>
      <c r="E22" s="166" t="s">
        <v>57</v>
      </c>
      <c r="F22" s="158" t="n">
        <f aca="false">ינואר!E22+פברואר!E22+מרץ!E22+אפריל!E22+מאי!E22+יוני!E22+יולי!F22+אוגוסט!F22+ספטמבר!F22+אוקטובר!F22+נובמבר!F22+דצמבר!F22</f>
        <v>633752.75</v>
      </c>
      <c r="G22" s="158" t="n">
        <f aca="false">ינואר!F22+פברואר!F22+מרץ!F22+אפריל!F22+מאי!F22+יוני!F22+יולי!G22+אוגוסט!G22+ספטמבר!G22+אוקטובר!G22+נובמבר!G22+דצמבר!G22</f>
        <v>405920.85</v>
      </c>
      <c r="H22" s="158" t="n">
        <f aca="false">ינואר!G22+פברואר!G22+מרץ!G22+אפריל!G22+מאי!G22+יוני!G22+יולי!H22+אוגוסט!H22+ספטמבר!H22+אוקטובר!H22+נובמבר!H22+דצמבר!H22</f>
        <v>344263.09</v>
      </c>
      <c r="I22" s="167" t="n">
        <f aca="false">IFERROR(H22/G22-1,"")</f>
        <v>-0.15189601618148</v>
      </c>
      <c r="J22" s="158" t="n">
        <f aca="false">H22-G22</f>
        <v>-61657.76</v>
      </c>
      <c r="L22" s="158" t="n">
        <f aca="false">ינואר!J22+פברואר!J22+מרץ!J22+אפריל!J22+מאי!J22+יוני!J22+יולי!M22+אוגוסט!M22+ספטמבר!M22+אוקטובר!M22+נובמבר!M22+דצמבר!M22</f>
        <v>650000.27</v>
      </c>
      <c r="M22" s="167" t="n">
        <f aca="false">IFERROR(H22/L22-1,"")</f>
        <v>-0.470364696925434</v>
      </c>
      <c r="N22" s="158" t="n">
        <f aca="false">H22-L22</f>
        <v>-305737.18</v>
      </c>
      <c r="P22" s="166" t="n">
        <v>613276.52</v>
      </c>
      <c r="Q22" s="167" t="n">
        <f aca="false">IFERROR(H22/P22,"-")</f>
        <v>0.561350514446567</v>
      </c>
      <c r="R22" s="166" t="n">
        <f aca="false">H22-P22</f>
        <v>-269013.43</v>
      </c>
      <c r="T22" s="166" t="n">
        <f aca="false">'מצטבר יוני'!H22</f>
        <v>333276.52</v>
      </c>
      <c r="U22" s="166" t="n">
        <v>280000</v>
      </c>
      <c r="V22" s="166" t="n">
        <f aca="false">U22+T22</f>
        <v>613276.52</v>
      </c>
    </row>
    <row r="23" customFormat="false" ht="14.25" hidden="false" customHeight="true" outlineLevel="0" collapsed="false">
      <c r="A23" s="169" t="n">
        <v>22</v>
      </c>
      <c r="B23" s="166" t="s">
        <v>159</v>
      </c>
      <c r="C23" s="166" t="s">
        <v>58</v>
      </c>
      <c r="D23" s="166" t="s">
        <v>59</v>
      </c>
      <c r="E23" s="166" t="s">
        <v>60</v>
      </c>
      <c r="F23" s="158" t="n">
        <f aca="false">ינואר!E23+פברואר!E23+מרץ!E23+אפריל!E23+מאי!E23+יוני!E23+יולי!F23+אוגוסט!F23+ספטמבר!F23+אוקטובר!F23+נובמבר!F23+דצמבר!F23</f>
        <v>489809</v>
      </c>
      <c r="G23" s="158" t="n">
        <f aca="false">ינואר!F23+פברואר!F23+מרץ!F23+אפריל!F23+מאי!F23+יוני!F23+יולי!G23+אוגוסט!G23+ספטמבר!G23+אוקטובר!G23+נובמבר!G23+דצמבר!G23</f>
        <v>414072.64</v>
      </c>
      <c r="H23" s="158" t="n">
        <f aca="false">ינואר!G23+פברואר!G23+מרץ!G23+אפריל!G23+מאי!G23+יוני!G23+יולי!H23+אוגוסט!H23+ספטמבר!H23+אוקטובר!H23+נובמבר!H23+דצמבר!H23</f>
        <v>358276.36</v>
      </c>
      <c r="I23" s="167" t="n">
        <f aca="false">IFERROR(H23/G23-1,"")</f>
        <v>-0.13474998010011</v>
      </c>
      <c r="J23" s="158" t="n">
        <f aca="false">H23-G23</f>
        <v>-55796.28</v>
      </c>
      <c r="L23" s="158" t="n">
        <f aca="false">ינואר!J23+פברואר!J23+מרץ!J23+אפריל!J23+מאי!J23+יוני!J23+יולי!M23+אוגוסט!M23+ספטמבר!M23+אוקטובר!M23+נובמבר!M23+דצמבר!M23</f>
        <v>499999.97</v>
      </c>
      <c r="M23" s="167" t="n">
        <f aca="false">IFERROR(H23/L23-1,"")</f>
        <v>-0.283447237006834</v>
      </c>
      <c r="N23" s="158" t="n">
        <f aca="false">H23-L23</f>
        <v>-141723.61</v>
      </c>
      <c r="P23" s="166" t="n">
        <v>457053.13</v>
      </c>
      <c r="Q23" s="167" t="n">
        <f aca="false">IFERROR(H23/P23,"-")</f>
        <v>0.783883396663316</v>
      </c>
      <c r="R23" s="166" t="n">
        <f aca="false">H23-P23</f>
        <v>-98776.77</v>
      </c>
      <c r="T23" s="166" t="n">
        <f aca="false">'מצטבר יוני'!H23</f>
        <v>307053.13</v>
      </c>
      <c r="U23" s="166" t="n">
        <v>150000</v>
      </c>
      <c r="V23" s="166" t="n">
        <f aca="false">U23+T23</f>
        <v>457053.13</v>
      </c>
    </row>
    <row r="24" customFormat="false" ht="14.25" hidden="false" customHeight="true" outlineLevel="0" collapsed="false">
      <c r="A24" s="169" t="n">
        <v>23</v>
      </c>
      <c r="B24" s="166" t="s">
        <v>154</v>
      </c>
      <c r="C24" s="166" t="s">
        <v>61</v>
      </c>
      <c r="D24" s="166" t="s">
        <v>62</v>
      </c>
      <c r="E24" s="166" t="s">
        <v>63</v>
      </c>
      <c r="F24" s="158" t="n">
        <f aca="false">ינואר!E24+פברואר!E24+מרץ!E24+אפריל!E24+מאי!E24+יוני!E24+יולי!F24+אוגוסט!F24+ספטמבר!F24+אוקטובר!F24+נובמבר!F24+דצמבר!F24</f>
        <v>128758.9</v>
      </c>
      <c r="G24" s="158" t="n">
        <f aca="false">ינואר!F24+פברואר!F24+מרץ!F24+אפריל!F24+מאי!F24+יוני!F24+יולי!G24+אוגוסט!G24+ספטמבר!G24+אוקטובר!G24+נובמבר!G24+דצמבר!G24</f>
        <v>122339</v>
      </c>
      <c r="H24" s="158" t="n">
        <f aca="false">ינואר!G24+פברואר!G24+מרץ!G24+אפריל!G24+מאי!G24+יוני!G24+יולי!H24+אוגוסט!H24+ספטמבר!H24+אוקטובר!H24+נובמבר!H24+דצמבר!H24</f>
        <v>111290.53</v>
      </c>
      <c r="I24" s="167" t="n">
        <f aca="false">IFERROR(H24/G24-1,"")</f>
        <v>-0.0903102853546294</v>
      </c>
      <c r="J24" s="158" t="n">
        <f aca="false">H24-G24</f>
        <v>-11048.47</v>
      </c>
      <c r="L24" s="158" t="n">
        <f aca="false">ינואר!J24+פברואר!J24+מרץ!J24+אפריל!J24+מאי!J24+יוני!J24+יולי!M24+אוגוסט!M24+ספטמבר!M24+אוקטובר!M24+נובמבר!M24+דצמבר!M24</f>
        <v>139999.92</v>
      </c>
      <c r="M24" s="167" t="n">
        <f aca="false">IFERROR(H24/L24-1,"")</f>
        <v>-0.205067188609822</v>
      </c>
      <c r="N24" s="158" t="n">
        <f aca="false">H24-L24</f>
        <v>-28709.39</v>
      </c>
      <c r="P24" s="166" t="n">
        <v>131678.59</v>
      </c>
      <c r="Q24" s="167" t="n">
        <f aca="false">IFERROR(H24/P24,"-")</f>
        <v>0.845167995799469</v>
      </c>
      <c r="R24" s="166" t="n">
        <f aca="false">H24-P24</f>
        <v>-20388.06</v>
      </c>
      <c r="T24" s="166" t="n">
        <f aca="false">'מצטבר יוני'!H24</f>
        <v>76678.59</v>
      </c>
      <c r="U24" s="166" t="n">
        <v>55000</v>
      </c>
      <c r="V24" s="166" t="n">
        <f aca="false">U24+T24</f>
        <v>131678.59</v>
      </c>
    </row>
    <row r="25" customFormat="false" ht="14.25" hidden="false" customHeight="true" outlineLevel="0" collapsed="false">
      <c r="A25" s="169" t="n">
        <v>24</v>
      </c>
      <c r="B25" s="166" t="s">
        <v>156</v>
      </c>
      <c r="C25" s="166" t="s">
        <v>64</v>
      </c>
      <c r="D25" s="166" t="s">
        <v>65</v>
      </c>
      <c r="E25" s="166" t="s">
        <v>66</v>
      </c>
      <c r="F25" s="158" t="n">
        <f aca="false">ינואר!E25+פברואר!E25+מרץ!E25+אפריל!E25+מאי!E25+יוני!E25+יולי!F25+אוגוסט!F25+ספטמבר!F25+אוקטובר!F25+נובמבר!F25+דצמבר!F25</f>
        <v>160712.5</v>
      </c>
      <c r="G25" s="158" t="n">
        <f aca="false">ינואר!F25+פברואר!F25+מרץ!F25+אפריל!F25+מאי!F25+יוני!F25+יולי!G25+אוגוסט!G25+ספטמבר!G25+אוקטובר!G25+נובמבר!G25+דצמבר!G25</f>
        <v>52899.82</v>
      </c>
      <c r="H25" s="158" t="n">
        <f aca="false">ינואר!G25+פברואר!G25+מרץ!G25+אפריל!G25+מאי!G25+יוני!G25+יולי!H25+אוגוסט!H25+ספטמבר!H25+אוקטובר!H25+נובמבר!H25+דצמבר!H25</f>
        <v>0</v>
      </c>
      <c r="I25" s="167" t="n">
        <f aca="false">IFERROR(H25/G25-1,"")</f>
        <v>-1</v>
      </c>
      <c r="J25" s="158" t="n">
        <f aca="false">H25-G25</f>
        <v>-52899.82</v>
      </c>
      <c r="L25" s="158" t="n">
        <f aca="false">ינואר!J25+פברואר!J25+מרץ!J25+אפריל!J25+מאי!J25+יוני!J25+יולי!M25+אוגוסט!M25+ספטמבר!M25+אוקטובר!M25+נובמבר!M25+דצמבר!M25</f>
        <v>50000</v>
      </c>
      <c r="M25" s="167" t="n">
        <f aca="false">IFERROR(H25/L25-1,"")</f>
        <v>-1</v>
      </c>
      <c r="N25" s="158" t="n">
        <f aca="false">H25-L25</f>
        <v>-50000</v>
      </c>
      <c r="P25" s="166" t="n">
        <v>0</v>
      </c>
      <c r="Q25" s="167" t="str">
        <f aca="false">IFERROR(H25/P25,"-")</f>
        <v>-</v>
      </c>
      <c r="R25" s="166" t="n">
        <f aca="false">H25-P25</f>
        <v>0</v>
      </c>
      <c r="T25" s="166" t="n">
        <f aca="false">'מצטבר יוני'!H25</f>
        <v>0</v>
      </c>
      <c r="U25" s="166" t="n">
        <v>0</v>
      </c>
      <c r="V25" s="166" t="n">
        <f aca="false">U25+T25</f>
        <v>0</v>
      </c>
    </row>
    <row r="26" customFormat="false" ht="13.5" hidden="false" customHeight="true" outlineLevel="0" collapsed="false">
      <c r="A26" s="169" t="n">
        <v>25</v>
      </c>
      <c r="B26" s="166" t="s">
        <v>162</v>
      </c>
      <c r="C26" s="166" t="s">
        <v>67</v>
      </c>
      <c r="D26" s="166" t="s">
        <v>68</v>
      </c>
      <c r="E26" s="166" t="s">
        <v>69</v>
      </c>
      <c r="F26" s="158" t="n">
        <f aca="false">ינואר!E26+פברואר!E26+מרץ!E26+אפריל!E26+מאי!E26+יוני!E26+יולי!F26+אוגוסט!F26+ספטמבר!F26+אוקטובר!F26+נובמבר!F26+דצמבר!F26</f>
        <v>471280.16</v>
      </c>
      <c r="G26" s="158" t="n">
        <f aca="false">ינואר!F26+פברואר!F26+מרץ!F26+אפריל!F26+מאי!F26+יוני!F26+יולי!G26+אוגוסט!G26+ספטמבר!G26+אוקטובר!G26+נובמבר!G26+דצמבר!G26</f>
        <v>319558.55</v>
      </c>
      <c r="H26" s="158" t="n">
        <f aca="false">ינואר!G26+פברואר!G26+מרץ!G26+אפריל!G26+מאי!G26+יוני!G26+יולי!H26+אוגוסט!H26+ספטמבר!H26+אוקטובר!H26+נובמבר!H26+דצמבר!H26</f>
        <v>365555.25</v>
      </c>
      <c r="I26" s="167" t="n">
        <f aca="false">IFERROR(H26/G26-1,"")</f>
        <v>0.143938254820595</v>
      </c>
      <c r="J26" s="158" t="n">
        <f aca="false">H26-G26</f>
        <v>45996.7</v>
      </c>
      <c r="L26" s="158" t="n">
        <f aca="false">ינואר!J26+פברואר!J26+מרץ!J26+אפריל!J26+מאי!J26+יוני!J26+יולי!M26+אוגוסט!M26+ספטמבר!M26+אוקטובר!M26+נובמבר!M26+דצמבר!M26</f>
        <v>450000</v>
      </c>
      <c r="M26" s="167" t="n">
        <f aca="false">IFERROR(H26/L26-1,"")</f>
        <v>-0.187655</v>
      </c>
      <c r="N26" s="158" t="n">
        <f aca="false">H26-L26</f>
        <v>-84444.75</v>
      </c>
      <c r="P26" s="166" t="n">
        <v>524147.47</v>
      </c>
      <c r="Q26" s="167" t="n">
        <f aca="false">IFERROR(H26/P26,"-")</f>
        <v>0.69742824476478</v>
      </c>
      <c r="R26" s="166" t="n">
        <f aca="false">H26-P26</f>
        <v>-158592.22</v>
      </c>
      <c r="T26" s="166" t="n">
        <f aca="false">'מצטבר יוני'!H26</f>
        <v>144147.47</v>
      </c>
      <c r="U26" s="166" t="n">
        <v>380000</v>
      </c>
      <c r="V26" s="166" t="n">
        <f aca="false">U26+T26</f>
        <v>524147.47</v>
      </c>
    </row>
    <row r="27" customFormat="false" ht="14.25" hidden="false" customHeight="true" outlineLevel="0" collapsed="false">
      <c r="A27" s="169" t="n">
        <v>26</v>
      </c>
      <c r="B27" s="166" t="s">
        <v>153</v>
      </c>
      <c r="C27" s="166" t="s">
        <v>70</v>
      </c>
      <c r="D27" s="166" t="s">
        <v>71</v>
      </c>
      <c r="E27" s="166" t="s">
        <v>72</v>
      </c>
      <c r="F27" s="158" t="n">
        <f aca="false">ינואר!E27+פברואר!E27+מרץ!E27+אפריל!E27+מאי!E27+יוני!E27+יולי!F27+אוגוסט!F27+ספטמבר!F27+אוקטובר!F27+נובמבר!F27+דצמבר!F27</f>
        <v>162967.91</v>
      </c>
      <c r="G27" s="158" t="n">
        <f aca="false">ינואר!F27+פברואר!F27+מרץ!F27+אפריל!F27+מאי!F27+יוני!F27+יולי!G27+אוגוסט!G27+ספטמבר!G27+אוקטובר!G27+נובמבר!G27+דצמבר!G27</f>
        <v>86855.65</v>
      </c>
      <c r="H27" s="158" t="n">
        <f aca="false">ינואר!G27+פברואר!G27+מרץ!G27+אפריל!G27+מאי!G27+יוני!G27+יולי!H27+אוגוסט!H27+ספטמבר!H27+אוקטובר!H27+נובמבר!H27+דצמבר!H27</f>
        <v>60694.01</v>
      </c>
      <c r="I27" s="167" t="n">
        <f aca="false">IFERROR(H27/G27-1,"")</f>
        <v>-0.301208269122389</v>
      </c>
      <c r="J27" s="158" t="n">
        <f aca="false">H27-G27</f>
        <v>-26161.64</v>
      </c>
      <c r="L27" s="158" t="n">
        <f aca="false">ינואר!J27+פברואר!J27+מרץ!J27+אפריל!J27+מאי!J27+יוני!J27+יולי!M27+אוגוסט!M27+ספטמבר!M27+אוקטובר!M27+נובמבר!M27+דצמבר!M27</f>
        <v>200000</v>
      </c>
      <c r="M27" s="167" t="n">
        <f aca="false">IFERROR(H27/L27-1,"")</f>
        <v>-0.69652995</v>
      </c>
      <c r="N27" s="158" t="n">
        <f aca="false">H27-L27</f>
        <v>-139305.99</v>
      </c>
      <c r="P27" s="166" t="n">
        <v>100694.01</v>
      </c>
      <c r="Q27" s="167" t="n">
        <f aca="false">IFERROR(H27/P27,"-")</f>
        <v>0.602756906791179</v>
      </c>
      <c r="R27" s="166" t="n">
        <f aca="false">H27-P27</f>
        <v>-40000</v>
      </c>
      <c r="T27" s="166" t="n">
        <f aca="false">'מצטבר יוני'!H27</f>
        <v>60694.01</v>
      </c>
      <c r="U27" s="166" t="n">
        <v>40000</v>
      </c>
      <c r="V27" s="166" t="n">
        <f aca="false">U27+T27</f>
        <v>100694.01</v>
      </c>
    </row>
    <row r="28" customFormat="false" ht="13.5" hidden="false" customHeight="true" outlineLevel="0" collapsed="false">
      <c r="A28" s="169" t="n">
        <v>27</v>
      </c>
      <c r="B28" s="166" t="s">
        <v>163</v>
      </c>
      <c r="C28" s="166" t="s">
        <v>73</v>
      </c>
      <c r="D28" s="166" t="s">
        <v>74</v>
      </c>
      <c r="E28" s="166" t="s">
        <v>75</v>
      </c>
      <c r="F28" s="158" t="n">
        <f aca="false">ינואר!E28+פברואר!E28+מרץ!E28+אפריל!E28+מאי!E28+יוני!E28+יולי!F28+אוגוסט!F28+ספטמבר!F28+אוקטובר!F28+נובמבר!F28+דצמבר!F28</f>
        <v>370614.64</v>
      </c>
      <c r="G28" s="158" t="n">
        <f aca="false">ינואר!F28+פברואר!F28+מרץ!F28+אפריל!F28+מאי!F28+יוני!F28+יולי!G28+אוגוסט!G28+ספטמבר!G28+אוקטובר!G28+נובמבר!G28+דצמבר!G28</f>
        <v>256772.1</v>
      </c>
      <c r="H28" s="158" t="n">
        <f aca="false">ינואר!G28+פברואר!G28+מרץ!G28+אפריל!G28+מאי!G28+יוני!G28+יולי!H28+אוגוסט!H28+ספטמבר!H28+אוקטובר!H28+נובמבר!H28+דצמבר!H28</f>
        <v>0</v>
      </c>
      <c r="I28" s="167" t="n">
        <f aca="false">IFERROR(H28/G28-1,"")</f>
        <v>-1</v>
      </c>
      <c r="J28" s="158" t="n">
        <f aca="false">H28-G28</f>
        <v>-256772.1</v>
      </c>
      <c r="L28" s="158" t="n">
        <f aca="false">ינואר!J28+פברואר!J28+מרץ!J28+אפריל!J28+מאי!J28+יוני!J28+יולי!M28+אוגוסט!M28+ספטמבר!M28+אוקטובר!M28+נובמבר!M28+דצמבר!M28</f>
        <v>250000</v>
      </c>
      <c r="M28" s="167" t="n">
        <f aca="false">IFERROR(H28/L28-1,"")</f>
        <v>-1</v>
      </c>
      <c r="N28" s="158" t="n">
        <f aca="false">H28-L28</f>
        <v>-250000</v>
      </c>
      <c r="P28" s="166" t="n">
        <v>250000</v>
      </c>
      <c r="Q28" s="167" t="n">
        <f aca="false">IFERROR(H28/P28,"-")</f>
        <v>0</v>
      </c>
      <c r="R28" s="166" t="n">
        <f aca="false">H28-P28</f>
        <v>-250000</v>
      </c>
      <c r="T28" s="166" t="n">
        <f aca="false">'מצטבר יוני'!H28</f>
        <v>0</v>
      </c>
      <c r="U28" s="166" t="n">
        <v>250000</v>
      </c>
      <c r="V28" s="166" t="n">
        <f aca="false">U28+T28</f>
        <v>250000</v>
      </c>
    </row>
    <row r="29" customFormat="false" ht="13.5" hidden="false" customHeight="true" outlineLevel="0" collapsed="false">
      <c r="A29" s="169" t="n">
        <v>28</v>
      </c>
      <c r="B29" s="166" t="s">
        <v>164</v>
      </c>
      <c r="C29" s="166" t="s">
        <v>76</v>
      </c>
      <c r="D29" s="166" t="s">
        <v>77</v>
      </c>
      <c r="E29" s="166" t="s">
        <v>78</v>
      </c>
      <c r="F29" s="158" t="n">
        <f aca="false">ינואר!E29+פברואר!E29+מרץ!E29+אפריל!E29+מאי!E29+יוני!E29+יולי!F29+אוגוסט!F29+ספטמבר!F29+אוקטובר!F29+נובמבר!F29+דצמבר!F29</f>
        <v>348874.04</v>
      </c>
      <c r="G29" s="158" t="n">
        <f aca="false">ינואר!F29+פברואר!F29+מרץ!F29+אפריל!F29+מאי!F29+יוני!F29+יולי!G29+אוגוסט!G29+ספטמבר!G29+אוקטובר!G29+נובמבר!G29+דצמבר!G29</f>
        <v>405953.63</v>
      </c>
      <c r="H29" s="158" t="n">
        <f aca="false">ינואר!G29+פברואר!G29+מרץ!G29+אפריל!G29+מאי!G29+יוני!G29+יולי!H29+אוגוסט!H29+ספטמבר!H29+אוקטובר!H29+נובמבר!H29+דצמבר!H29</f>
        <v>300835.11</v>
      </c>
      <c r="I29" s="167" t="n">
        <f aca="false">IFERROR(H29/G29-1,"")</f>
        <v>-0.258942185096362</v>
      </c>
      <c r="J29" s="158" t="n">
        <f aca="false">H29-G29</f>
        <v>-105118.52</v>
      </c>
      <c r="L29" s="158" t="n">
        <f aca="false">ינואר!J29+פברואר!J29+מרץ!J29+אפריל!J29+מאי!J29+יוני!J29+יולי!M29+אוגוסט!M29+ספטמבר!M29+אוקטובר!M29+נובמבר!M29+דצמבר!M29</f>
        <v>450000</v>
      </c>
      <c r="M29" s="167" t="n">
        <f aca="false">IFERROR(H29/L29-1,"")</f>
        <v>-0.331477533333333</v>
      </c>
      <c r="N29" s="158" t="n">
        <f aca="false">H29-L29</f>
        <v>-149164.89</v>
      </c>
      <c r="P29" s="166" t="n">
        <v>378207.09</v>
      </c>
      <c r="Q29" s="167" t="n">
        <f aca="false">IFERROR(H29/P29,"-")</f>
        <v>0.795424300480459</v>
      </c>
      <c r="R29" s="166" t="n">
        <f aca="false">H29-P29</f>
        <v>-77371.98</v>
      </c>
      <c r="T29" s="166" t="n">
        <f aca="false">'מצטבר יוני'!H29</f>
        <v>203207.09</v>
      </c>
      <c r="U29" s="166" t="n">
        <v>175000</v>
      </c>
      <c r="V29" s="166" t="n">
        <f aca="false">U29+T29</f>
        <v>378207.09</v>
      </c>
    </row>
    <row r="30" customFormat="false" ht="14.25" hidden="false" customHeight="true" outlineLevel="0" collapsed="false">
      <c r="A30" s="169" t="n">
        <v>29</v>
      </c>
      <c r="B30" s="166" t="s">
        <v>158</v>
      </c>
      <c r="C30" s="166" t="s">
        <v>79</v>
      </c>
      <c r="D30" s="166" t="s">
        <v>80</v>
      </c>
      <c r="E30" s="166" t="s">
        <v>81</v>
      </c>
      <c r="F30" s="158" t="n">
        <f aca="false">ינואר!E30+פברואר!E30+מרץ!E30+אפריל!E30+מאי!E30+יוני!E30+יולי!F30+אוגוסט!F30+ספטמבר!F30+אוקטובר!F30+נובמבר!F30+דצמבר!F30</f>
        <v>107690.85</v>
      </c>
      <c r="G30" s="158" t="n">
        <f aca="false">ינואר!F30+פברואר!F30+מרץ!F30+אפריל!F30+מאי!F30+יוני!F30+יולי!G30+אוגוסט!G30+ספטמבר!G30+אוקטובר!G30+נובמבר!G30+דצמבר!G30</f>
        <v>64554.59</v>
      </c>
      <c r="H30" s="158" t="n">
        <f aca="false">ינואר!G30+פברואר!G30+מרץ!G30+אפריל!G30+מאי!G30+יוני!G30+יולי!H30+אוגוסט!H30+ספטמבר!H30+אוקטובר!H30+נובמבר!H30+דצמבר!H30</f>
        <v>43116.44</v>
      </c>
      <c r="I30" s="167" t="n">
        <f aca="false">IFERROR(H30/G30-1,"")</f>
        <v>-0.332093349210335</v>
      </c>
      <c r="J30" s="158" t="n">
        <f aca="false">H30-G30</f>
        <v>-21438.15</v>
      </c>
      <c r="L30" s="158" t="n">
        <f aca="false">ינואר!J30+פברואר!J30+מרץ!J30+אפריל!J30+מאי!J30+יוני!J30+יולי!M30+אוגוסט!M30+ספטמבר!M30+אוקטובר!M30+נובמבר!M30+דצמבר!M30</f>
        <v>70000</v>
      </c>
      <c r="M30" s="167" t="n">
        <f aca="false">IFERROR(H30/L30-1,"")</f>
        <v>-0.384050857142857</v>
      </c>
      <c r="N30" s="158" t="n">
        <f aca="false">H30-L30</f>
        <v>-26883.56</v>
      </c>
      <c r="P30" s="166" t="n">
        <v>73116.44</v>
      </c>
      <c r="Q30" s="167" t="n">
        <f aca="false">IFERROR(H30/P30,"-")</f>
        <v>0.589695559575931</v>
      </c>
      <c r="R30" s="166" t="n">
        <f aca="false">H30-P30</f>
        <v>-30000</v>
      </c>
      <c r="T30" s="166" t="n">
        <f aca="false">'מצטבר יוני'!H30</f>
        <v>43116.44</v>
      </c>
      <c r="U30" s="166" t="n">
        <v>30000</v>
      </c>
      <c r="V30" s="166" t="n">
        <f aca="false">U30+T30</f>
        <v>73116.44</v>
      </c>
    </row>
    <row r="31" customFormat="false" ht="14.25" hidden="false" customHeight="true" outlineLevel="0" collapsed="false">
      <c r="A31" s="169" t="n">
        <v>30</v>
      </c>
      <c r="B31" s="166" t="s">
        <v>152</v>
      </c>
      <c r="C31" s="166" t="s">
        <v>82</v>
      </c>
      <c r="D31" s="166" t="s">
        <v>83</v>
      </c>
      <c r="E31" s="166" t="s">
        <v>81</v>
      </c>
      <c r="F31" s="158" t="n">
        <f aca="false">ינואר!E31+פברואר!E31+מרץ!E31+אפריל!E31+מאי!E31+יוני!E31+יולי!F31+אוגוסט!F31+ספטמבר!F31+אוקטובר!F31+נובמבר!F31+דצמבר!F31</f>
        <v>41028.36</v>
      </c>
      <c r="G31" s="158" t="n">
        <f aca="false">ינואר!F31+פברואר!F31+מרץ!F31+אפריל!F31+מאי!F31+יוני!F31+יולי!G31+אוגוסט!G31+ספטמבר!G31+אוקטובר!G31+נובמבר!G31+דצמבר!G31</f>
        <v>60908.2</v>
      </c>
      <c r="H31" s="158" t="n">
        <f aca="false">ינואר!G31+פברואר!G31+מרץ!G31+אפריל!G31+מאי!G31+יוני!G31+יולי!H31+אוגוסט!H31+ספטמבר!H31+אוקטובר!H31+נובמבר!H31+דצמבר!H31</f>
        <v>39400.13</v>
      </c>
      <c r="I31" s="167" t="n">
        <f aca="false">IFERROR(H31/G31-1,"")</f>
        <v>-0.353122732242949</v>
      </c>
      <c r="J31" s="158" t="n">
        <f aca="false">H31-G31</f>
        <v>-21508.07</v>
      </c>
      <c r="L31" s="158" t="n">
        <f aca="false">ינואר!J31+פברואר!J31+מרץ!J31+אפריל!J31+מאי!J31+יוני!J31+יולי!M31+אוגוסט!M31+ספטמבר!M31+אוקטובר!M31+נובמבר!M31+דצמבר!M31</f>
        <v>59793</v>
      </c>
      <c r="M31" s="167" t="n">
        <f aca="false">IFERROR(H31/L31-1,"")</f>
        <v>-0.341057816132323</v>
      </c>
      <c r="N31" s="158" t="n">
        <f aca="false">H31-L31</f>
        <v>-20392.87</v>
      </c>
      <c r="P31" s="166" t="n">
        <v>42809.5</v>
      </c>
      <c r="Q31" s="167" t="n">
        <f aca="false">IFERROR(H31/P31,"-")</f>
        <v>0.920359499643771</v>
      </c>
      <c r="R31" s="166" t="n">
        <f aca="false">H31-P31</f>
        <v>-3409.37</v>
      </c>
      <c r="T31" s="166" t="n">
        <f aca="false">'מצטבר יוני'!H31</f>
        <v>17809.5</v>
      </c>
      <c r="U31" s="166" t="n">
        <v>25000</v>
      </c>
      <c r="V31" s="166" t="n">
        <f aca="false">U31+T31</f>
        <v>42809.5</v>
      </c>
    </row>
    <row r="32" customFormat="false" ht="13.5" hidden="false" customHeight="true" outlineLevel="0" collapsed="false">
      <c r="A32" s="169" t="n">
        <v>31</v>
      </c>
      <c r="B32" s="166" t="s">
        <v>84</v>
      </c>
      <c r="C32" s="166" t="s">
        <v>84</v>
      </c>
      <c r="D32" s="166" t="s">
        <v>85</v>
      </c>
      <c r="E32" s="166" t="s">
        <v>86</v>
      </c>
      <c r="F32" s="158" t="n">
        <f aca="false">ינואר!E32+פברואר!E32+מרץ!E32+אפריל!E32+מאי!E32+יוני!E32+יולי!F32+אוגוסט!F32+ספטמבר!F32+אוקטובר!F32+נובמבר!F32+דצמבר!F32</f>
        <v>31722.98</v>
      </c>
      <c r="G32" s="158" t="n">
        <f aca="false">ינואר!F32+פברואר!F32+מרץ!F32+אפריל!F32+מאי!F32+יוני!F32+יולי!G32+אוגוסט!G32+ספטמבר!G32+אוקטובר!G32+נובמבר!G32+דצמבר!G32</f>
        <v>81786.57</v>
      </c>
      <c r="H32" s="158" t="n">
        <f aca="false">ינואר!G32+פברואר!G32+מרץ!G32+אפריל!G32+מאי!G32+יוני!G32+יולי!H32+אוגוסט!H32+ספטמבר!H32+אוקטובר!H32+נובמבר!H32+דצמבר!H32</f>
        <v>10037.15</v>
      </c>
      <c r="I32" s="167" t="n">
        <f aca="false">IFERROR(H32/G32-1,"")</f>
        <v>-0.877276305877603</v>
      </c>
      <c r="J32" s="158" t="n">
        <f aca="false">H32-G32</f>
        <v>-71749.42</v>
      </c>
      <c r="L32" s="158" t="n">
        <f aca="false">ינואר!J32+פברואר!J32+מרץ!J32+אפריל!J32+מאי!J32+יוני!J32+יולי!M32+אוגוסט!M32+ספטמבר!M32+אוקטובר!M32+נובמבר!M32+דצמבר!M32</f>
        <v>85000</v>
      </c>
      <c r="M32" s="167" t="n">
        <f aca="false">IFERROR(H32/L32-1,"")</f>
        <v>-0.881915882352941</v>
      </c>
      <c r="N32" s="158" t="n">
        <f aca="false">H32-L32</f>
        <v>-74962.85</v>
      </c>
      <c r="P32" s="166" t="n">
        <v>17500</v>
      </c>
      <c r="Q32" s="167" t="n">
        <f aca="false">IFERROR(H32/P32,"-")</f>
        <v>0.573551428571429</v>
      </c>
      <c r="R32" s="166" t="n">
        <f aca="false">H32-P32</f>
        <v>-7462.85</v>
      </c>
      <c r="T32" s="166" t="n">
        <f aca="false">'מצטבר יוני'!H32</f>
        <v>0</v>
      </c>
      <c r="U32" s="166" t="n">
        <v>17500</v>
      </c>
      <c r="V32" s="166" t="n">
        <f aca="false">U32+T32</f>
        <v>17500</v>
      </c>
    </row>
    <row r="33" customFormat="false" ht="13.5" hidden="false" customHeight="true" outlineLevel="0" collapsed="false">
      <c r="A33" s="169"/>
      <c r="B33" s="166"/>
      <c r="C33" s="166"/>
      <c r="D33" s="166" t="s">
        <v>171</v>
      </c>
      <c r="E33" s="166" t="s">
        <v>172</v>
      </c>
      <c r="F33" s="158" t="n">
        <f aca="false">ינואר!E33+פברואר!E33+מרץ!E33+אפריל!E33+מאי!E33+יוני!E33+יולי!F33+אוגוסט!F33+ספטמבר!F33+אוקטובר!F33+נובמבר!F33+דצמבר!F33</f>
        <v>0</v>
      </c>
      <c r="G33" s="158" t="n">
        <f aca="false">ינואר!F33+פברואר!F33+מרץ!F33+אפריל!F33+מאי!F33+יוני!F33+יולי!G33+אוגוסט!G33+ספטמבר!G33+אוקטובר!G33+נובמבר!G33+דצמבר!G33</f>
        <v>0</v>
      </c>
      <c r="H33" s="158" t="n">
        <f aca="false">ינואר!G33+פברואר!G33+מרץ!G33+אפריל!G33+מאי!G33+יוני!G33+יולי!H33+אוגוסט!H33+ספטמבר!H33+אוקטובר!H33+נובמבר!H33+דצמבר!H33</f>
        <v>0</v>
      </c>
      <c r="I33" s="167" t="str">
        <f aca="false">IFERROR(H33/G33-1,"")</f>
        <v/>
      </c>
      <c r="J33" s="158" t="n">
        <f aca="false">H33-G33</f>
        <v>0</v>
      </c>
      <c r="L33" s="158" t="n">
        <f aca="false">ינואר!J33+פברואר!J33+מרץ!J33+אפריל!J33+מאי!J33+יוני!J33+יולי!M33+אוגוסט!M33+ספטמבר!M33+אוקטובר!M33+נובמבר!M33+דצמבר!M33</f>
        <v>0</v>
      </c>
      <c r="M33" s="167" t="str">
        <f aca="false">IFERROR(H33/L33-1,"")</f>
        <v/>
      </c>
      <c r="N33" s="158" t="n">
        <f aca="false">H33-L33</f>
        <v>0</v>
      </c>
      <c r="P33" s="166" t="n">
        <v>0</v>
      </c>
      <c r="Q33" s="167" t="str">
        <f aca="false">IFERROR(H33/P33,"-")</f>
        <v>-</v>
      </c>
      <c r="R33" s="166" t="n">
        <f aca="false">H33-P33</f>
        <v>0</v>
      </c>
      <c r="T33" s="166" t="n">
        <f aca="false">'מצטבר יוני'!H33</f>
        <v>0</v>
      </c>
      <c r="U33" s="166" t="n">
        <v>0</v>
      </c>
      <c r="V33" s="166" t="n">
        <f aca="false">U33+T33</f>
        <v>0</v>
      </c>
    </row>
    <row r="34" customFormat="false" ht="13.5" hidden="false" customHeight="true" outlineLevel="0" collapsed="false">
      <c r="A34" s="169" t="n">
        <v>32</v>
      </c>
      <c r="B34" s="166" t="s">
        <v>161</v>
      </c>
      <c r="C34" s="166" t="s">
        <v>87</v>
      </c>
      <c r="D34" s="166" t="s">
        <v>88</v>
      </c>
      <c r="E34" s="166" t="s">
        <v>89</v>
      </c>
      <c r="F34" s="158" t="n">
        <f aca="false">ינואר!E34+פברואר!E34+מרץ!E34+אפריל!E34+מאי!E34+יוני!E34+יולי!F34+אוגוסט!F34+ספטמבר!F34+אוקטובר!F34+נובמבר!F34+דצמבר!F34</f>
        <v>35826.78</v>
      </c>
      <c r="G34" s="158" t="n">
        <f aca="false">ינואר!F34+פברואר!F34+מרץ!F34+אפריל!F34+מאי!F34+יוני!F34+יולי!G34+אוגוסט!G34+ספטמבר!G34+אוקטובר!G34+נובמבר!G34+דצמבר!G34</f>
        <v>39713.57</v>
      </c>
      <c r="H34" s="158" t="n">
        <f aca="false">ינואר!G34+פברואר!G34+מרץ!G34+אפריל!G34+מאי!G34+יוני!G34+יולי!H34+אוגוסט!H34+ספטמבר!H34+אוקטובר!H34+נובמבר!H34+דצמבר!H34</f>
        <v>37142.71</v>
      </c>
      <c r="I34" s="167" t="n">
        <f aca="false">IFERROR(H34/G34-1,"")</f>
        <v>-0.0647350515201731</v>
      </c>
      <c r="J34" s="158" t="n">
        <f aca="false">H34-G34</f>
        <v>-2570.86</v>
      </c>
      <c r="L34" s="158" t="n">
        <f aca="false">ינואר!J34+פברואר!J34+מרץ!J34+אפריל!J34+מאי!J34+יוני!J34+יולי!M34+אוגוסט!M34+ספטמבר!M34+אוקטובר!M34+נובמבר!M34+דצמבר!M34</f>
        <v>40000</v>
      </c>
      <c r="M34" s="167" t="n">
        <f aca="false">IFERROR(H34/L34-1,"")</f>
        <v>-0.07143225</v>
      </c>
      <c r="N34" s="158" t="n">
        <f aca="false">H34-L34</f>
        <v>-2857.29</v>
      </c>
      <c r="P34" s="166" t="n">
        <v>38792.66</v>
      </c>
      <c r="Q34" s="167" t="n">
        <f aca="false">IFERROR(H34/P34,"-")</f>
        <v>0.957467469361472</v>
      </c>
      <c r="R34" s="166" t="n">
        <f aca="false">H34-P34</f>
        <v>-1649.95</v>
      </c>
      <c r="T34" s="166" t="n">
        <f aca="false">'מצטבר יוני'!H34</f>
        <v>18792.66</v>
      </c>
      <c r="U34" s="166" t="n">
        <v>20000</v>
      </c>
      <c r="V34" s="166" t="n">
        <f aca="false">U34+T34</f>
        <v>38792.66</v>
      </c>
    </row>
    <row r="35" customFormat="false" ht="13.5" hidden="false" customHeight="true" outlineLevel="0" collapsed="false">
      <c r="A35" s="169" t="n">
        <v>33</v>
      </c>
      <c r="B35" s="166" t="s">
        <v>160</v>
      </c>
      <c r="C35" s="166" t="s">
        <v>90</v>
      </c>
      <c r="D35" s="166" t="s">
        <v>91</v>
      </c>
      <c r="E35" s="166" t="s">
        <v>92</v>
      </c>
      <c r="F35" s="158" t="n">
        <f aca="false">ינואר!E35+פברואר!E35+מרץ!E35+אפריל!E35+מאי!E35+יוני!E35+יולי!F35+אוגוסט!F35+ספטמבר!F35+אוקטובר!F35+נובמבר!F35+דצמבר!F35</f>
        <v>59175.03</v>
      </c>
      <c r="G35" s="158" t="n">
        <f aca="false">ינואר!F35+פברואר!F35+מרץ!F35+אפריל!F35+מאי!F35+יוני!F35+יולי!G35+אוגוסט!G35+ספטמבר!G35+אוקטובר!G35+נובמבר!G35+דצמבר!G35</f>
        <v>53863.18</v>
      </c>
      <c r="H35" s="158" t="n">
        <f aca="false">ינואר!G35+פברואר!G35+מרץ!G35+אפריל!G35+מאי!G35+יוני!G35+יולי!H35+אוגוסט!H35+ספטמבר!H35+אוקטובר!H35+נובמבר!H35+דצמבר!H35</f>
        <v>26105.72</v>
      </c>
      <c r="I35" s="167" t="n">
        <f aca="false">IFERROR(H35/G35-1,"")</f>
        <v>-0.515332737502687</v>
      </c>
      <c r="J35" s="158" t="n">
        <f aca="false">H35-G35</f>
        <v>-27757.46</v>
      </c>
      <c r="L35" s="158" t="n">
        <f aca="false">ינואר!J35+פברואר!J35+מרץ!J35+אפריל!J35+מאי!J35+יוני!J35+יולי!M35+אוגוסט!M35+ספטמבר!M35+אוקטובר!M35+נובמבר!M35+דצמבר!M35</f>
        <v>80000</v>
      </c>
      <c r="M35" s="167" t="n">
        <f aca="false">IFERROR(H35/L35-1,"")</f>
        <v>-0.6736785</v>
      </c>
      <c r="N35" s="158" t="n">
        <f aca="false">H35-L35</f>
        <v>-53894.28</v>
      </c>
      <c r="P35" s="166" t="n">
        <v>25000</v>
      </c>
      <c r="Q35" s="167" t="n">
        <f aca="false">IFERROR(H35/P35,"-")</f>
        <v>1.0442288</v>
      </c>
      <c r="R35" s="166" t="n">
        <f aca="false">H35-P35</f>
        <v>1105.72</v>
      </c>
      <c r="T35" s="166" t="n">
        <f aca="false">'מצטבר יוני'!H35</f>
        <v>0</v>
      </c>
      <c r="U35" s="166" t="n">
        <v>25000</v>
      </c>
      <c r="V35" s="166" t="n">
        <f aca="false">U35+T35</f>
        <v>25000</v>
      </c>
    </row>
    <row r="36" customFormat="false" ht="14.25" hidden="false" customHeight="true" outlineLevel="0" collapsed="false">
      <c r="A36" s="169"/>
      <c r="B36" s="166" t="s">
        <v>166</v>
      </c>
      <c r="C36" s="166" t="s">
        <v>166</v>
      </c>
      <c r="D36" s="166" t="s">
        <v>173</v>
      </c>
      <c r="E36" s="166" t="s">
        <v>78</v>
      </c>
      <c r="F36" s="158" t="n">
        <f aca="false">ינואר!E36+פברואר!E36+מרץ!E36+אפריל!E36+מאי!E36+יוני!E36+יולי!F36+אוגוסט!F36+ספטמבר!F36+אוקטובר!F36+נובמבר!F36+דצמבר!F36</f>
        <v>41531.96</v>
      </c>
      <c r="G36" s="158" t="n">
        <f aca="false">ינואר!F36+פברואר!F36+מרץ!F36+אפריל!F36+מאי!F36+יוני!F36+יולי!G36+אוגוסט!G36+ספטמבר!G36+אוקטובר!G36+נובמבר!G36+דצמבר!G36</f>
        <v>0</v>
      </c>
      <c r="H36" s="158" t="n">
        <f aca="false">ינואר!G36+פברואר!G36+מרץ!G36+אפריל!G36+מאי!G36+יוני!G36+יולי!H36+אוגוסט!H36+ספטמבר!H36+אוקטובר!H36+נובמבר!H36+דצמבר!H36</f>
        <v>0</v>
      </c>
      <c r="I36" s="167" t="str">
        <f aca="false">IFERROR(H36/G36-1,"")</f>
        <v/>
      </c>
      <c r="J36" s="158" t="n">
        <f aca="false">H36-G36</f>
        <v>0</v>
      </c>
      <c r="L36" s="158" t="n">
        <f aca="false">ינואר!J36+פברואר!J36+מרץ!J36+אפריל!J36+מאי!J36+יוני!J36+יולי!M36+אוגוסט!M36+ספטמבר!M36+אוקטובר!M36+נובמבר!M36+דצמבר!M36</f>
        <v>0</v>
      </c>
      <c r="M36" s="167" t="str">
        <f aca="false">IFERROR(H36/L36-1,"")</f>
        <v/>
      </c>
      <c r="N36" s="158" t="n">
        <f aca="false">H36-L36</f>
        <v>0</v>
      </c>
      <c r="P36" s="166" t="n">
        <v>0</v>
      </c>
      <c r="Q36" s="167" t="str">
        <f aca="false">IFERROR(H36/P36,"-")</f>
        <v>-</v>
      </c>
      <c r="R36" s="166" t="n">
        <f aca="false">H36-P36</f>
        <v>0</v>
      </c>
      <c r="T36" s="166" t="n">
        <f aca="false">'מצטבר יוני'!H36</f>
        <v>0</v>
      </c>
      <c r="U36" s="166" t="n">
        <v>0</v>
      </c>
      <c r="V36" s="166" t="n">
        <f aca="false">U36+T36</f>
        <v>0</v>
      </c>
    </row>
    <row r="37" customFormat="false" ht="14.25" hidden="false" customHeight="true" outlineLevel="0" collapsed="false">
      <c r="A37" s="169" t="n">
        <v>34</v>
      </c>
      <c r="B37" s="166" t="s">
        <v>165</v>
      </c>
      <c r="C37" s="166" t="s">
        <v>165</v>
      </c>
      <c r="D37" s="166" t="s">
        <v>93</v>
      </c>
      <c r="E37" s="166" t="s">
        <v>174</v>
      </c>
      <c r="F37" s="158" t="n">
        <f aca="false">ינואר!E37+פברואר!E37+מרץ!E37+אפריל!E37+מאי!E37+יוני!E37+יולי!F37+אוגוסט!F37+ספטמבר!F37+אוקטובר!F37+נובמבר!F37+דצמבר!F37</f>
        <v>22310.96</v>
      </c>
      <c r="G37" s="158" t="n">
        <f aca="false">ינואר!F37+פברואר!F37+מרץ!F37+אפריל!F37+מאי!F37+יוני!F37+יולי!G37+אוגוסט!G37+ספטמבר!G37+אוקטובר!G37+נובמבר!G37+דצמבר!G37</f>
        <v>0</v>
      </c>
      <c r="H37" s="158" t="n">
        <f aca="false">ינואר!G37+פברואר!G37+מרץ!G37+אפריל!G37+מאי!G37+יוני!G37+יולי!H37+אוגוסט!H37+ספטמבר!H37+אוקטובר!H37+נובמבר!H37+דצמבר!H37</f>
        <v>0</v>
      </c>
      <c r="I37" s="167" t="str">
        <f aca="false">IFERROR(H37/G37-1,"")</f>
        <v/>
      </c>
      <c r="J37" s="158" t="n">
        <f aca="false">H37-G37</f>
        <v>0</v>
      </c>
      <c r="L37" s="158" t="n">
        <f aca="false">ינואר!J37+פברואר!J37+מרץ!J37+אפריל!J37+מאי!J37+יוני!J37+יולי!M37+אוגוסט!M37+ספטמבר!M37+אוקטובר!M37+נובמבר!M37+דצמבר!M37</f>
        <v>0</v>
      </c>
      <c r="M37" s="167" t="str">
        <f aca="false">IFERROR(H37/L37-1,"")</f>
        <v/>
      </c>
      <c r="N37" s="158" t="n">
        <f aca="false">H37-L37</f>
        <v>0</v>
      </c>
      <c r="P37" s="166" t="n">
        <v>0</v>
      </c>
      <c r="Q37" s="167" t="str">
        <f aca="false">IFERROR(H37/P37,"-")</f>
        <v>-</v>
      </c>
      <c r="R37" s="166" t="n">
        <f aca="false">H37-P37</f>
        <v>0</v>
      </c>
      <c r="T37" s="166" t="n">
        <f aca="false">'מצטבר יוני'!H37</f>
        <v>0</v>
      </c>
      <c r="U37" s="166" t="n">
        <v>0</v>
      </c>
      <c r="V37" s="166" t="n">
        <f aca="false">U37+T37</f>
        <v>0</v>
      </c>
    </row>
    <row r="38" customFormat="false" ht="13.5" hidden="false" customHeight="true" outlineLevel="0" collapsed="false">
      <c r="A38" s="169" t="n">
        <v>35</v>
      </c>
      <c r="B38" s="166" t="s">
        <v>94</v>
      </c>
      <c r="C38" s="166" t="s">
        <v>94</v>
      </c>
      <c r="D38" s="166" t="s">
        <v>95</v>
      </c>
      <c r="E38" s="166" t="s">
        <v>51</v>
      </c>
      <c r="F38" s="158" t="n">
        <f aca="false">ינואר!E38+פברואר!E38+מרץ!E38+אפריל!E38+מאי!E38+יוני!E38+יולי!F38+אוגוסט!F38+ספטמבר!F38+אוקטובר!F38+נובמבר!F38+דצמבר!F38</f>
        <v>161574.82</v>
      </c>
      <c r="G38" s="158" t="n">
        <f aca="false">ינואר!F38+פברואר!F38+מרץ!F38+אפריל!F38+מאי!F38+יוני!F38+יולי!G38+אוגוסט!G38+ספטמבר!G38+אוקטובר!G38+נובמבר!G38+דצמבר!G38</f>
        <v>248.59</v>
      </c>
      <c r="H38" s="158" t="n">
        <f aca="false">ינואר!G38+פברואר!G38+מרץ!G38+אפריל!G38+מאי!G38+יוני!G38+יולי!H38+אוגוסט!H38+ספטמבר!H38+אוקטובר!H38+נובמבר!H38+דצמבר!H38</f>
        <v>0</v>
      </c>
      <c r="I38" s="167" t="n">
        <f aca="false">IFERROR(H38/G38-1,"")</f>
        <v>-1</v>
      </c>
      <c r="J38" s="158" t="n">
        <f aca="false">H38-G38</f>
        <v>-248.59</v>
      </c>
      <c r="L38" s="158" t="n">
        <f aca="false">ינואר!J38+פברואר!J38+מרץ!J38+אפריל!J38+מאי!J38+יוני!J38+יולי!M38+אוגוסט!M38+ספטמבר!M38+אוקטובר!M38+נובמבר!M38+דצמבר!M38</f>
        <v>600000</v>
      </c>
      <c r="M38" s="167" t="n">
        <f aca="false">IFERROR(H38/L38-1,"")</f>
        <v>-1</v>
      </c>
      <c r="N38" s="158" t="n">
        <f aca="false">H38-L38</f>
        <v>-600000</v>
      </c>
      <c r="P38" s="166" t="n">
        <v>0</v>
      </c>
      <c r="Q38" s="167" t="str">
        <f aca="false">IFERROR(H38/P38,"-")</f>
        <v>-</v>
      </c>
      <c r="R38" s="166" t="n">
        <f aca="false">H38-P38</f>
        <v>0</v>
      </c>
      <c r="T38" s="166" t="n">
        <f aca="false">'מצטבר יוני'!H38</f>
        <v>0</v>
      </c>
      <c r="U38" s="166" t="n">
        <v>0</v>
      </c>
      <c r="V38" s="166" t="n">
        <f aca="false">U38+T38</f>
        <v>0</v>
      </c>
    </row>
    <row r="39" customFormat="false" ht="13.5" hidden="false" customHeight="true" outlineLevel="0" collapsed="false">
      <c r="A39" s="169" t="n">
        <v>36</v>
      </c>
      <c r="B39" s="166"/>
      <c r="C39" s="166" t="s">
        <v>97</v>
      </c>
      <c r="D39" s="166" t="s">
        <v>97</v>
      </c>
      <c r="E39" s="166"/>
      <c r="F39" s="158" t="n">
        <f aca="false">ינואר!E39+פברואר!E39+מרץ!E39+אפריל!E39+מאי!E39+יוני!E39+יולי!F39+אוגוסט!F39+ספטמבר!F39+אוקטובר!F39+נובמבר!F39+דצמבר!F39</f>
        <v>0</v>
      </c>
      <c r="G39" s="158" t="n">
        <f aca="false">ינואר!F39+פברואר!F39+מרץ!F39+אפריל!F39+מאי!F39+יוני!F39+יולי!G39+אוגוסט!G39+ספטמבר!G39+אוקטובר!G39+נובמבר!G39+דצמבר!G39</f>
        <v>0</v>
      </c>
      <c r="H39" s="158" t="n">
        <f aca="false">ינואר!G39+פברואר!G39+מרץ!G39+אפריל!G39+מאי!G39+יוני!G39+יולי!H39+אוגוסט!H39+ספטמבר!H39+אוקטובר!H39+נובמבר!H39+דצמבר!H39</f>
        <v>0</v>
      </c>
      <c r="I39" s="167" t="str">
        <f aca="false">IFERROR(H39/G39-1,"")</f>
        <v/>
      </c>
      <c r="J39" s="158" t="n">
        <f aca="false">H39-G39</f>
        <v>0</v>
      </c>
      <c r="L39" s="158" t="n">
        <f aca="false">ינואר!J39+פברואר!J39+מרץ!J39+אפריל!J39+מאי!J39+יוני!J39+יולי!M39+אוגוסט!M39+ספטמבר!M39+אוקטובר!M39+נובמבר!M39+דצמבר!M39</f>
        <v>400000</v>
      </c>
      <c r="M39" s="167" t="n">
        <f aca="false">IFERROR(H39/L39-1,"")</f>
        <v>-1</v>
      </c>
      <c r="N39" s="158" t="n">
        <f aca="false">H39-L39</f>
        <v>-400000</v>
      </c>
      <c r="P39" s="166" t="n">
        <v>100000</v>
      </c>
      <c r="Q39" s="167" t="n">
        <f aca="false">IFERROR(H39/P39,"-")</f>
        <v>0</v>
      </c>
      <c r="R39" s="166" t="n">
        <f aca="false">H39-P39</f>
        <v>-100000</v>
      </c>
      <c r="T39" s="166" t="n">
        <f aca="false">'מצטבר יוני'!H39</f>
        <v>0</v>
      </c>
      <c r="U39" s="166" t="n">
        <v>100000</v>
      </c>
      <c r="V39" s="166" t="n">
        <f aca="false">U39+T39</f>
        <v>100000</v>
      </c>
    </row>
    <row r="40" customFormat="false" ht="15" hidden="false" customHeight="true" outlineLevel="0" collapsed="false">
      <c r="A40" s="169"/>
      <c r="B40" s="173"/>
      <c r="C40" s="173" t="s">
        <v>98</v>
      </c>
      <c r="D40" s="173" t="s">
        <v>98</v>
      </c>
      <c r="E40" s="173"/>
      <c r="F40" s="173" t="n">
        <f aca="false">SUM(F20:F39)</f>
        <v>7648509.62</v>
      </c>
      <c r="G40" s="173" t="n">
        <f aca="false">SUM(G20:G39)</f>
        <v>5973375.8</v>
      </c>
      <c r="H40" s="173" t="n">
        <f aca="false">SUM(H20:H39)</f>
        <v>4050561.83</v>
      </c>
      <c r="I40" s="174" t="n">
        <f aca="false">IFERROR(H40/G40-1,"")</f>
        <v>-0.321897371667123</v>
      </c>
      <c r="J40" s="173" t="n">
        <f aca="false">SUM(J20:J39)</f>
        <v>-1922813.97</v>
      </c>
      <c r="L40" s="173" t="n">
        <f aca="false">SUM(L20:L39)</f>
        <v>9781372.5132875</v>
      </c>
      <c r="M40" s="174" t="n">
        <f aca="false">IFERROR(H40/L40-1,"")</f>
        <v>-0.585890239381282</v>
      </c>
      <c r="N40" s="173" t="n">
        <f aca="false">SUM(N20:N39)</f>
        <v>-5730810.6832875</v>
      </c>
      <c r="P40" s="173" t="n">
        <f aca="false">SUM(P20:P39)</f>
        <v>6772380.94</v>
      </c>
      <c r="Q40" s="174" t="n">
        <f aca="false">IFERROR(H40/P40,"-")</f>
        <v>0.598100116618662</v>
      </c>
      <c r="R40" s="173" t="n">
        <f aca="false">SUM(R20:R39)</f>
        <v>-2721819.11</v>
      </c>
      <c r="T40" s="173" t="n">
        <f aca="false">SUM(T20:T39)</f>
        <v>2801213.84</v>
      </c>
      <c r="U40" s="173" t="n">
        <f aca="false">SUM(U20:U39)</f>
        <v>3971167.1</v>
      </c>
      <c r="V40" s="173" t="n">
        <f aca="false">SUM(V20:V39)</f>
        <v>6772380.94</v>
      </c>
    </row>
    <row r="41" customFormat="false" ht="15" hidden="false" customHeight="true" outlineLevel="0" collapsed="false">
      <c r="A41" s="169"/>
      <c r="B41" s="175"/>
      <c r="C41" s="175" t="s">
        <v>175</v>
      </c>
      <c r="D41" s="175" t="s">
        <v>175</v>
      </c>
      <c r="E41" s="175"/>
      <c r="F41" s="175" t="n">
        <f aca="false">F40+F19</f>
        <v>25012791.934</v>
      </c>
      <c r="G41" s="175" t="n">
        <f aca="false">G40+G19</f>
        <v>24119651.232</v>
      </c>
      <c r="H41" s="175" t="n">
        <f aca="false">H40+H19</f>
        <v>19243216.601</v>
      </c>
      <c r="I41" s="147" t="n">
        <f aca="false">IFERROR(H41/G41-1,"")</f>
        <v>-0.20217683017449</v>
      </c>
      <c r="J41" s="175" t="n">
        <f aca="false">J40+J19</f>
        <v>-4876434.63100001</v>
      </c>
      <c r="L41" s="175" t="n">
        <f aca="false">L40+L19</f>
        <v>41241479.2126095</v>
      </c>
      <c r="M41" s="147" t="n">
        <f aca="false">IFERROR(H41/L41-1,"")</f>
        <v>-0.533401396642523</v>
      </c>
      <c r="N41" s="175" t="n">
        <f aca="false">N40+N19</f>
        <v>-21998262.6116095</v>
      </c>
      <c r="P41" s="175" t="n">
        <f aca="false">P40+P19</f>
        <v>31924454.0205594</v>
      </c>
      <c r="Q41" s="147" t="n">
        <f aca="false">IFERROR(H41/P41,"-")</f>
        <v>0.602773553734307</v>
      </c>
      <c r="R41" s="175" t="n">
        <f aca="false">R40+R19</f>
        <v>-12681237.4195593</v>
      </c>
      <c r="T41" s="175" t="n">
        <f aca="false">T40+T19</f>
        <v>12671808.107</v>
      </c>
      <c r="U41" s="175" t="n">
        <f aca="false">U40+U19</f>
        <v>19252645.9135593</v>
      </c>
      <c r="V41" s="175" t="n">
        <f aca="false">V40+V19</f>
        <v>31924454.0205594</v>
      </c>
      <c r="W41" s="246"/>
    </row>
    <row r="42" customFormat="false" ht="15" hidden="false" customHeight="true" outlineLevel="0" collapsed="false">
      <c r="B42" s="176"/>
      <c r="C42" s="176" t="s">
        <v>121</v>
      </c>
      <c r="D42" s="176" t="s">
        <v>121</v>
      </c>
      <c r="E42" s="176"/>
      <c r="F42" s="177" t="n">
        <f aca="false">F40/F41</f>
        <v>0.305783922090015</v>
      </c>
      <c r="G42" s="177" t="n">
        <f aca="false">G40/G41</f>
        <v>0.247655977383081</v>
      </c>
      <c r="H42" s="177" t="n">
        <f aca="false">H40/H41</f>
        <v>0.2104929707952</v>
      </c>
      <c r="I42" s="177" t="n">
        <f aca="false">IFERROR(H42/G42-1,"")</f>
        <v>-0.150058993045811</v>
      </c>
      <c r="J42" s="177"/>
      <c r="L42" s="177" t="n">
        <f aca="false">L40/L41</f>
        <v>0.237173173708494</v>
      </c>
      <c r="M42" s="177" t="n">
        <f aca="false">IFERROR(H42/L42-1,"")</f>
        <v>-0.112492498608156</v>
      </c>
      <c r="N42" s="177"/>
      <c r="P42" s="242"/>
      <c r="Q42" s="177" t="str">
        <f aca="false">IFERROR(H42/P42,"-")</f>
        <v>-</v>
      </c>
      <c r="R42" s="242"/>
    </row>
    <row r="44" customFormat="false" ht="15" hidden="false" customHeight="true" outlineLevel="0" collapsed="false">
      <c r="D44" s="162"/>
      <c r="E44" s="5"/>
      <c r="F44" s="163" t="s">
        <v>247</v>
      </c>
      <c r="G44" s="163" t="s">
        <v>248</v>
      </c>
      <c r="H44" s="163" t="s">
        <v>249</v>
      </c>
      <c r="I44" s="164" t="s">
        <v>168</v>
      </c>
      <c r="J44" s="163" t="s">
        <v>169</v>
      </c>
      <c r="L44" s="163" t="s">
        <v>170</v>
      </c>
      <c r="M44" s="164" t="s">
        <v>114</v>
      </c>
      <c r="N44" s="163" t="s">
        <v>115</v>
      </c>
      <c r="P44" s="186" t="s">
        <v>1</v>
      </c>
      <c r="Q44" s="164" t="s">
        <v>212</v>
      </c>
      <c r="R44" s="162" t="s">
        <v>215</v>
      </c>
    </row>
    <row r="45" customFormat="false" ht="15" hidden="false" customHeight="true" outlineLevel="0" collapsed="false">
      <c r="D45" s="171" t="s">
        <v>252</v>
      </c>
      <c r="E45" s="5"/>
      <c r="F45" s="247" t="n">
        <f aca="false">F16</f>
        <v>16644964.924</v>
      </c>
      <c r="G45" s="247" t="n">
        <f aca="false">G16</f>
        <v>16462691.402</v>
      </c>
      <c r="H45" s="247" t="n">
        <f aca="false">H16</f>
        <v>11811070.981</v>
      </c>
      <c r="I45" s="248" t="n">
        <f aca="false">IFERROR(H45/G45-1,"")</f>
        <v>-0.282555282572746</v>
      </c>
      <c r="J45" s="249" t="n">
        <f aca="false">H45-G45</f>
        <v>-4651620.42100004</v>
      </c>
      <c r="L45" s="31" t="n">
        <f aca="false">L16</f>
        <v>20641000</v>
      </c>
      <c r="M45" s="250" t="n">
        <f aca="false">H45/L45</f>
        <v>0.572214087544208</v>
      </c>
      <c r="N45" s="31" t="n">
        <f aca="false">H45-L45</f>
        <v>-8829929.019</v>
      </c>
      <c r="P45" s="31" t="n">
        <f aca="false">P16</f>
        <v>17499549.047</v>
      </c>
      <c r="Q45" s="250" t="n">
        <f aca="false">H45/P45</f>
        <v>0.674935734016804</v>
      </c>
      <c r="R45" s="31" t="n">
        <f aca="false">H45-P45</f>
        <v>-5688478.066</v>
      </c>
    </row>
    <row r="46" customFormat="false" ht="15" hidden="false" customHeight="true" outlineLevel="0" collapsed="false">
      <c r="D46" s="171" t="s">
        <v>253</v>
      </c>
      <c r="E46" s="5"/>
      <c r="F46" s="247" t="n">
        <f aca="false">F17+F18</f>
        <v>719317.39</v>
      </c>
      <c r="G46" s="247" t="n">
        <f aca="false">G17+G18</f>
        <v>1683584.03</v>
      </c>
      <c r="H46" s="247" t="n">
        <f aca="false">H17+H18</f>
        <v>3381583.79000003</v>
      </c>
      <c r="I46" s="248" t="n">
        <f aca="false">IFERROR(H46/G46-1,"")</f>
        <v>1.00856252479423</v>
      </c>
      <c r="J46" s="249" t="n">
        <f aca="false">H46-G46</f>
        <v>1697999.76000003</v>
      </c>
      <c r="L46" s="31" t="n">
        <f aca="false">L17+L18</f>
        <v>10819106.699322</v>
      </c>
      <c r="M46" s="250" t="n">
        <f aca="false">H46/L46</f>
        <v>0.312556654073107</v>
      </c>
      <c r="N46" s="31" t="n">
        <f aca="false">H46-L46</f>
        <v>-7437522.90932201</v>
      </c>
      <c r="P46" s="31" t="n">
        <f aca="false">P17+P18</f>
        <v>7652524.03355935</v>
      </c>
      <c r="Q46" s="250" t="n">
        <f aca="false">H46/P46</f>
        <v>0.441891299546456</v>
      </c>
      <c r="R46" s="31" t="n">
        <f aca="false">H46-P46</f>
        <v>-4270940.24355932</v>
      </c>
    </row>
    <row r="47" customFormat="false" ht="15" hidden="false" customHeight="true" outlineLevel="0" collapsed="false">
      <c r="D47" s="146" t="s">
        <v>254</v>
      </c>
      <c r="E47" s="5"/>
      <c r="F47" s="251" t="n">
        <f aca="false">SUM(F45:F46)</f>
        <v>17364282.314</v>
      </c>
      <c r="G47" s="251" t="n">
        <f aca="false">SUM(G45:G46)</f>
        <v>18146275.432</v>
      </c>
      <c r="H47" s="251" t="n">
        <f aca="false">SUM(H45:H46)</f>
        <v>15192654.771</v>
      </c>
      <c r="I47" s="252" t="n">
        <f aca="false">IFERROR(H47/G47-1,"")</f>
        <v>-0.162767322256745</v>
      </c>
      <c r="J47" s="253" t="n">
        <f aca="false">SUM(J45:J46)</f>
        <v>-2953620.66100001</v>
      </c>
      <c r="L47" s="254" t="n">
        <f aca="false">SUM(L45:L46)</f>
        <v>31460106.699322</v>
      </c>
      <c r="M47" s="255" t="n">
        <f aca="false">H47/L47</f>
        <v>0.48291809421382</v>
      </c>
      <c r="N47" s="254" t="n">
        <f aca="false">SUM(N45:N46)</f>
        <v>-16267451.928322</v>
      </c>
      <c r="P47" s="254" t="n">
        <f aca="false">SUM(P45:P46)</f>
        <v>25152073.0805594</v>
      </c>
      <c r="Q47" s="255" t="n">
        <f aca="false">H47/P47</f>
        <v>0.604031911100911</v>
      </c>
      <c r="R47" s="254" t="n">
        <f aca="false">SUM(R45:R46)</f>
        <v>-9959418.30955932</v>
      </c>
    </row>
    <row r="49" customFormat="false" ht="15" hidden="false" customHeight="true" outlineLevel="0" collapsed="false">
      <c r="D49" s="171" t="s">
        <v>255</v>
      </c>
      <c r="E49" s="5"/>
      <c r="F49" s="247" t="n">
        <f aca="false">F20</f>
        <v>3501494.53</v>
      </c>
      <c r="G49" s="247" t="n">
        <f aca="false">G20</f>
        <v>2705391.22</v>
      </c>
      <c r="H49" s="247" t="n">
        <f aca="false">H20</f>
        <v>1879662.74</v>
      </c>
      <c r="I49" s="248" t="n">
        <f aca="false">IFERROR(H49/G49-1,"")</f>
        <v>-0.305215923632664</v>
      </c>
      <c r="J49" s="249" t="n">
        <f aca="false">H49-G49</f>
        <v>-825728.48</v>
      </c>
      <c r="L49" s="31" t="n">
        <f aca="false">L20</f>
        <v>4776579.3532875</v>
      </c>
      <c r="M49" s="250" t="n">
        <f aca="false">H49/L49</f>
        <v>0.393516489725292</v>
      </c>
      <c r="N49" s="31" t="n">
        <f aca="false">H49-L49</f>
        <v>-2896916.6132875</v>
      </c>
      <c r="P49" s="31" t="n">
        <f aca="false">P20</f>
        <v>3098024.51</v>
      </c>
      <c r="Q49" s="250" t="n">
        <f aca="false">H49/P49</f>
        <v>0.606729460639419</v>
      </c>
      <c r="R49" s="31" t="n">
        <f aca="false">H49-P49</f>
        <v>-1218361.77</v>
      </c>
    </row>
    <row r="50" customFormat="false" ht="15" hidden="false" customHeight="true" outlineLevel="0" collapsed="false">
      <c r="D50" s="171" t="s">
        <v>256</v>
      </c>
      <c r="E50" s="5"/>
      <c r="F50" s="247" t="n">
        <f aca="false">SUM(F21:F39)</f>
        <v>4147015.09</v>
      </c>
      <c r="G50" s="247" t="n">
        <f aca="false">SUM(G21:G39)</f>
        <v>3267984.58</v>
      </c>
      <c r="H50" s="247" t="n">
        <f aca="false">SUM(H21:H39)</f>
        <v>2170899.09</v>
      </c>
      <c r="I50" s="248" t="n">
        <f aca="false">IFERROR(H50/G50-1,"")</f>
        <v>-0.335707058324002</v>
      </c>
      <c r="J50" s="249" t="n">
        <f aca="false">H50-G50</f>
        <v>-1097085.49</v>
      </c>
      <c r="L50" s="31" t="n">
        <f aca="false">SUM(L21:L39)</f>
        <v>5004793.16</v>
      </c>
      <c r="M50" s="250" t="n">
        <f aca="false">H50/L50</f>
        <v>0.433763997951116</v>
      </c>
      <c r="N50" s="31" t="n">
        <f aca="false">H50-L50</f>
        <v>-2833894.07</v>
      </c>
      <c r="P50" s="31" t="n">
        <f aca="false">SUM(P21:P39)</f>
        <v>3674356.43</v>
      </c>
      <c r="Q50" s="250" t="n">
        <f aca="false">H50/P50</f>
        <v>0.590824306611975</v>
      </c>
      <c r="R50" s="31" t="n">
        <f aca="false">H50-P50</f>
        <v>-1503457.34</v>
      </c>
    </row>
    <row r="51" customFormat="false" ht="15" hidden="false" customHeight="true" outlineLevel="0" collapsed="false">
      <c r="D51" s="175" t="s">
        <v>257</v>
      </c>
      <c r="E51" s="5"/>
      <c r="F51" s="175" t="n">
        <f aca="false">SUM(F47:F50)</f>
        <v>25012791.934</v>
      </c>
      <c r="G51" s="175" t="n">
        <f aca="false">SUM(G47:G50)</f>
        <v>24119651.232</v>
      </c>
      <c r="H51" s="175" t="n">
        <f aca="false">SUM(H47:H50)</f>
        <v>19243216.601</v>
      </c>
      <c r="I51" s="147" t="n">
        <f aca="false">IFERROR(H51/G51-1,"")</f>
        <v>-0.20217683017449</v>
      </c>
      <c r="J51" s="175" t="n">
        <f aca="false">SUM(J47:J50)</f>
        <v>-4876434.63100001</v>
      </c>
      <c r="L51" s="175" t="n">
        <f aca="false">SUM(L47:L50)</f>
        <v>41241479.2126095</v>
      </c>
      <c r="M51" s="147" t="n">
        <f aca="false">H51/L51</f>
        <v>0.466598603357477</v>
      </c>
      <c r="N51" s="175" t="n">
        <f aca="false">SUM(N47:N50)</f>
        <v>-21998262.6116095</v>
      </c>
      <c r="P51" s="175" t="n">
        <f aca="false">SUM(P47:P50)</f>
        <v>31924454.0205594</v>
      </c>
      <c r="Q51" s="147" t="n">
        <f aca="false">H51/P51</f>
        <v>0.602773553734307</v>
      </c>
      <c r="R51" s="175" t="n">
        <f aca="false">SUM(R47:R50)</f>
        <v>-12681237.4195593</v>
      </c>
    </row>
    <row r="52" customFormat="false" ht="15" hidden="false" customHeight="true" outlineLevel="0" collapsed="false">
      <c r="D52" s="1" t="s">
        <v>258</v>
      </c>
      <c r="P52" s="256" t="n">
        <f aca="false">P51/L51-1</f>
        <v>-0.225913943193423</v>
      </c>
    </row>
    <row r="53" customFormat="false" ht="15" hidden="false" customHeight="true" outlineLevel="0" collapsed="false">
      <c r="P53" s="199" t="n">
        <f aca="false">P51-L51</f>
        <v>-9317025.1920502</v>
      </c>
    </row>
    <row r="54" customFormat="false" ht="14.25" hidden="false" customHeight="true" outlineLevel="0" collapsed="false">
      <c r="P54" s="5"/>
    </row>
    <row r="55" customFormat="false" ht="14.25" hidden="false" customHeight="true" outlineLevel="0" collapsed="false">
      <c r="P5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R43"/>
  <sheetViews>
    <sheetView showFormulas="false" showGridLines="false" showRowColHeaders="true" showZeros="true" rightToLeft="true" tabSelected="false" showOutlineSymbols="true" defaultGridColor="true" view="normal" topLeftCell="A1" colorId="64" zoomScale="70" zoomScaleNormal="7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H36" activeCellId="0" sqref="H36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88"/>
    <col collapsed="false" customWidth="true" hidden="true" outlineLevel="0" max="3" min="2" style="1" width="28"/>
    <col collapsed="false" customWidth="true" hidden="false" outlineLevel="0" max="4" min="4" style="1" width="28"/>
    <col collapsed="false" customWidth="true" hidden="false" outlineLevel="0" max="5" min="5" style="2" width="12.5"/>
    <col collapsed="false" customWidth="true" hidden="false" outlineLevel="0" max="7" min="6" style="1" width="9.87"/>
    <col collapsed="false" customWidth="true" hidden="false" outlineLevel="0" max="8" min="8" style="1" width="8.88"/>
    <col collapsed="false" customWidth="true" hidden="false" outlineLevel="0" max="9" min="9" style="111" width="10.75"/>
    <col collapsed="false" customWidth="true" hidden="false" outlineLevel="0" max="10" min="10" style="1" width="11.88"/>
    <col collapsed="false" customWidth="true" hidden="false" outlineLevel="0" max="11" min="11" style="1" width="6.75"/>
    <col collapsed="false" customWidth="true" hidden="false" outlineLevel="0" max="12" min="12" style="1" width="11.88"/>
    <col collapsed="false" customWidth="true" hidden="false" outlineLevel="0" max="13" min="13" style="111" width="9.75"/>
    <col collapsed="false" customWidth="true" hidden="false" outlineLevel="0" max="14" min="14" style="1" width="11.5"/>
    <col collapsed="false" customWidth="true" hidden="false" outlineLevel="0" max="16" min="16" style="1" width="12.5"/>
    <col collapsed="false" customWidth="true" hidden="false" outlineLevel="0" max="17" min="17" style="111" width="9.75"/>
    <col collapsed="false" customWidth="true" hidden="false" outlineLevel="0" max="18" min="18" style="1" width="11.5"/>
    <col collapsed="false" customWidth="true" hidden="false" outlineLevel="0" max="20" min="20" style="1" width="12.62"/>
    <col collapsed="false" customWidth="true" hidden="false" outlineLevel="0" max="21" min="21" style="1" width="10.88"/>
  </cols>
  <sheetData>
    <row r="1" customFormat="false" ht="15.75" hidden="false" customHeight="true" outlineLevel="0" collapsed="false">
      <c r="B1" s="7"/>
      <c r="C1" s="7" t="s">
        <v>259</v>
      </c>
      <c r="D1" s="7" t="s">
        <v>259</v>
      </c>
      <c r="E1" s="159"/>
      <c r="F1" s="159"/>
      <c r="G1" s="159"/>
      <c r="H1" s="159"/>
      <c r="I1" s="160"/>
      <c r="J1" s="159"/>
      <c r="L1" s="159"/>
      <c r="M1" s="160"/>
      <c r="N1" s="159"/>
      <c r="P1" s="159"/>
      <c r="Q1" s="160"/>
      <c r="R1" s="159"/>
    </row>
    <row r="2" customFormat="false" ht="15" hidden="false" customHeight="true" outlineLevel="0" collapsed="false">
      <c r="A2" s="161" t="s">
        <v>2</v>
      </c>
      <c r="B2" s="162"/>
      <c r="C2" s="162"/>
      <c r="D2" s="162"/>
      <c r="E2" s="163" t="s">
        <v>3</v>
      </c>
      <c r="F2" s="163" t="s">
        <v>260</v>
      </c>
      <c r="G2" s="163" t="s">
        <v>261</v>
      </c>
      <c r="H2" s="163" t="s">
        <v>262</v>
      </c>
      <c r="I2" s="164" t="s">
        <v>168</v>
      </c>
      <c r="J2" s="163" t="s">
        <v>169</v>
      </c>
      <c r="L2" s="163" t="s">
        <v>170</v>
      </c>
      <c r="M2" s="164" t="s">
        <v>114</v>
      </c>
      <c r="N2" s="163" t="s">
        <v>115</v>
      </c>
      <c r="P2" s="186" t="s">
        <v>1</v>
      </c>
      <c r="Q2" s="164" t="s">
        <v>212</v>
      </c>
      <c r="R2" s="163" t="s">
        <v>215</v>
      </c>
    </row>
    <row r="3" customFormat="false" ht="14.25" hidden="false" customHeight="true" outlineLevel="0" collapsed="false">
      <c r="A3" s="165" t="n">
        <v>5</v>
      </c>
      <c r="B3" s="166" t="s">
        <v>143</v>
      </c>
      <c r="C3" s="166" t="s">
        <v>31</v>
      </c>
      <c r="D3" s="166" t="s">
        <v>31</v>
      </c>
      <c r="E3" s="26" t="s">
        <v>32</v>
      </c>
      <c r="F3" s="158" t="n">
        <f aca="false">+אוקטובר!F3+נובמבר!F3+דצמבר!F3</f>
        <v>501891.94</v>
      </c>
      <c r="G3" s="158" t="n">
        <f aca="false">+אוקטובר!G3+נובמבר!G3+דצמבר!G3</f>
        <v>397235.16</v>
      </c>
      <c r="H3" s="158" t="n">
        <f aca="false">+אוקטובר!H3+נובמבר!H3+דצמבר!H3</f>
        <v>20995.2</v>
      </c>
      <c r="I3" s="167" t="n">
        <f aca="false">IFERROR(H3/G3-1,"")</f>
        <v>-0.947146672515092</v>
      </c>
      <c r="J3" s="158" t="n">
        <f aca="false">H3-G3</f>
        <v>-376239.96</v>
      </c>
      <c r="L3" s="158" t="n">
        <v>705238.095238095</v>
      </c>
      <c r="M3" s="167" t="n">
        <f aca="false">IFERROR(H3/L3-1,"")</f>
        <v>-0.970229628629305</v>
      </c>
      <c r="N3" s="158" t="n">
        <f aca="false">H3-L3</f>
        <v>-684242.895238095</v>
      </c>
      <c r="P3" s="158" t="n">
        <f aca="false">'תקציב  '!AL5+'תקציב  '!AM5+'תקציב  '!AN5</f>
        <v>600000</v>
      </c>
      <c r="Q3" s="167" t="n">
        <f aca="false">IFERROR(G3/P3-1,"")</f>
        <v>-0.3379414</v>
      </c>
      <c r="R3" s="158" t="n">
        <f aca="false">H3-P3</f>
        <v>-579004.8</v>
      </c>
    </row>
    <row r="4" customFormat="false" ht="14.25" hidden="false" customHeight="true" outlineLevel="0" collapsed="false">
      <c r="A4" s="168" t="n">
        <v>1</v>
      </c>
      <c r="B4" s="166" t="s">
        <v>33</v>
      </c>
      <c r="C4" s="166" t="s">
        <v>33</v>
      </c>
      <c r="D4" s="166" t="s">
        <v>33</v>
      </c>
      <c r="E4" s="26" t="s">
        <v>32</v>
      </c>
      <c r="F4" s="158" t="n">
        <f aca="false">+אוקטובר!F4+נובמבר!F4+דצמבר!F4</f>
        <v>1256467.849</v>
      </c>
      <c r="G4" s="158" t="n">
        <f aca="false">+אוקטובר!G4+נובמבר!G4+דצמבר!G4</f>
        <v>1377947.48</v>
      </c>
      <c r="H4" s="158" t="n">
        <f aca="false">+אוקטובר!H4+נובמבר!H4+דצמבר!H4</f>
        <v>0</v>
      </c>
      <c r="I4" s="167" t="n">
        <f aca="false">IFERROR(H4/G4-1,"")</f>
        <v>-1</v>
      </c>
      <c r="J4" s="158" t="n">
        <f aca="false">H4-G4</f>
        <v>-1377947.48</v>
      </c>
      <c r="L4" s="158" t="n">
        <v>1720095.23809524</v>
      </c>
      <c r="M4" s="167" t="n">
        <f aca="false">IFERROR(H4/L4-1,"")</f>
        <v>-1</v>
      </c>
      <c r="N4" s="158" t="n">
        <f aca="false">H4-L4</f>
        <v>-1720095.23809524</v>
      </c>
      <c r="P4" s="158" t="n">
        <f aca="false">'תקציב  '!AL6+'תקציב  '!AM6+'תקציב  '!AN6</f>
        <v>1650000</v>
      </c>
      <c r="Q4" s="167" t="n">
        <f aca="false">IFERROR(G4/P4-1,"")</f>
        <v>-0.164880315151515</v>
      </c>
      <c r="R4" s="158" t="n">
        <f aca="false">H4-P4</f>
        <v>-1650000</v>
      </c>
    </row>
    <row r="5" customFormat="false" ht="14.25" hidden="false" customHeight="true" outlineLevel="0" collapsed="false">
      <c r="A5" s="168" t="n">
        <v>7</v>
      </c>
      <c r="B5" s="166" t="s">
        <v>34</v>
      </c>
      <c r="C5" s="166" t="s">
        <v>34</v>
      </c>
      <c r="D5" s="166" t="s">
        <v>34</v>
      </c>
      <c r="E5" s="26" t="s">
        <v>32</v>
      </c>
      <c r="F5" s="158" t="n">
        <f aca="false">+אוקטובר!F5+נובמבר!F5+דצמבר!F5</f>
        <v>249549.937</v>
      </c>
      <c r="G5" s="158" t="n">
        <f aca="false">+אוקטובר!G5+נובמבר!G5+דצמבר!G5</f>
        <v>208571.09</v>
      </c>
      <c r="H5" s="158" t="n">
        <f aca="false">+אוקטובר!H5+נובמבר!H5+דצמבר!H5</f>
        <v>0</v>
      </c>
      <c r="I5" s="167" t="n">
        <f aca="false">IFERROR(H5/G5-1,"")</f>
        <v>-1</v>
      </c>
      <c r="J5" s="158" t="n">
        <f aca="false">H5-G5</f>
        <v>-208571.09</v>
      </c>
      <c r="L5" s="158" t="n">
        <v>235714.285714286</v>
      </c>
      <c r="M5" s="167" t="n">
        <f aca="false">IFERROR(H5/L5-1,"")</f>
        <v>-1</v>
      </c>
      <c r="N5" s="158" t="n">
        <f aca="false">H5-L5</f>
        <v>-235714.285714286</v>
      </c>
      <c r="P5" s="158" t="n">
        <f aca="false">'תקציב  '!AL7+'תקציב  '!AM7+'תקציב  '!AN7</f>
        <v>300000</v>
      </c>
      <c r="Q5" s="167" t="n">
        <f aca="false">IFERROR(G5/P5-1,"")</f>
        <v>-0.304763033333333</v>
      </c>
      <c r="R5" s="158" t="n">
        <f aca="false">H5-P5</f>
        <v>-300000</v>
      </c>
    </row>
    <row r="6" customFormat="false" ht="14.25" hidden="false" customHeight="true" outlineLevel="0" collapsed="false">
      <c r="A6" s="168" t="n">
        <v>4</v>
      </c>
      <c r="B6" s="166" t="s">
        <v>35</v>
      </c>
      <c r="C6" s="166" t="s">
        <v>35</v>
      </c>
      <c r="D6" s="166" t="s">
        <v>35</v>
      </c>
      <c r="E6" s="26" t="s">
        <v>32</v>
      </c>
      <c r="F6" s="158" t="n">
        <f aca="false">+אוקטובר!F6+נובמבר!F6+דצמבר!F6</f>
        <v>423029.488</v>
      </c>
      <c r="G6" s="158" t="n">
        <f aca="false">+אוקטובר!G6+נובמבר!G6+דצמבר!G6</f>
        <v>462437.99</v>
      </c>
      <c r="H6" s="158" t="n">
        <f aca="false">+אוקטובר!H6+נובמבר!H6+דצמבר!H6</f>
        <v>0</v>
      </c>
      <c r="I6" s="167" t="n">
        <f aca="false">IFERROR(H6/G6-1,"")</f>
        <v>-1</v>
      </c>
      <c r="J6" s="158" t="n">
        <f aca="false">H6-G6</f>
        <v>-462437.99</v>
      </c>
      <c r="L6" s="158" t="n">
        <v>506619.047619048</v>
      </c>
      <c r="M6" s="167" t="n">
        <f aca="false">IFERROR(H6/L6-1,"")</f>
        <v>-1</v>
      </c>
      <c r="N6" s="158" t="n">
        <f aca="false">H6-L6</f>
        <v>-506619.047619048</v>
      </c>
      <c r="P6" s="158" t="n">
        <f aca="false">'תקציב  '!AL8+'תקציב  '!AM8+'תקציב  '!AN8</f>
        <v>600000</v>
      </c>
      <c r="Q6" s="167" t="n">
        <f aca="false">IFERROR(G6/P6-1,"")</f>
        <v>-0.229270016666667</v>
      </c>
      <c r="R6" s="158" t="n">
        <f aca="false">H6-P6</f>
        <v>-600000</v>
      </c>
    </row>
    <row r="7" customFormat="false" ht="14.25" hidden="false" customHeight="true" outlineLevel="0" collapsed="false">
      <c r="A7" s="168" t="n">
        <v>3</v>
      </c>
      <c r="B7" s="166" t="s">
        <v>148</v>
      </c>
      <c r="C7" s="166" t="s">
        <v>36</v>
      </c>
      <c r="D7" s="166" t="s">
        <v>36</v>
      </c>
      <c r="E7" s="26" t="s">
        <v>32</v>
      </c>
      <c r="F7" s="158" t="n">
        <f aca="false">+אוקטובר!F7+נובמבר!F7+דצמבר!F7</f>
        <v>988830.3</v>
      </c>
      <c r="G7" s="158" t="n">
        <f aca="false">+אוקטובר!G7+נובמבר!G7+דצמבר!G7</f>
        <v>860724.67</v>
      </c>
      <c r="H7" s="158" t="n">
        <f aca="false">+אוקטובר!H7+נובמבר!H7+דצמבר!H7</f>
        <v>0</v>
      </c>
      <c r="I7" s="167" t="n">
        <f aca="false">IFERROR(H7/G7-1,"")</f>
        <v>-1</v>
      </c>
      <c r="J7" s="158" t="n">
        <f aca="false">H7-G7</f>
        <v>-860724.67</v>
      </c>
      <c r="L7" s="158" t="n">
        <v>1096000</v>
      </c>
      <c r="M7" s="167" t="n">
        <f aca="false">IFERROR(H7/L7-1,"")</f>
        <v>-1</v>
      </c>
      <c r="N7" s="158" t="n">
        <f aca="false">H7-L7</f>
        <v>-1096000</v>
      </c>
      <c r="P7" s="158" t="n">
        <f aca="false">'תקציב  '!AL9+'תקציב  '!AM9+'תקציב  '!AN9</f>
        <v>990000</v>
      </c>
      <c r="Q7" s="167" t="n">
        <f aca="false">IFERROR(G7/P7-1,"")</f>
        <v>-0.130581141414141</v>
      </c>
      <c r="R7" s="158" t="n">
        <f aca="false">H7-P7</f>
        <v>-990000</v>
      </c>
    </row>
    <row r="8" customFormat="false" ht="14.25" hidden="false" customHeight="true" outlineLevel="0" collapsed="false">
      <c r="A8" s="168" t="n">
        <v>8</v>
      </c>
      <c r="B8" s="166" t="s">
        <v>147</v>
      </c>
      <c r="C8" s="166" t="s">
        <v>37</v>
      </c>
      <c r="D8" s="166" t="s">
        <v>37</v>
      </c>
      <c r="E8" s="26" t="s">
        <v>32</v>
      </c>
      <c r="F8" s="158" t="n">
        <f aca="false">+אוקטובר!F8+נובמבר!F8+דצמבר!F8</f>
        <v>175743.18</v>
      </c>
      <c r="G8" s="158" t="n">
        <f aca="false">+אוקטובר!G8+נובמבר!G8+דצמבר!G8</f>
        <v>198828.06</v>
      </c>
      <c r="H8" s="158" t="n">
        <f aca="false">+אוקטובר!H8+נובמבר!H8+דצמבר!H8</f>
        <v>0</v>
      </c>
      <c r="I8" s="167" t="n">
        <f aca="false">IFERROR(H8/G8-1,"")</f>
        <v>-1</v>
      </c>
      <c r="J8" s="158" t="n">
        <f aca="false">H8-G8</f>
        <v>-198828.06</v>
      </c>
      <c r="L8" s="158" t="n">
        <v>301904.761904762</v>
      </c>
      <c r="M8" s="167" t="n">
        <f aca="false">IFERROR(H8/L8-1,"")</f>
        <v>-1</v>
      </c>
      <c r="N8" s="158" t="n">
        <f aca="false">H8-L8</f>
        <v>-301904.761904762</v>
      </c>
      <c r="P8" s="158" t="n">
        <f aca="false">'תקציב  '!AL10+'תקציב  '!AM10+'תקציב  '!AN10</f>
        <v>300000</v>
      </c>
      <c r="Q8" s="167" t="n">
        <f aca="false">IFERROR(G8/P8-1,"")</f>
        <v>-0.3372398</v>
      </c>
      <c r="R8" s="158" t="n">
        <f aca="false">H8-P8</f>
        <v>-300000</v>
      </c>
    </row>
    <row r="9" customFormat="false" ht="14.25" hidden="false" customHeight="true" outlineLevel="0" collapsed="false">
      <c r="A9" s="168" t="n">
        <v>6</v>
      </c>
      <c r="B9" s="166" t="s">
        <v>137</v>
      </c>
      <c r="C9" s="166" t="s">
        <v>38</v>
      </c>
      <c r="D9" s="166" t="s">
        <v>38</v>
      </c>
      <c r="E9" s="26" t="s">
        <v>32</v>
      </c>
      <c r="F9" s="158" t="n">
        <f aca="false">+אוקטובר!F9+נובמבר!F9+דצמבר!F9</f>
        <v>184800.08</v>
      </c>
      <c r="G9" s="158" t="n">
        <f aca="false">+אוקטובר!G9+נובמבר!G9+דצמבר!G9</f>
        <v>223581.68</v>
      </c>
      <c r="H9" s="158" t="n">
        <f aca="false">+אוקטובר!H9+נובמבר!H9+דצמבר!H9</f>
        <v>0</v>
      </c>
      <c r="I9" s="167" t="n">
        <f aca="false">IFERROR(H9/G9-1,"")</f>
        <v>-1</v>
      </c>
      <c r="J9" s="158" t="n">
        <f aca="false">H9-G9</f>
        <v>-223581.68</v>
      </c>
      <c r="L9" s="158" t="n">
        <v>528261.904761905</v>
      </c>
      <c r="M9" s="167" t="n">
        <f aca="false">IFERROR(H9/L9-1,"")</f>
        <v>-1</v>
      </c>
      <c r="N9" s="158" t="n">
        <f aca="false">H9-L9</f>
        <v>-528261.904761905</v>
      </c>
      <c r="P9" s="158" t="n">
        <f aca="false">'תקציב  '!AL11+'תקציב  '!AM11+'תקציב  '!AN11</f>
        <v>300000</v>
      </c>
      <c r="Q9" s="167" t="n">
        <f aca="false">IFERROR(G9/P9-1,"")</f>
        <v>-0.254727733333333</v>
      </c>
      <c r="R9" s="158" t="n">
        <f aca="false">H9-P9</f>
        <v>-300000</v>
      </c>
    </row>
    <row r="10" customFormat="false" ht="14.25" hidden="false" customHeight="true" outlineLevel="0" collapsed="false">
      <c r="A10" s="169" t="n">
        <v>10</v>
      </c>
      <c r="B10" s="166" t="s">
        <v>138</v>
      </c>
      <c r="C10" s="166" t="s">
        <v>39</v>
      </c>
      <c r="D10" s="166" t="s">
        <v>39</v>
      </c>
      <c r="E10" s="26" t="s">
        <v>32</v>
      </c>
      <c r="F10" s="158" t="n">
        <f aca="false">+אוקטובר!F10+נובמבר!F10+דצמבר!F10</f>
        <v>38609.45</v>
      </c>
      <c r="G10" s="158" t="n">
        <f aca="false">+אוקטובר!G10+נובמבר!G10+דצמבר!G10</f>
        <v>48810.03</v>
      </c>
      <c r="H10" s="158" t="n">
        <f aca="false">+אוקטובר!H10+נובמבר!H10+דצמבר!H10</f>
        <v>0</v>
      </c>
      <c r="I10" s="167" t="n">
        <f aca="false">IFERROR(H10/G10-1,"")</f>
        <v>-1</v>
      </c>
      <c r="J10" s="158" t="n">
        <f aca="false">H10-G10</f>
        <v>-48810.03</v>
      </c>
      <c r="L10" s="158" t="n">
        <v>49761.9047619048</v>
      </c>
      <c r="M10" s="167" t="n">
        <f aca="false">IFERROR(H10/L10-1,"")</f>
        <v>-1</v>
      </c>
      <c r="N10" s="158" t="n">
        <f aca="false">H10-L10</f>
        <v>-49761.9047619048</v>
      </c>
      <c r="P10" s="158" t="n">
        <f aca="false">'תקציב  '!AL12+'תקציב  '!AM12+'תקציב  '!AN12</f>
        <v>45000</v>
      </c>
      <c r="Q10" s="167" t="n">
        <f aca="false">IFERROR(G10/P10-1,"")</f>
        <v>0.0846673333333332</v>
      </c>
      <c r="R10" s="158" t="n">
        <f aca="false">H10-P10</f>
        <v>-45000</v>
      </c>
    </row>
    <row r="11" customFormat="false" ht="14.25" hidden="false" customHeight="true" outlineLevel="0" collapsed="false">
      <c r="A11" s="168" t="n">
        <v>11</v>
      </c>
      <c r="B11" s="166" t="s">
        <v>141</v>
      </c>
      <c r="C11" s="166" t="s">
        <v>40</v>
      </c>
      <c r="D11" s="166" t="s">
        <v>40</v>
      </c>
      <c r="E11" s="26" t="s">
        <v>32</v>
      </c>
      <c r="F11" s="158" t="n">
        <f aca="false">+אוקטובר!F11+נובמבר!F11+דצמבר!F11</f>
        <v>39179.29</v>
      </c>
      <c r="G11" s="158" t="n">
        <f aca="false">+אוקטובר!G11+נובמבר!G11+דצמבר!G11</f>
        <v>11043.34</v>
      </c>
      <c r="H11" s="158" t="n">
        <f aca="false">+אוקטובר!H11+נובמבר!H11+דצמבר!H11</f>
        <v>0</v>
      </c>
      <c r="I11" s="167" t="n">
        <f aca="false">IFERROR(H11/G11-1,"")</f>
        <v>-1</v>
      </c>
      <c r="J11" s="158" t="n">
        <f aca="false">H11-G11</f>
        <v>-11043.34</v>
      </c>
      <c r="L11" s="158" t="n">
        <v>27190.4761904762</v>
      </c>
      <c r="M11" s="167" t="n">
        <f aca="false">IFERROR(H11/L11-1,"")</f>
        <v>-1</v>
      </c>
      <c r="N11" s="158" t="n">
        <f aca="false">H11-L11</f>
        <v>-27190.4761904762</v>
      </c>
      <c r="P11" s="158" t="n">
        <f aca="false">'תקציב  '!AL13+'תקציב  '!AM13+'תקציב  '!AN13</f>
        <v>30000</v>
      </c>
      <c r="Q11" s="167" t="n">
        <f aca="false">IFERROR(G11/P11-1,"")</f>
        <v>-0.631888666666667</v>
      </c>
      <c r="R11" s="158" t="n">
        <f aca="false">H11-P11</f>
        <v>-30000</v>
      </c>
    </row>
    <row r="12" customFormat="false" ht="14.25" hidden="false" customHeight="true" outlineLevel="0" collapsed="false">
      <c r="A12" s="168" t="n">
        <v>14</v>
      </c>
      <c r="B12" s="166" t="s">
        <v>142</v>
      </c>
      <c r="C12" s="166" t="s">
        <v>41</v>
      </c>
      <c r="D12" s="166" t="s">
        <v>41</v>
      </c>
      <c r="E12" s="26" t="s">
        <v>32</v>
      </c>
      <c r="F12" s="158" t="n">
        <f aca="false">+אוקטובר!F12+נובמבר!F12+דצמבר!F12</f>
        <v>850.4</v>
      </c>
      <c r="G12" s="158" t="n">
        <f aca="false">+אוקטובר!G12+נובמבר!G12+דצמבר!G12</f>
        <v>1168.54</v>
      </c>
      <c r="H12" s="158" t="n">
        <f aca="false">+אוקטובר!H12+נובמבר!H12+דצמבר!H12</f>
        <v>0</v>
      </c>
      <c r="I12" s="167" t="n">
        <f aca="false">IFERROR(H12/G12-1,"")</f>
        <v>-1</v>
      </c>
      <c r="J12" s="158" t="n">
        <f aca="false">H12-G12</f>
        <v>-1168.54</v>
      </c>
      <c r="L12" s="158" t="n">
        <v>0</v>
      </c>
      <c r="M12" s="167" t="str">
        <f aca="false">IFERROR(H12/L12-1,"")</f>
        <v/>
      </c>
      <c r="N12" s="158" t="n">
        <f aca="false">H12-L12</f>
        <v>0</v>
      </c>
      <c r="P12" s="158" t="n">
        <f aca="false">'תקציב  '!AL14+'תקציב  '!AM14+'תקציב  '!AN14</f>
        <v>15000</v>
      </c>
      <c r="Q12" s="167" t="n">
        <f aca="false">IFERROR(G12/P12-1,"")</f>
        <v>-0.922097333333333</v>
      </c>
      <c r="R12" s="158" t="n">
        <f aca="false">H12-P12</f>
        <v>-15000</v>
      </c>
    </row>
    <row r="13" customFormat="false" ht="14.25" hidden="false" customHeight="true" outlineLevel="0" collapsed="false">
      <c r="A13" s="168" t="n">
        <v>15</v>
      </c>
      <c r="B13" s="166" t="s">
        <v>139</v>
      </c>
      <c r="C13" s="166" t="s">
        <v>47</v>
      </c>
      <c r="D13" s="166" t="s">
        <v>47</v>
      </c>
      <c r="E13" s="26" t="s">
        <v>32</v>
      </c>
      <c r="F13" s="158" t="n">
        <f aca="false">+אוקטובר!F13+נובמבר!F13+דצמבר!F13</f>
        <v>-14.28</v>
      </c>
      <c r="G13" s="158" t="n">
        <f aca="false">+אוקטובר!G13+נובמבר!G13+דצמבר!G13</f>
        <v>514.2</v>
      </c>
      <c r="H13" s="158" t="n">
        <f aca="false">+אוקטובר!H13+נובמבר!H13+דצמבר!H13</f>
        <v>0</v>
      </c>
      <c r="I13" s="167" t="n">
        <f aca="false">IFERROR(H13/G13-1,"")</f>
        <v>-1</v>
      </c>
      <c r="J13" s="158" t="n">
        <f aca="false">H13-G13</f>
        <v>-514.2</v>
      </c>
      <c r="L13" s="158" t="n">
        <v>12500</v>
      </c>
      <c r="M13" s="167" t="n">
        <f aca="false">IFERROR(H13/L13-1,"")</f>
        <v>-1</v>
      </c>
      <c r="N13" s="158" t="n">
        <f aca="false">H13-L13</f>
        <v>-12500</v>
      </c>
      <c r="P13" s="158" t="n">
        <f aca="false">'תקציב  '!AL20+'תקציב  '!AM20+'תקציב  '!AN20</f>
        <v>15000</v>
      </c>
      <c r="Q13" s="167" t="n">
        <f aca="false">IFERROR(G13/P13-1,"")</f>
        <v>-0.96572</v>
      </c>
      <c r="R13" s="158" t="n">
        <f aca="false">H13-P13</f>
        <v>-15000</v>
      </c>
    </row>
    <row r="14" customFormat="false" ht="14.25" hidden="false" customHeight="true" outlineLevel="0" collapsed="false">
      <c r="A14" s="168" t="n">
        <v>13</v>
      </c>
      <c r="B14" s="166" t="s">
        <v>145</v>
      </c>
      <c r="C14" s="166" t="s">
        <v>43</v>
      </c>
      <c r="D14" s="166" t="s">
        <v>43</v>
      </c>
      <c r="E14" s="26" t="s">
        <v>32</v>
      </c>
      <c r="F14" s="158" t="n">
        <f aca="false">+אוקטובר!F14+נובמבר!F14+דצמבר!F14</f>
        <v>3722.65</v>
      </c>
      <c r="G14" s="158" t="n">
        <f aca="false">+אוקטובר!G14+נובמבר!G14+דצמבר!G14</f>
        <v>1813.57</v>
      </c>
      <c r="H14" s="158" t="n">
        <f aca="false">+אוקטובר!H14+נובמבר!H14+דצמבר!H14</f>
        <v>0</v>
      </c>
      <c r="I14" s="167" t="n">
        <f aca="false">IFERROR(H14/G14-1,"")</f>
        <v>-1</v>
      </c>
      <c r="J14" s="158" t="n">
        <f aca="false">H14-G14</f>
        <v>-1813.57</v>
      </c>
      <c r="L14" s="158" t="n">
        <v>100000</v>
      </c>
      <c r="M14" s="167" t="n">
        <f aca="false">IFERROR(H14/L14-1,"")</f>
        <v>-1</v>
      </c>
      <c r="N14" s="158" t="n">
        <f aca="false">H14-L14</f>
        <v>-100000</v>
      </c>
      <c r="P14" s="158" t="n">
        <f aca="false">'תקציב  '!AL16+'תקציב  '!AM16+'תקציב  '!AN16</f>
        <v>15000</v>
      </c>
      <c r="Q14" s="167" t="n">
        <f aca="false">IFERROR(G14/P14-1,"")</f>
        <v>-0.879095333333333</v>
      </c>
      <c r="R14" s="158" t="n">
        <f aca="false">H14-P14</f>
        <v>-15000</v>
      </c>
    </row>
    <row r="15" customFormat="false" ht="14.25" hidden="false" customHeight="true" outlineLevel="0" collapsed="false">
      <c r="A15" s="168" t="n">
        <v>9</v>
      </c>
      <c r="B15" s="166" t="s">
        <v>140</v>
      </c>
      <c r="C15" s="166" t="s">
        <v>44</v>
      </c>
      <c r="D15" s="166" t="s">
        <v>44</v>
      </c>
      <c r="E15" s="26" t="s">
        <v>32</v>
      </c>
      <c r="F15" s="158" t="n">
        <f aca="false">+אוקטובר!F15+נובמבר!F15+דצמבר!F15</f>
        <v>11626.65</v>
      </c>
      <c r="G15" s="158" t="n">
        <f aca="false">+אוקטובר!G15+נובמבר!G15+דצמבר!G15</f>
        <v>17330.93</v>
      </c>
      <c r="H15" s="158" t="n">
        <f aca="false">+אוקטובר!H15+נובמבר!H15+דצמבר!H15</f>
        <v>0</v>
      </c>
      <c r="I15" s="167" t="n">
        <f aca="false">IFERROR(H15/G15-1,"")</f>
        <v>-1</v>
      </c>
      <c r="J15" s="158" t="n">
        <f aca="false">H15-G15</f>
        <v>-17330.93</v>
      </c>
      <c r="L15" s="158" t="n">
        <v>52380.9523809524</v>
      </c>
      <c r="M15" s="167" t="n">
        <f aca="false">IFERROR(H15/L15-1,"")</f>
        <v>-1</v>
      </c>
      <c r="N15" s="158" t="n">
        <f aca="false">H15-L15</f>
        <v>-52380.9523809524</v>
      </c>
      <c r="P15" s="158" t="n">
        <f aca="false">'תקציב  '!AL17+'תקציב  '!AM17+'תקציב  '!AN17</f>
        <v>75000</v>
      </c>
      <c r="Q15" s="167" t="n">
        <f aca="false">IFERROR(G15/P15-1,"")</f>
        <v>-0.768920933333333</v>
      </c>
      <c r="R15" s="158" t="n">
        <f aca="false">H15-P15</f>
        <v>-75000</v>
      </c>
    </row>
    <row r="16" customFormat="false" ht="15" hidden="false" customHeight="true" outlineLevel="0" collapsed="false">
      <c r="A16" s="170"/>
      <c r="B16" s="171"/>
      <c r="C16" s="171" t="s">
        <v>119</v>
      </c>
      <c r="D16" s="171" t="s">
        <v>119</v>
      </c>
      <c r="E16" s="171"/>
      <c r="F16" s="171" t="n">
        <f aca="false">SUM(F3:F15)</f>
        <v>3874286.934</v>
      </c>
      <c r="G16" s="171" t="n">
        <f aca="false">SUM(G3:G15)</f>
        <v>3810006.74</v>
      </c>
      <c r="H16" s="171" t="n">
        <f aca="false">SUM(H3:H15)</f>
        <v>20995.2</v>
      </c>
      <c r="I16" s="172" t="n">
        <f aca="false">IFERROR(H16/G16-1,"")</f>
        <v>-0.994489458567205</v>
      </c>
      <c r="J16" s="171" t="n">
        <f aca="false">SUM(J3:J15)</f>
        <v>-3789011.54</v>
      </c>
      <c r="L16" s="171" t="n">
        <v>5335666.66666667</v>
      </c>
      <c r="M16" s="172" t="n">
        <f aca="false">IFERROR(H16/L16-1,"")</f>
        <v>-0.99606512150934</v>
      </c>
      <c r="N16" s="171" t="n">
        <f aca="false">SUM(N3:N15)</f>
        <v>-5314671.46666667</v>
      </c>
      <c r="P16" s="171" t="n">
        <f aca="false">SUM(P3:P15)</f>
        <v>4935000</v>
      </c>
      <c r="Q16" s="172" t="n">
        <f aca="false">IFERROR(G16/P16-1,"")</f>
        <v>-0.227962160081054</v>
      </c>
      <c r="R16" s="171" t="n">
        <f aca="false">SUM(R3:R15)</f>
        <v>-4914004.8</v>
      </c>
    </row>
    <row r="17" customFormat="false" ht="14.25" hidden="false" customHeight="true" outlineLevel="0" collapsed="false">
      <c r="A17" s="168" t="n">
        <v>2</v>
      </c>
      <c r="B17" s="166" t="s">
        <v>149</v>
      </c>
      <c r="C17" s="166" t="s">
        <v>45</v>
      </c>
      <c r="D17" s="166" t="s">
        <v>45</v>
      </c>
      <c r="E17" s="26" t="s">
        <v>32</v>
      </c>
      <c r="F17" s="158" t="n">
        <f aca="false">+אוקטובר!F17+נובמבר!F17+דצמבר!F17</f>
        <v>253937.589999999</v>
      </c>
      <c r="G17" s="158" t="n">
        <f aca="false">+אוקטובר!G17+נובמבר!G17+דצמבר!G17</f>
        <v>599115.08</v>
      </c>
      <c r="H17" s="158" t="n">
        <f aca="false">+אוקטובר!H17+נובמבר!H17+דצמבר!H17</f>
        <v>0</v>
      </c>
      <c r="I17" s="167" t="n">
        <f aca="false">IFERROR(H17/G17-1,"")</f>
        <v>-1</v>
      </c>
      <c r="J17" s="158" t="n">
        <f aca="false">H17-G17</f>
        <v>-599115.08</v>
      </c>
      <c r="L17" s="158" t="n">
        <v>4474216.10169492</v>
      </c>
      <c r="M17" s="167" t="n">
        <f aca="false">IFERROR(H17/L17-1,"")</f>
        <v>-1</v>
      </c>
      <c r="N17" s="158" t="n">
        <f aca="false">H17-L17</f>
        <v>-4474216.10169492</v>
      </c>
      <c r="P17" s="158" t="n">
        <f aca="false">'תקציב  '!AL18+'תקציב  '!AM18+'תקציב  '!AN18</f>
        <v>3472877.9661017</v>
      </c>
      <c r="Q17" s="167" t="n">
        <f aca="false">IFERROR(G17/P17-1,"")</f>
        <v>-0.827487436688567</v>
      </c>
      <c r="R17" s="158" t="n">
        <f aca="false">H17-P17</f>
        <v>-3472877.9661017</v>
      </c>
    </row>
    <row r="18" customFormat="false" ht="14.25" hidden="false" customHeight="true" outlineLevel="0" collapsed="false">
      <c r="A18" s="168" t="n">
        <v>12</v>
      </c>
      <c r="B18" s="166" t="s">
        <v>150</v>
      </c>
      <c r="C18" s="166" t="s">
        <v>46</v>
      </c>
      <c r="D18" s="166" t="s">
        <v>46</v>
      </c>
      <c r="E18" s="26" t="s">
        <v>32</v>
      </c>
      <c r="F18" s="158" t="n">
        <f aca="false">+אוקטובר!F18+נובמבר!F18+דצמבר!F18</f>
        <v>10454.96</v>
      </c>
      <c r="G18" s="158" t="n">
        <f aca="false">+אוקטובר!G18+נובמבר!G18+דצמבר!G18</f>
        <v>4382.6</v>
      </c>
      <c r="H18" s="158" t="n">
        <f aca="false">+אוקטובר!H18+נובמבר!H18+דצמבר!H18</f>
        <v>0</v>
      </c>
      <c r="I18" s="167" t="n">
        <f aca="false">IFERROR(H18/G18-1,"")</f>
        <v>-1</v>
      </c>
      <c r="J18" s="158" t="n">
        <f aca="false">H18-G18</f>
        <v>-4382.6</v>
      </c>
      <c r="L18" s="158" t="n">
        <v>7610.785</v>
      </c>
      <c r="M18" s="167" t="n">
        <f aca="false">IFERROR(H18/L18-1,"")</f>
        <v>-1</v>
      </c>
      <c r="N18" s="158" t="n">
        <f aca="false">H18-L18</f>
        <v>-7610.785</v>
      </c>
      <c r="P18" s="158" t="n">
        <f aca="false">'תקציב  '!AL19+'תקציב  '!AM19+'תקציב  '!AN19</f>
        <v>15000</v>
      </c>
      <c r="Q18" s="167" t="n">
        <f aca="false">IFERROR(G18/P18-1,"")</f>
        <v>-0.707826666666667</v>
      </c>
      <c r="R18" s="158" t="n">
        <f aca="false">H18-P18</f>
        <v>-15000</v>
      </c>
    </row>
    <row r="19" customFormat="false" ht="15" hidden="false" customHeight="true" outlineLevel="0" collapsed="false">
      <c r="A19" s="169"/>
      <c r="B19" s="171"/>
      <c r="C19" s="171" t="s">
        <v>48</v>
      </c>
      <c r="D19" s="171" t="s">
        <v>48</v>
      </c>
      <c r="E19" s="171"/>
      <c r="F19" s="171" t="n">
        <f aca="false">F16+F17+F18</f>
        <v>4138679.484</v>
      </c>
      <c r="G19" s="171" t="n">
        <f aca="false">G16+G17+G18</f>
        <v>4413504.42</v>
      </c>
      <c r="H19" s="171" t="n">
        <f aca="false">H16+H17+H18</f>
        <v>20995.2</v>
      </c>
      <c r="I19" s="172" t="n">
        <f aca="false">IFERROR(H19/G19-1,"")</f>
        <v>-0.995242963866795</v>
      </c>
      <c r="J19" s="171" t="n">
        <f aca="false">J16+J17+J18</f>
        <v>-4392509.22</v>
      </c>
      <c r="L19" s="171" t="n">
        <v>9817493.55336158</v>
      </c>
      <c r="M19" s="172" t="n">
        <f aca="false">IFERROR(H19/L19-1,"")</f>
        <v>-0.997861450085413</v>
      </c>
      <c r="N19" s="171" t="n">
        <f aca="false">N16+N17+N18</f>
        <v>-9796498.35336159</v>
      </c>
      <c r="P19" s="171" t="n">
        <f aca="false">P16+P17+P18</f>
        <v>8422877.9661017</v>
      </c>
      <c r="Q19" s="172" t="n">
        <f aca="false">IFERROR(G19/P19-1,"")</f>
        <v>-0.476009929413394</v>
      </c>
      <c r="R19" s="171" t="n">
        <f aca="false">R16+R17+R18</f>
        <v>-8401882.7661017</v>
      </c>
    </row>
    <row r="20" customFormat="false" ht="14.25" hidden="false" customHeight="true" outlineLevel="0" collapsed="false">
      <c r="A20" s="169" t="n">
        <v>50</v>
      </c>
      <c r="B20" s="166" t="s">
        <v>155</v>
      </c>
      <c r="C20" s="166" t="s">
        <v>49</v>
      </c>
      <c r="D20" s="166" t="s">
        <v>50</v>
      </c>
      <c r="E20" s="26" t="s">
        <v>51</v>
      </c>
      <c r="F20" s="158" t="n">
        <f aca="false">+אוקטובר!F20+נובמבר!F20+דצמבר!F20</f>
        <v>594913.85</v>
      </c>
      <c r="G20" s="158" t="n">
        <f aca="false">+אוקטובר!G20+נובמבר!G20+דצמבר!G20</f>
        <v>676973.71</v>
      </c>
      <c r="H20" s="158" t="n">
        <f aca="false">+אוקטובר!H20+נובמבר!H20+דצמבר!H20</f>
        <v>0</v>
      </c>
      <c r="I20" s="167" t="n">
        <f aca="false">IFERROR(H20/G20-1,"")</f>
        <v>-1</v>
      </c>
      <c r="J20" s="158" t="n">
        <f aca="false">H20-G20</f>
        <v>-676973.71</v>
      </c>
      <c r="L20" s="158" t="n">
        <v>1244673.12915</v>
      </c>
      <c r="M20" s="167" t="n">
        <f aca="false">IFERROR(H20/L20-1,"")</f>
        <v>-1</v>
      </c>
      <c r="N20" s="158" t="n">
        <f aca="false">H20-L20</f>
        <v>-1244673.12915</v>
      </c>
      <c r="P20" s="158" t="n">
        <f aca="false">'תקציב  '!AL22+'תקציב  '!AM22+'תקציב  '!AN22</f>
        <v>945572.1</v>
      </c>
      <c r="Q20" s="167" t="n">
        <f aca="false">IFERROR(G20/P20-1,"")</f>
        <v>-0.284059132032343</v>
      </c>
      <c r="R20" s="158" t="n">
        <f aca="false">H20-P20</f>
        <v>-945572.1</v>
      </c>
    </row>
    <row r="21" customFormat="false" ht="14.25" hidden="false" customHeight="true" outlineLevel="0" collapsed="false">
      <c r="A21" s="169" t="n">
        <v>20</v>
      </c>
      <c r="B21" s="166" t="s">
        <v>151</v>
      </c>
      <c r="C21" s="166" t="s">
        <v>52</v>
      </c>
      <c r="D21" s="166" t="s">
        <v>53</v>
      </c>
      <c r="E21" s="26" t="s">
        <v>54</v>
      </c>
      <c r="F21" s="158" t="n">
        <f aca="false">+אוקטובר!F21+נובמבר!F21+דצמבר!F21</f>
        <v>137974.18</v>
      </c>
      <c r="G21" s="158" t="n">
        <f aca="false">+אוקטובר!G21+נובמבר!G21+דצמבר!G21</f>
        <v>284867.18</v>
      </c>
      <c r="H21" s="158" t="n">
        <f aca="false">+אוקטובר!H21+נובמבר!H21+דצמבר!H21</f>
        <v>0</v>
      </c>
      <c r="I21" s="167" t="n">
        <f aca="false">IFERROR(H21/G21-1,"")</f>
        <v>-1</v>
      </c>
      <c r="J21" s="158" t="n">
        <f aca="false">H21-G21</f>
        <v>-284867.18</v>
      </c>
      <c r="L21" s="158" t="n">
        <v>303800</v>
      </c>
      <c r="M21" s="167" t="n">
        <f aca="false">IFERROR(H21/L21-1,"")</f>
        <v>-1</v>
      </c>
      <c r="N21" s="158" t="n">
        <f aca="false">H21-L21</f>
        <v>-303800</v>
      </c>
      <c r="P21" s="158" t="n">
        <f aca="false">'תקציב  '!AL23+'תקציב  '!AM23+'תקציב  '!AN23</f>
        <v>450000</v>
      </c>
      <c r="Q21" s="167" t="n">
        <f aca="false">IFERROR(G21/P21-1,"")</f>
        <v>-0.366961822222222</v>
      </c>
      <c r="R21" s="158" t="n">
        <f aca="false">H21-P21</f>
        <v>-450000</v>
      </c>
    </row>
    <row r="22" customFormat="false" ht="14.25" hidden="false" customHeight="true" outlineLevel="0" collapsed="false">
      <c r="A22" s="169" t="n">
        <v>21</v>
      </c>
      <c r="B22" s="166" t="s">
        <v>157</v>
      </c>
      <c r="C22" s="166" t="s">
        <v>55</v>
      </c>
      <c r="D22" s="166" t="s">
        <v>56</v>
      </c>
      <c r="E22" s="26" t="s">
        <v>57</v>
      </c>
      <c r="F22" s="158" t="n">
        <f aca="false">+אוקטובר!F22+נובמבר!F22+דצמבר!F22</f>
        <v>220830.5</v>
      </c>
      <c r="G22" s="158" t="n">
        <f aca="false">+אוקטובר!G22+נובמבר!G22+דצמבר!G22</f>
        <v>54650.07</v>
      </c>
      <c r="H22" s="158" t="n">
        <f aca="false">+אוקטובר!H22+נובמבר!H22+דצמבר!H22</f>
        <v>0</v>
      </c>
      <c r="I22" s="167" t="n">
        <f aca="false">IFERROR(H22/G22-1,"")</f>
        <v>-1</v>
      </c>
      <c r="J22" s="158" t="n">
        <f aca="false">H22-G22</f>
        <v>-54650.07</v>
      </c>
      <c r="L22" s="158" t="n">
        <v>200000</v>
      </c>
      <c r="M22" s="167" t="n">
        <f aca="false">IFERROR(H22/L22-1,"")</f>
        <v>-1</v>
      </c>
      <c r="N22" s="158" t="n">
        <f aca="false">H22-L22</f>
        <v>-200000</v>
      </c>
      <c r="P22" s="158" t="n">
        <f aca="false">'תקציב  '!AL24+'תקציב  '!AM24+'תקציב  '!AN24</f>
        <v>220000</v>
      </c>
      <c r="Q22" s="167" t="n">
        <f aca="false">IFERROR(G22/P22-1,"")</f>
        <v>-0.751590590909091</v>
      </c>
      <c r="R22" s="158" t="n">
        <f aca="false">H22-P22</f>
        <v>-220000</v>
      </c>
    </row>
    <row r="23" customFormat="false" ht="14.25" hidden="false" customHeight="true" outlineLevel="0" collapsed="false">
      <c r="A23" s="169" t="n">
        <v>22</v>
      </c>
      <c r="B23" s="166" t="s">
        <v>159</v>
      </c>
      <c r="C23" s="166" t="s">
        <v>58</v>
      </c>
      <c r="D23" s="166" t="s">
        <v>59</v>
      </c>
      <c r="E23" s="26" t="s">
        <v>60</v>
      </c>
      <c r="F23" s="158" t="n">
        <f aca="false">+אוקטובר!F23+נובמבר!F23+דצמבר!F23</f>
        <v>167224.53</v>
      </c>
      <c r="G23" s="158" t="n">
        <f aca="false">+אוקטובר!G23+נובמבר!G23+דצמבר!G23</f>
        <v>83397.79</v>
      </c>
      <c r="H23" s="158" t="n">
        <f aca="false">+אוקטובר!H23+נובמבר!H23+דצמבר!H23</f>
        <v>0</v>
      </c>
      <c r="I23" s="167" t="n">
        <f aca="false">IFERROR(H23/G23-1,"")</f>
        <v>-1</v>
      </c>
      <c r="J23" s="158" t="n">
        <f aca="false">H23-G23</f>
        <v>-83397.79</v>
      </c>
      <c r="L23" s="158" t="n">
        <v>82841</v>
      </c>
      <c r="M23" s="167" t="n">
        <f aca="false">IFERROR(H23/L23-1,"")</f>
        <v>-1</v>
      </c>
      <c r="N23" s="158" t="n">
        <f aca="false">H23-L23</f>
        <v>-82841</v>
      </c>
      <c r="P23" s="158" t="n">
        <f aca="false">'תקציב  '!AL25+'תקציב  '!AM25+'תקציב  '!AN25</f>
        <v>75000</v>
      </c>
      <c r="Q23" s="167" t="n">
        <f aca="false">IFERROR(G23/P23-1,"")</f>
        <v>0.111970533333333</v>
      </c>
      <c r="R23" s="158" t="n">
        <f aca="false">H23-P23</f>
        <v>-75000</v>
      </c>
    </row>
    <row r="24" customFormat="false" ht="14.25" hidden="false" customHeight="true" outlineLevel="0" collapsed="false">
      <c r="A24" s="169" t="n">
        <v>23</v>
      </c>
      <c r="B24" s="166" t="s">
        <v>154</v>
      </c>
      <c r="C24" s="166" t="s">
        <v>61</v>
      </c>
      <c r="D24" s="166" t="s">
        <v>62</v>
      </c>
      <c r="E24" s="26" t="s">
        <v>63</v>
      </c>
      <c r="F24" s="158" t="n">
        <f aca="false">+אוקטובר!F24+נובמבר!F24+דצמבר!F24</f>
        <v>17813.97</v>
      </c>
      <c r="G24" s="158" t="n">
        <f aca="false">+אוקטובר!G24+נובמבר!G24+דצמבר!G24</f>
        <v>31158.35</v>
      </c>
      <c r="H24" s="158" t="n">
        <f aca="false">+אוקטובר!H24+נובמבר!H24+דצמבר!H24</f>
        <v>0</v>
      </c>
      <c r="I24" s="167" t="n">
        <f aca="false">IFERROR(H24/G24-1,"")</f>
        <v>-1</v>
      </c>
      <c r="J24" s="158" t="n">
        <f aca="false">H24-G24</f>
        <v>-31158.35</v>
      </c>
      <c r="L24" s="158" t="n">
        <v>26225</v>
      </c>
      <c r="M24" s="167" t="n">
        <f aca="false">IFERROR(H24/L24-1,"")</f>
        <v>-1</v>
      </c>
      <c r="N24" s="158" t="n">
        <f aca="false">H24-L24</f>
        <v>-26225</v>
      </c>
      <c r="P24" s="158" t="n">
        <f aca="false">'תקציב  '!AL26+'תקציב  '!AM26+'תקציב  '!AN26</f>
        <v>20000</v>
      </c>
      <c r="Q24" s="167" t="n">
        <f aca="false">IFERROR(G24/P24-1,"")</f>
        <v>0.5579175</v>
      </c>
      <c r="R24" s="158" t="n">
        <f aca="false">H24-P24</f>
        <v>-20000</v>
      </c>
    </row>
    <row r="25" customFormat="false" ht="14.25" hidden="false" customHeight="true" outlineLevel="0" collapsed="false">
      <c r="A25" s="169" t="n">
        <v>24</v>
      </c>
      <c r="B25" s="166" t="s">
        <v>156</v>
      </c>
      <c r="C25" s="166" t="s">
        <v>64</v>
      </c>
      <c r="D25" s="166" t="s">
        <v>65</v>
      </c>
      <c r="E25" s="26" t="s">
        <v>66</v>
      </c>
      <c r="F25" s="158" t="n">
        <f aca="false">+אוקטובר!F25+נובמבר!F25+דצמבר!F25</f>
        <v>44572.45</v>
      </c>
      <c r="G25" s="158" t="n">
        <f aca="false">+אוקטובר!G25+נובמבר!G25+דצמבר!G25</f>
        <v>0</v>
      </c>
      <c r="H25" s="158" t="n">
        <f aca="false">+אוקטובר!H25+נובמבר!H25+דצמבר!H25</f>
        <v>0</v>
      </c>
      <c r="I25" s="167" t="str">
        <f aca="false">IFERROR(H25/G25-1,"")</f>
        <v/>
      </c>
      <c r="J25" s="158" t="n">
        <f aca="false">H25-G25</f>
        <v>0</v>
      </c>
      <c r="L25" s="158" t="n">
        <v>15000</v>
      </c>
      <c r="M25" s="167" t="n">
        <f aca="false">IFERROR(H25/L25-1,"")</f>
        <v>-1</v>
      </c>
      <c r="N25" s="158" t="n">
        <f aca="false">H25-L25</f>
        <v>-15000</v>
      </c>
      <c r="P25" s="158" t="n">
        <f aca="false">'תקציב  '!AL27+'תקציב  '!AM27+'תקציב  '!AN27</f>
        <v>0</v>
      </c>
      <c r="Q25" s="167" t="str">
        <f aca="false">IFERROR(G25/P25-1,"")</f>
        <v/>
      </c>
      <c r="R25" s="158" t="n">
        <f aca="false">H25-P25</f>
        <v>0</v>
      </c>
    </row>
    <row r="26" customFormat="false" ht="13.5" hidden="false" customHeight="true" outlineLevel="0" collapsed="false">
      <c r="A26" s="169" t="n">
        <v>25</v>
      </c>
      <c r="B26" s="166" t="s">
        <v>162</v>
      </c>
      <c r="C26" s="166" t="s">
        <v>67</v>
      </c>
      <c r="D26" s="166" t="s">
        <v>68</v>
      </c>
      <c r="E26" s="26" t="s">
        <v>69</v>
      </c>
      <c r="F26" s="158" t="n">
        <f aca="false">+אוקטובר!F26+נובמבר!F26+דצמבר!F26</f>
        <v>222074.04</v>
      </c>
      <c r="G26" s="158" t="n">
        <f aca="false">+אוקטובר!G26+נובמבר!G26+דצמבר!G26</f>
        <v>146752.62</v>
      </c>
      <c r="H26" s="158" t="n">
        <f aca="false">+אוקטובר!H26+נובמבר!H26+דצמבר!H26</f>
        <v>0</v>
      </c>
      <c r="I26" s="167" t="n">
        <f aca="false">IFERROR(H26/G26-1,"")</f>
        <v>-1</v>
      </c>
      <c r="J26" s="158" t="n">
        <f aca="false">H26-G26</f>
        <v>-146752.62</v>
      </c>
      <c r="L26" s="158" t="n">
        <v>150000</v>
      </c>
      <c r="M26" s="167" t="n">
        <f aca="false">IFERROR(H26/L26-1,"")</f>
        <v>-1</v>
      </c>
      <c r="N26" s="158" t="n">
        <f aca="false">H26-L26</f>
        <v>-150000</v>
      </c>
      <c r="P26" s="158" t="n">
        <f aca="false">'תקציב  '!AL28+'תקציב  '!AM28+'תקציב  '!AN28</f>
        <v>70000</v>
      </c>
      <c r="Q26" s="167" t="n">
        <f aca="false">IFERROR(G26/P26-1,"")</f>
        <v>1.096466</v>
      </c>
      <c r="R26" s="158" t="n">
        <f aca="false">H26-P26</f>
        <v>-70000</v>
      </c>
    </row>
    <row r="27" customFormat="false" ht="14.25" hidden="false" customHeight="true" outlineLevel="0" collapsed="false">
      <c r="A27" s="169" t="n">
        <v>26</v>
      </c>
      <c r="B27" s="166" t="s">
        <v>153</v>
      </c>
      <c r="C27" s="166" t="s">
        <v>70</v>
      </c>
      <c r="D27" s="166" t="s">
        <v>71</v>
      </c>
      <c r="E27" s="26" t="s">
        <v>72</v>
      </c>
      <c r="F27" s="158" t="n">
        <f aca="false">+אוקטובר!F27+נובמבר!F27+דצמבר!F27</f>
        <v>20724.08</v>
      </c>
      <c r="G27" s="158" t="n">
        <f aca="false">+אוקטובר!G27+נובמבר!G27+דצמבר!G27</f>
        <v>20604.23</v>
      </c>
      <c r="H27" s="158" t="n">
        <f aca="false">+אוקטובר!H27+נובמבר!H27+דצמבר!H27</f>
        <v>0</v>
      </c>
      <c r="I27" s="167" t="n">
        <f aca="false">IFERROR(H27/G27-1,"")</f>
        <v>-1</v>
      </c>
      <c r="J27" s="158" t="n">
        <f aca="false">H27-G27</f>
        <v>-20604.23</v>
      </c>
      <c r="L27" s="158" t="n">
        <v>40000</v>
      </c>
      <c r="M27" s="167" t="n">
        <f aca="false">IFERROR(H27/L27-1,"")</f>
        <v>-1</v>
      </c>
      <c r="N27" s="158" t="n">
        <f aca="false">H27-L27</f>
        <v>-40000</v>
      </c>
      <c r="P27" s="158" t="n">
        <f aca="false">'תקציב  '!AL29+'תקציב  '!AM29+'תקציב  '!AN29</f>
        <v>20000</v>
      </c>
      <c r="Q27" s="167" t="n">
        <f aca="false">IFERROR(G27/P27-1,"")</f>
        <v>0.0302115000000001</v>
      </c>
      <c r="R27" s="158" t="n">
        <f aca="false">H27-P27</f>
        <v>-20000</v>
      </c>
    </row>
    <row r="28" customFormat="false" ht="13.5" hidden="false" customHeight="true" outlineLevel="0" collapsed="false">
      <c r="A28" s="169" t="n">
        <v>27</v>
      </c>
      <c r="B28" s="166" t="s">
        <v>163</v>
      </c>
      <c r="C28" s="166" t="s">
        <v>73</v>
      </c>
      <c r="D28" s="166" t="s">
        <v>74</v>
      </c>
      <c r="E28" s="26" t="s">
        <v>75</v>
      </c>
      <c r="F28" s="158" t="n">
        <f aca="false">+אוקטובר!F28+נובמבר!F28+דצמבר!F28</f>
        <v>198800.83</v>
      </c>
      <c r="G28" s="158" t="n">
        <f aca="false">+אוקטובר!G28+נובמבר!G28+דצמבר!G28</f>
        <v>256771.88</v>
      </c>
      <c r="H28" s="158" t="n">
        <f aca="false">+אוקטובר!H28+נובמבר!H28+דצמבר!H28</f>
        <v>0</v>
      </c>
      <c r="I28" s="167" t="n">
        <f aca="false">IFERROR(H28/G28-1,"")</f>
        <v>-1</v>
      </c>
      <c r="J28" s="158" t="n">
        <f aca="false">H28-G28</f>
        <v>-256771.88</v>
      </c>
      <c r="L28" s="158" t="n">
        <v>0</v>
      </c>
      <c r="M28" s="167" t="str">
        <f aca="false">IFERROR(H28/L28-1,"")</f>
        <v/>
      </c>
      <c r="N28" s="158" t="n">
        <f aca="false">H28-L28</f>
        <v>0</v>
      </c>
      <c r="P28" s="158" t="n">
        <f aca="false">'תקציב  '!AL30+'תקציב  '!AM30+'תקציב  '!AN30</f>
        <v>100000</v>
      </c>
      <c r="Q28" s="167" t="n">
        <f aca="false">IFERROR(G28/P28-1,"")</f>
        <v>1.5677188</v>
      </c>
      <c r="R28" s="158" t="n">
        <f aca="false">H28-P28</f>
        <v>-100000</v>
      </c>
    </row>
    <row r="29" customFormat="false" ht="13.5" hidden="false" customHeight="true" outlineLevel="0" collapsed="false">
      <c r="A29" s="169" t="n">
        <v>28</v>
      </c>
      <c r="B29" s="166" t="s">
        <v>164</v>
      </c>
      <c r="C29" s="166" t="s">
        <v>76</v>
      </c>
      <c r="D29" s="166" t="s">
        <v>77</v>
      </c>
      <c r="E29" s="26" t="s">
        <v>78</v>
      </c>
      <c r="F29" s="158" t="n">
        <f aca="false">+אוקטובר!F29+נובמבר!F29+דצמבר!F29</f>
        <v>62633.86</v>
      </c>
      <c r="G29" s="158" t="n">
        <f aca="false">+אוקטובר!G29+נובמבר!G29+דצמבר!G29</f>
        <v>106882.54</v>
      </c>
      <c r="H29" s="158" t="n">
        <f aca="false">+אוקטובר!H29+נובמבר!H29+דצמבר!H29</f>
        <v>0</v>
      </c>
      <c r="I29" s="167" t="n">
        <f aca="false">IFERROR(H29/G29-1,"")</f>
        <v>-1</v>
      </c>
      <c r="J29" s="158" t="n">
        <f aca="false">H29-G29</f>
        <v>-106882.54</v>
      </c>
      <c r="L29" s="158" t="n">
        <v>119295.228</v>
      </c>
      <c r="M29" s="167" t="n">
        <f aca="false">IFERROR(H29/L29-1,"")</f>
        <v>-1</v>
      </c>
      <c r="N29" s="158" t="n">
        <f aca="false">H29-L29</f>
        <v>-119295.228</v>
      </c>
      <c r="P29" s="158" t="n">
        <f aca="false">'תקציב  '!AL31+'תקציב  '!AM31+'תקציב  '!AN31</f>
        <v>75000</v>
      </c>
      <c r="Q29" s="167" t="n">
        <f aca="false">IFERROR(G29/P29-1,"")</f>
        <v>0.425100533333334</v>
      </c>
      <c r="R29" s="158" t="n">
        <f aca="false">H29-P29</f>
        <v>-75000</v>
      </c>
    </row>
    <row r="30" customFormat="false" ht="14.25" hidden="false" customHeight="true" outlineLevel="0" collapsed="false">
      <c r="A30" s="169" t="n">
        <v>29</v>
      </c>
      <c r="B30" s="166" t="s">
        <v>158</v>
      </c>
      <c r="C30" s="166" t="s">
        <v>79</v>
      </c>
      <c r="D30" s="166" t="s">
        <v>80</v>
      </c>
      <c r="E30" s="26" t="s">
        <v>81</v>
      </c>
      <c r="F30" s="158" t="n">
        <f aca="false">+אוקטובר!F30+נובמבר!F30+דצמבר!F30</f>
        <v>3920.16</v>
      </c>
      <c r="G30" s="158" t="n">
        <f aca="false">+אוקטובר!G30+נובמבר!G30+דצמבר!G30</f>
        <v>32544.41</v>
      </c>
      <c r="H30" s="158" t="n">
        <f aca="false">+אוקטובר!H30+נובמבר!H30+דצמבר!H30</f>
        <v>0</v>
      </c>
      <c r="I30" s="167" t="n">
        <f aca="false">IFERROR(H30/G30-1,"")</f>
        <v>-1</v>
      </c>
      <c r="J30" s="158" t="n">
        <f aca="false">H30-G30</f>
        <v>-32544.41</v>
      </c>
      <c r="L30" s="158" t="n">
        <v>35000</v>
      </c>
      <c r="M30" s="167" t="n">
        <f aca="false">IFERROR(H30/L30-1,"")</f>
        <v>-1</v>
      </c>
      <c r="N30" s="158" t="n">
        <f aca="false">H30-L30</f>
        <v>-35000</v>
      </c>
      <c r="P30" s="158" t="n">
        <f aca="false">'תקציב  '!AL32+'תקציב  '!AM32+'תקציב  '!AN32</f>
        <v>30000</v>
      </c>
      <c r="Q30" s="167" t="n">
        <f aca="false">IFERROR(G30/P30-1,"")</f>
        <v>0.0848136666666666</v>
      </c>
      <c r="R30" s="158" t="n">
        <f aca="false">H30-P30</f>
        <v>-30000</v>
      </c>
    </row>
    <row r="31" customFormat="false" ht="14.25" hidden="false" customHeight="true" outlineLevel="0" collapsed="false">
      <c r="A31" s="169" t="n">
        <v>30</v>
      </c>
      <c r="B31" s="166" t="s">
        <v>152</v>
      </c>
      <c r="C31" s="166" t="s">
        <v>82</v>
      </c>
      <c r="D31" s="166" t="s">
        <v>83</v>
      </c>
      <c r="E31" s="26" t="s">
        <v>81</v>
      </c>
      <c r="F31" s="158" t="n">
        <f aca="false">+אוקטובר!F31+נובמבר!F31+דצמבר!F31</f>
        <v>0</v>
      </c>
      <c r="G31" s="158" t="n">
        <f aca="false">+אוקטובר!G31+נובמבר!G31+דצמבר!G31</f>
        <v>22174.9</v>
      </c>
      <c r="H31" s="158" t="n">
        <f aca="false">+אוקטובר!H31+נובמבר!H31+דצמבר!H31</f>
        <v>0</v>
      </c>
      <c r="I31" s="167" t="n">
        <f aca="false">IFERROR(H31/G31-1,"")</f>
        <v>-1</v>
      </c>
      <c r="J31" s="158" t="n">
        <f aca="false">H31-G31</f>
        <v>-22174.9</v>
      </c>
      <c r="L31" s="158" t="n">
        <v>19793</v>
      </c>
      <c r="M31" s="167" t="n">
        <f aca="false">IFERROR(H31/L31-1,"")</f>
        <v>-1</v>
      </c>
      <c r="N31" s="158" t="n">
        <f aca="false">H31-L31</f>
        <v>-19793</v>
      </c>
      <c r="P31" s="158" t="n">
        <f aca="false">'תקציב  '!AL33+'תקציב  '!AM33+'תקציב  '!AN33</f>
        <v>0</v>
      </c>
      <c r="Q31" s="167" t="str">
        <f aca="false">IFERROR(G31/P31-1,"")</f>
        <v/>
      </c>
      <c r="R31" s="158" t="n">
        <f aca="false">H31-P31</f>
        <v>0</v>
      </c>
    </row>
    <row r="32" customFormat="false" ht="13.5" hidden="false" customHeight="true" outlineLevel="0" collapsed="false">
      <c r="A32" s="169" t="n">
        <v>31</v>
      </c>
      <c r="B32" s="166" t="s">
        <v>84</v>
      </c>
      <c r="C32" s="166" t="s">
        <v>84</v>
      </c>
      <c r="D32" s="166" t="s">
        <v>85</v>
      </c>
      <c r="E32" s="26" t="s">
        <v>86</v>
      </c>
      <c r="F32" s="158" t="n">
        <f aca="false">+אוקטובר!F32+נובמבר!F32+דצמבר!F32</f>
        <v>0</v>
      </c>
      <c r="G32" s="158" t="n">
        <f aca="false">+אוקטובר!G32+נובמבר!G32+דצמבר!G32</f>
        <v>0</v>
      </c>
      <c r="H32" s="158" t="n">
        <f aca="false">+אוקטובר!H32+נובמבר!H32+דצמבר!H32</f>
        <v>0</v>
      </c>
      <c r="I32" s="167" t="str">
        <f aca="false">IFERROR(H32/G32-1,"")</f>
        <v/>
      </c>
      <c r="J32" s="158" t="n">
        <f aca="false">H32-G32</f>
        <v>0</v>
      </c>
      <c r="L32" s="158" t="n">
        <v>0</v>
      </c>
      <c r="M32" s="167" t="str">
        <f aca="false">IFERROR(H32/L32-1,"")</f>
        <v/>
      </c>
      <c r="N32" s="158" t="n">
        <f aca="false">H32-L32</f>
        <v>0</v>
      </c>
      <c r="P32" s="158" t="n">
        <f aca="false">'תקציב  '!AL34+'תקציב  '!AM34+'תקציב  '!AN34</f>
        <v>0</v>
      </c>
      <c r="Q32" s="167" t="str">
        <f aca="false">IFERROR(G32/P32-1,"")</f>
        <v/>
      </c>
      <c r="R32" s="158" t="n">
        <f aca="false">H32-P32</f>
        <v>0</v>
      </c>
    </row>
    <row r="33" customFormat="false" ht="13.5" hidden="false" customHeight="true" outlineLevel="0" collapsed="false">
      <c r="A33" s="169"/>
      <c r="B33" s="166"/>
      <c r="C33" s="166"/>
      <c r="D33" s="166" t="s">
        <v>171</v>
      </c>
      <c r="E33" s="26" t="s">
        <v>172</v>
      </c>
      <c r="F33" s="158" t="n">
        <f aca="false">+אוקטובר!F33+נובמבר!F33+דצמבר!F33</f>
        <v>0</v>
      </c>
      <c r="G33" s="158" t="n">
        <f aca="false">+אוקטובר!G33+נובמבר!G33+דצמבר!G33</f>
        <v>0</v>
      </c>
      <c r="H33" s="158" t="n">
        <f aca="false">+אוקטובר!H33+נובמבר!H33+דצמבר!H33</f>
        <v>0</v>
      </c>
      <c r="I33" s="167" t="str">
        <f aca="false">IFERROR(H33/G33-1,"")</f>
        <v/>
      </c>
      <c r="J33" s="158" t="n">
        <f aca="false">H33-G33</f>
        <v>0</v>
      </c>
      <c r="L33" s="158" t="n">
        <v>0</v>
      </c>
      <c r="M33" s="167" t="str">
        <f aca="false">IFERROR(H33/L33-1,"")</f>
        <v/>
      </c>
      <c r="N33" s="158" t="n">
        <f aca="false">H33-L33</f>
        <v>0</v>
      </c>
      <c r="P33" s="158"/>
      <c r="Q33" s="167"/>
      <c r="R33" s="158"/>
    </row>
    <row r="34" customFormat="false" ht="13.5" hidden="false" customHeight="true" outlineLevel="0" collapsed="false">
      <c r="A34" s="169" t="n">
        <v>32</v>
      </c>
      <c r="B34" s="166" t="s">
        <v>161</v>
      </c>
      <c r="C34" s="166" t="s">
        <v>87</v>
      </c>
      <c r="D34" s="166" t="s">
        <v>88</v>
      </c>
      <c r="E34" s="26" t="s">
        <v>89</v>
      </c>
      <c r="F34" s="158" t="n">
        <f aca="false">+אוקטובר!F34+נובמבר!F34+דצמבר!F34</f>
        <v>0</v>
      </c>
      <c r="G34" s="158" t="n">
        <f aca="false">+אוקטובר!G34+נובמבר!G34+דצמבר!G34</f>
        <v>0</v>
      </c>
      <c r="H34" s="158" t="n">
        <f aca="false">+אוקטובר!H34+נובמבר!H34+דצמבר!H34</f>
        <v>0</v>
      </c>
      <c r="I34" s="167" t="str">
        <f aca="false">IFERROR(H34/G34-1,"")</f>
        <v/>
      </c>
      <c r="J34" s="158" t="n">
        <f aca="false">H34-G34</f>
        <v>0</v>
      </c>
      <c r="L34" s="158" t="n">
        <v>0</v>
      </c>
      <c r="M34" s="167" t="str">
        <f aca="false">IFERROR(H34/L34-1,"")</f>
        <v/>
      </c>
      <c r="N34" s="158" t="n">
        <f aca="false">H34-L34</f>
        <v>0</v>
      </c>
      <c r="P34" s="158" t="n">
        <f aca="false">'תקציב  '!AL35+'תקציב  '!AM35+'תקציב  '!AN35</f>
        <v>0</v>
      </c>
      <c r="Q34" s="167"/>
      <c r="R34" s="158"/>
    </row>
    <row r="35" customFormat="false" ht="13.5" hidden="false" customHeight="true" outlineLevel="0" collapsed="false">
      <c r="A35" s="169" t="n">
        <v>33</v>
      </c>
      <c r="B35" s="166" t="s">
        <v>160</v>
      </c>
      <c r="C35" s="166" t="s">
        <v>90</v>
      </c>
      <c r="D35" s="166" t="s">
        <v>91</v>
      </c>
      <c r="E35" s="26" t="s">
        <v>92</v>
      </c>
      <c r="F35" s="158" t="n">
        <f aca="false">+אוקטובר!F35+נובמבר!F35+דצמבר!F35</f>
        <v>0</v>
      </c>
      <c r="G35" s="158" t="n">
        <f aca="false">+אוקטובר!G35+נובמבר!G35+דצמבר!G35</f>
        <v>23331.65</v>
      </c>
      <c r="H35" s="158" t="n">
        <f aca="false">+אוקטובר!H35+נובמבר!H35+דצמבר!H35</f>
        <v>0</v>
      </c>
      <c r="I35" s="167" t="n">
        <f aca="false">IFERROR(H35/G35-1,"")</f>
        <v>-1</v>
      </c>
      <c r="J35" s="158" t="n">
        <f aca="false">H35-G35</f>
        <v>-23331.65</v>
      </c>
      <c r="L35" s="158" t="n">
        <v>40000</v>
      </c>
      <c r="M35" s="167" t="n">
        <f aca="false">IFERROR(H35/L35-1,"")</f>
        <v>-1</v>
      </c>
      <c r="N35" s="158" t="n">
        <f aca="false">H35-L35</f>
        <v>-40000</v>
      </c>
      <c r="P35" s="158" t="n">
        <f aca="false">'תקציב  '!AL36+'תקציב  '!AM36+'תקציב  '!AN36</f>
        <v>25000</v>
      </c>
      <c r="Q35" s="167"/>
      <c r="R35" s="158"/>
    </row>
    <row r="36" customFormat="false" ht="14.25" hidden="false" customHeight="true" outlineLevel="0" collapsed="false">
      <c r="A36" s="169"/>
      <c r="B36" s="166" t="s">
        <v>166</v>
      </c>
      <c r="C36" s="166" t="s">
        <v>166</v>
      </c>
      <c r="D36" s="166" t="s">
        <v>173</v>
      </c>
      <c r="E36" s="26" t="s">
        <v>78</v>
      </c>
      <c r="F36" s="158" t="n">
        <f aca="false">+אוקטובר!F36+נובמבר!F36+דצמבר!F36</f>
        <v>0</v>
      </c>
      <c r="G36" s="158" t="n">
        <f aca="false">+אוקטובר!G36+נובמבר!G36+דצמבר!G36</f>
        <v>0</v>
      </c>
      <c r="H36" s="158" t="n">
        <f aca="false">+אוקטובר!H36+נובמבר!H36+דצמבר!H36</f>
        <v>0</v>
      </c>
      <c r="I36" s="167" t="str">
        <f aca="false">IFERROR(H36/G36-1,"")</f>
        <v/>
      </c>
      <c r="J36" s="158" t="n">
        <f aca="false">H36-G36</f>
        <v>0</v>
      </c>
      <c r="L36" s="158" t="n">
        <v>0</v>
      </c>
      <c r="M36" s="167" t="str">
        <f aca="false">IFERROR(H36/L36-1,"")</f>
        <v/>
      </c>
      <c r="N36" s="158" t="n">
        <f aca="false">H36-L36</f>
        <v>0</v>
      </c>
      <c r="P36" s="158"/>
      <c r="Q36" s="167"/>
      <c r="R36" s="158"/>
    </row>
    <row r="37" customFormat="false" ht="14.25" hidden="false" customHeight="true" outlineLevel="0" collapsed="false">
      <c r="A37" s="169" t="n">
        <v>34</v>
      </c>
      <c r="B37" s="166" t="s">
        <v>165</v>
      </c>
      <c r="C37" s="166" t="s">
        <v>165</v>
      </c>
      <c r="D37" s="166" t="s">
        <v>93</v>
      </c>
      <c r="E37" s="26" t="s">
        <v>174</v>
      </c>
      <c r="F37" s="158" t="n">
        <f aca="false">+אוקטובר!F37+נובמבר!F37+דצמבר!F37</f>
        <v>0</v>
      </c>
      <c r="G37" s="158" t="n">
        <f aca="false">+אוקטובר!G37+נובמבר!G37+דצמבר!G37</f>
        <v>0</v>
      </c>
      <c r="H37" s="158" t="n">
        <f aca="false">+אוקטובר!H37+נובמבר!H37+דצמבר!H37</f>
        <v>0</v>
      </c>
      <c r="I37" s="167" t="str">
        <f aca="false">IFERROR(H37/G37-1,"")</f>
        <v/>
      </c>
      <c r="J37" s="158" t="n">
        <f aca="false">H37-G37</f>
        <v>0</v>
      </c>
      <c r="L37" s="158" t="n">
        <v>0</v>
      </c>
      <c r="M37" s="167" t="str">
        <f aca="false">IFERROR(H37/L37-1,"")</f>
        <v/>
      </c>
      <c r="N37" s="158" t="n">
        <f aca="false">H37-L37</f>
        <v>0</v>
      </c>
      <c r="P37" s="158" t="n">
        <f aca="false">'תקציב  '!AL37+'תקציב  '!AM37+'תקציב  '!AN37</f>
        <v>0</v>
      </c>
      <c r="Q37" s="167"/>
      <c r="R37" s="158"/>
    </row>
    <row r="38" customFormat="false" ht="13.5" hidden="false" customHeight="true" outlineLevel="0" collapsed="false">
      <c r="A38" s="169" t="n">
        <v>35</v>
      </c>
      <c r="B38" s="166" t="s">
        <v>94</v>
      </c>
      <c r="C38" s="166" t="s">
        <v>94</v>
      </c>
      <c r="D38" s="166" t="s">
        <v>95</v>
      </c>
      <c r="E38" s="26" t="s">
        <v>51</v>
      </c>
      <c r="F38" s="158" t="n">
        <f aca="false">+אוקטובר!F38+נובמבר!F38+דצמבר!F38</f>
        <v>161576.19</v>
      </c>
      <c r="G38" s="158" t="n">
        <f aca="false">+אוקטובר!G38+נובמבר!G38+דצמבר!G38</f>
        <v>0</v>
      </c>
      <c r="H38" s="158" t="n">
        <f aca="false">+אוקטובר!H38+נובמבר!H38+דצמבר!H38</f>
        <v>0</v>
      </c>
      <c r="I38" s="167" t="str">
        <f aca="false">IFERROR(H38/G38-1,"")</f>
        <v/>
      </c>
      <c r="J38" s="158" t="n">
        <f aca="false">H38-G38</f>
        <v>0</v>
      </c>
      <c r="L38" s="158" t="n">
        <v>200000</v>
      </c>
      <c r="M38" s="167" t="n">
        <f aca="false">IFERROR(H38/L38-1,"")</f>
        <v>-1</v>
      </c>
      <c r="N38" s="158" t="n">
        <f aca="false">H38-L38</f>
        <v>-200000</v>
      </c>
      <c r="P38" s="158" t="n">
        <f aca="false">'תקציב  '!AL38+'תקציב  '!AM38+'תקציב  '!AN38</f>
        <v>0</v>
      </c>
      <c r="Q38" s="167"/>
      <c r="R38" s="158"/>
    </row>
    <row r="39" customFormat="false" ht="13.5" hidden="false" customHeight="true" outlineLevel="0" collapsed="false">
      <c r="A39" s="169" t="n">
        <v>36</v>
      </c>
      <c r="B39" s="166"/>
      <c r="C39" s="166" t="s">
        <v>97</v>
      </c>
      <c r="D39" s="166" t="s">
        <v>97</v>
      </c>
      <c r="E39" s="26"/>
      <c r="F39" s="158" t="n">
        <f aca="false">+אוקטובר!F39+נובמבר!F39+דצמבר!F39</f>
        <v>0</v>
      </c>
      <c r="G39" s="158" t="n">
        <f aca="false">+אוקטובר!G39+נובמבר!G39+דצמבר!G39</f>
        <v>0</v>
      </c>
      <c r="H39" s="158" t="n">
        <f aca="false">+אוקטובר!H39+נובמבר!H39+דצמבר!H39</f>
        <v>0</v>
      </c>
      <c r="I39" s="167" t="str">
        <f aca="false">IFERROR(H39/G39-1,"")</f>
        <v/>
      </c>
      <c r="J39" s="158" t="n">
        <f aca="false">H39-G39</f>
        <v>0</v>
      </c>
      <c r="L39" s="158" t="n">
        <v>200000</v>
      </c>
      <c r="M39" s="167" t="n">
        <f aca="false">IFERROR(H39/L39-1,"")</f>
        <v>-1</v>
      </c>
      <c r="N39" s="158" t="n">
        <f aca="false">H39-L39</f>
        <v>-200000</v>
      </c>
      <c r="P39" s="158" t="n">
        <f aca="false">'תקציב  '!AL39+'תקציב  '!AM39+'תקציב  '!AN39</f>
        <v>100000</v>
      </c>
      <c r="Q39" s="167"/>
      <c r="R39" s="158"/>
    </row>
    <row r="40" customFormat="false" ht="15" hidden="false" customHeight="true" outlineLevel="0" collapsed="false">
      <c r="A40" s="169"/>
      <c r="B40" s="173"/>
      <c r="C40" s="173" t="s">
        <v>98</v>
      </c>
      <c r="D40" s="173" t="s">
        <v>98</v>
      </c>
      <c r="E40" s="173"/>
      <c r="F40" s="173" t="n">
        <f aca="false">SUM(F20:F39)</f>
        <v>1853058.64</v>
      </c>
      <c r="G40" s="173" t="n">
        <f aca="false">SUM(G20:G39)</f>
        <v>1740109.33</v>
      </c>
      <c r="H40" s="173" t="n">
        <f aca="false">SUM(H20:H39)</f>
        <v>0</v>
      </c>
      <c r="I40" s="174" t="n">
        <f aca="false">IFERROR(H40/G40-1,"")</f>
        <v>-1</v>
      </c>
      <c r="J40" s="173" t="n">
        <f aca="false">SUM(J20:J39)</f>
        <v>-1740109.33</v>
      </c>
      <c r="L40" s="173" t="n">
        <v>2676627.35715</v>
      </c>
      <c r="M40" s="174" t="n">
        <f aca="false">IFERROR(H40/L40-1,"")</f>
        <v>-1</v>
      </c>
      <c r="N40" s="173" t="n">
        <f aca="false">SUM(N20:N39)</f>
        <v>-2676627.35715</v>
      </c>
      <c r="P40" s="173" t="n">
        <f aca="false">SUM(P20:P39)</f>
        <v>2130572.1</v>
      </c>
      <c r="Q40" s="174" t="n">
        <f aca="false">IFERROR(G40/P40-1,"")</f>
        <v>-0.183266630591849</v>
      </c>
      <c r="R40" s="173" t="n">
        <f aca="false">SUM(R20:R39)</f>
        <v>-2005572.1</v>
      </c>
    </row>
    <row r="41" customFormat="false" ht="15" hidden="false" customHeight="true" outlineLevel="0" collapsed="false">
      <c r="A41" s="169"/>
      <c r="B41" s="175"/>
      <c r="C41" s="175" t="s">
        <v>175</v>
      </c>
      <c r="D41" s="175" t="s">
        <v>175</v>
      </c>
      <c r="E41" s="175"/>
      <c r="F41" s="175" t="n">
        <f aca="false">F40+F19</f>
        <v>5991738.124</v>
      </c>
      <c r="G41" s="175" t="n">
        <f aca="false">G40+G19</f>
        <v>6153613.75</v>
      </c>
      <c r="H41" s="175" t="n">
        <f aca="false">H40+H19</f>
        <v>20995.2</v>
      </c>
      <c r="I41" s="147" t="n">
        <f aca="false">IFERROR(H41/G41-1,"")</f>
        <v>-0.996588151149396</v>
      </c>
      <c r="J41" s="175" t="n">
        <f aca="false">J40+J19</f>
        <v>-6132618.55</v>
      </c>
      <c r="L41" s="175" t="n">
        <v>12494120.9105116</v>
      </c>
      <c r="M41" s="147" t="n">
        <f aca="false">IFERROR(H41/L41-1,"")</f>
        <v>-0.99831959365926</v>
      </c>
      <c r="N41" s="175" t="n">
        <f aca="false">N40+N19</f>
        <v>-12473125.7105116</v>
      </c>
      <c r="P41" s="175" t="n">
        <f aca="false">P40+P19</f>
        <v>10553450.0661017</v>
      </c>
      <c r="Q41" s="147" t="n">
        <f aca="false">IFERROR(G41/P41-1,"")</f>
        <v>-0.416909758282197</v>
      </c>
      <c r="R41" s="175" t="n">
        <f aca="false">R40+R19</f>
        <v>-10407454.8661017</v>
      </c>
    </row>
    <row r="42" customFormat="false" ht="15" hidden="false" customHeight="true" outlineLevel="0" collapsed="false">
      <c r="B42" s="176"/>
      <c r="C42" s="176" t="s">
        <v>121</v>
      </c>
      <c r="D42" s="176" t="s">
        <v>121</v>
      </c>
      <c r="E42" s="223"/>
      <c r="F42" s="177" t="n">
        <f aca="false">F40/F41</f>
        <v>0.309268963638038</v>
      </c>
      <c r="G42" s="177" t="n">
        <f aca="false">G40/G41</f>
        <v>0.282778445429728</v>
      </c>
      <c r="H42" s="177" t="n">
        <f aca="false">H40/H41</f>
        <v>0</v>
      </c>
      <c r="I42" s="177" t="n">
        <f aca="false">IFERROR(H42/G42-1,"")</f>
        <v>-1</v>
      </c>
      <c r="J42" s="177"/>
      <c r="L42" s="177"/>
      <c r="M42" s="177"/>
      <c r="N42" s="177"/>
      <c r="P42" s="177"/>
      <c r="Q42" s="177"/>
      <c r="R42" s="177"/>
    </row>
    <row r="43" customFormat="false" ht="14.25" hidden="false" customHeight="true" outlineLevel="0" collapsed="false">
      <c r="F43" s="1" t="n">
        <f aca="false">F41-אוקטובר!F41-נובמבר!F41-דצמבר!F41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8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H2075" activeCellId="0" sqref="H2075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33.38"/>
    <col collapsed="false" customWidth="true" hidden="false" outlineLevel="0" max="2" min="2" style="1" width="21.62"/>
    <col collapsed="false" customWidth="true" hidden="false" outlineLevel="0" max="3" min="3" style="1" width="11.88"/>
    <col collapsed="false" customWidth="true" hidden="false" outlineLevel="0" max="4" min="4" style="1" width="8.5"/>
    <col collapsed="false" customWidth="true" hidden="false" outlineLevel="0" max="5" min="5" style="1" width="6.88"/>
    <col collapsed="false" customWidth="true" hidden="false" outlineLevel="0" max="8" min="8" style="1" width="11.88"/>
  </cols>
  <sheetData>
    <row r="1" customFormat="false" ht="15.75" hidden="false" customHeight="true" outlineLevel="0" collapsed="false">
      <c r="A1" s="257" t="s">
        <v>263</v>
      </c>
      <c r="B1" s="257"/>
      <c r="C1" s="257"/>
      <c r="D1" s="257"/>
      <c r="E1" s="257"/>
    </row>
    <row r="2" customFormat="false" ht="15.75" hidden="false" customHeight="true" outlineLevel="0" collapsed="false">
      <c r="A2" s="257" t="s">
        <v>264</v>
      </c>
      <c r="B2" s="257"/>
      <c r="C2" s="257"/>
      <c r="D2" s="257"/>
      <c r="E2" s="257"/>
    </row>
    <row r="3" customFormat="false" ht="18" hidden="false" customHeight="true" outlineLevel="0" collapsed="false">
      <c r="A3" s="258" t="s">
        <v>265</v>
      </c>
      <c r="B3" s="258"/>
      <c r="C3" s="258"/>
      <c r="D3" s="258"/>
      <c r="E3" s="258"/>
    </row>
    <row r="4" customFormat="false" ht="18" hidden="false" customHeight="true" outlineLevel="0" collapsed="false">
      <c r="A4" s="258" t="s">
        <v>266</v>
      </c>
      <c r="B4" s="258"/>
      <c r="C4" s="258"/>
      <c r="D4" s="258"/>
      <c r="E4" s="258"/>
    </row>
    <row r="5" customFormat="false" ht="18" hidden="false" customHeight="true" outlineLevel="0" collapsed="false">
      <c r="A5" s="258"/>
      <c r="B5" s="258"/>
      <c r="C5" s="258"/>
      <c r="D5" s="258"/>
      <c r="E5" s="258"/>
    </row>
    <row r="6" customFormat="false" ht="18" hidden="false" customHeight="true" outlineLevel="0" collapsed="false">
      <c r="A6" s="258"/>
      <c r="B6" s="258"/>
      <c r="C6" s="258"/>
      <c r="D6" s="258"/>
      <c r="E6" s="258"/>
    </row>
    <row r="7" customFormat="false" ht="14.25" hidden="false" customHeight="true" outlineLevel="0" collapsed="false">
      <c r="A7" s="112" t="s">
        <v>131</v>
      </c>
      <c r="B7" s="112" t="s">
        <v>267</v>
      </c>
      <c r="C7" s="112" t="s">
        <v>268</v>
      </c>
      <c r="D7" s="115" t="s">
        <v>135</v>
      </c>
      <c r="E7" s="115" t="s">
        <v>269</v>
      </c>
    </row>
    <row r="8" customFormat="false" ht="14.25" hidden="false" customHeight="true" outlineLevel="0" collapsed="false">
      <c r="A8" s="85" t="s">
        <v>137</v>
      </c>
      <c r="B8" s="259"/>
      <c r="C8" s="259"/>
      <c r="D8" s="117" t="n">
        <v>56623.89</v>
      </c>
      <c r="E8" s="260" t="n">
        <v>636</v>
      </c>
    </row>
    <row r="9" customFormat="false" ht="14.25" hidden="true" customHeight="true" outlineLevel="0" collapsed="false">
      <c r="A9" s="261" t="s">
        <v>270</v>
      </c>
      <c r="B9" s="259"/>
      <c r="C9" s="259" t="s">
        <v>271</v>
      </c>
      <c r="D9" s="117" t="n">
        <v>1620.02</v>
      </c>
      <c r="E9" s="260" t="n">
        <v>9</v>
      </c>
    </row>
    <row r="10" customFormat="false" ht="14.25" hidden="true" customHeight="true" outlineLevel="0" collapsed="false">
      <c r="A10" s="261" t="s">
        <v>272</v>
      </c>
      <c r="B10" s="259"/>
      <c r="C10" s="259" t="s">
        <v>273</v>
      </c>
      <c r="D10" s="117" t="n">
        <v>1200.01</v>
      </c>
      <c r="E10" s="260" t="n">
        <v>12</v>
      </c>
    </row>
    <row r="11" customFormat="false" ht="14.25" hidden="true" customHeight="true" outlineLevel="0" collapsed="false">
      <c r="A11" s="262" t="s">
        <v>274</v>
      </c>
      <c r="B11" s="259"/>
      <c r="C11" s="259"/>
      <c r="D11" s="117"/>
      <c r="E11" s="260"/>
    </row>
    <row r="12" customFormat="false" ht="14.25" hidden="true" customHeight="true" outlineLevel="0" collapsed="false">
      <c r="A12" s="263"/>
      <c r="B12" s="259"/>
      <c r="C12" s="259" t="s">
        <v>275</v>
      </c>
      <c r="D12" s="117" t="n">
        <v>1508.15</v>
      </c>
      <c r="E12" s="260" t="n">
        <v>34</v>
      </c>
    </row>
    <row r="13" customFormat="false" ht="14.25" hidden="true" customHeight="true" outlineLevel="0" collapsed="false">
      <c r="A13" s="263"/>
      <c r="B13" s="259"/>
      <c r="C13" s="259" t="s">
        <v>276</v>
      </c>
      <c r="D13" s="117" t="n">
        <v>1162.03</v>
      </c>
      <c r="E13" s="260" t="n">
        <v>17</v>
      </c>
    </row>
    <row r="14" customFormat="false" ht="14.25" hidden="true" customHeight="true" outlineLevel="0" collapsed="false">
      <c r="A14" s="264" t="s">
        <v>277</v>
      </c>
      <c r="B14" s="84"/>
      <c r="C14" s="84"/>
      <c r="D14" s="130" t="n">
        <f aca="false">SUM(D12:D13)</f>
        <v>2670.18</v>
      </c>
      <c r="E14" s="265"/>
    </row>
    <row r="15" customFormat="false" ht="14.25" hidden="true" customHeight="true" outlineLevel="0" collapsed="false">
      <c r="A15" s="262" t="s">
        <v>278</v>
      </c>
      <c r="B15" s="259"/>
      <c r="C15" s="259"/>
      <c r="D15" s="117"/>
      <c r="E15" s="260"/>
    </row>
    <row r="16" customFormat="false" ht="14.25" hidden="true" customHeight="true" outlineLevel="0" collapsed="false">
      <c r="A16" s="263"/>
      <c r="B16" s="259"/>
      <c r="C16" s="259" t="s">
        <v>279</v>
      </c>
      <c r="D16" s="117" t="n">
        <v>692.29</v>
      </c>
      <c r="E16" s="260" t="n">
        <v>6</v>
      </c>
    </row>
    <row r="17" customFormat="false" ht="14.25" hidden="true" customHeight="true" outlineLevel="0" collapsed="false">
      <c r="A17" s="263"/>
      <c r="B17" s="259"/>
      <c r="C17" s="259" t="s">
        <v>280</v>
      </c>
      <c r="D17" s="117" t="n">
        <v>666</v>
      </c>
      <c r="E17" s="260" t="n">
        <v>3</v>
      </c>
    </row>
    <row r="18" customFormat="false" ht="14.25" hidden="true" customHeight="true" outlineLevel="0" collapsed="false">
      <c r="A18" s="264" t="s">
        <v>281</v>
      </c>
      <c r="B18" s="84"/>
      <c r="C18" s="84"/>
      <c r="D18" s="130" t="n">
        <f aca="false">SUM(D16:D17)</f>
        <v>1358.29</v>
      </c>
      <c r="E18" s="265"/>
    </row>
    <row r="19" customFormat="false" ht="14.25" hidden="true" customHeight="true" outlineLevel="0" collapsed="false">
      <c r="A19" s="261" t="s">
        <v>282</v>
      </c>
      <c r="B19" s="259"/>
      <c r="C19" s="259" t="s">
        <v>283</v>
      </c>
      <c r="D19" s="117" t="n">
        <v>3311.71</v>
      </c>
      <c r="E19" s="260" t="n">
        <v>34</v>
      </c>
    </row>
    <row r="20" customFormat="false" ht="14.25" hidden="true" customHeight="true" outlineLevel="0" collapsed="false">
      <c r="A20" s="261" t="s">
        <v>284</v>
      </c>
      <c r="B20" s="259"/>
      <c r="C20" s="259" t="s">
        <v>285</v>
      </c>
      <c r="D20" s="117" t="n">
        <v>500</v>
      </c>
      <c r="E20" s="260" t="n">
        <v>3</v>
      </c>
    </row>
    <row r="21" customFormat="false" ht="14.25" hidden="true" customHeight="true" outlineLevel="0" collapsed="false">
      <c r="A21" s="261" t="s">
        <v>286</v>
      </c>
      <c r="B21" s="259"/>
      <c r="C21" s="259" t="s">
        <v>287</v>
      </c>
      <c r="D21" s="117" t="n">
        <v>1890.9</v>
      </c>
      <c r="E21" s="260" t="n">
        <v>19</v>
      </c>
    </row>
    <row r="22" customFormat="false" ht="14.25" hidden="true" customHeight="true" outlineLevel="0" collapsed="false">
      <c r="A22" s="262" t="s">
        <v>288</v>
      </c>
      <c r="B22" s="259"/>
      <c r="C22" s="259"/>
      <c r="D22" s="117"/>
      <c r="E22" s="260"/>
    </row>
    <row r="23" customFormat="false" ht="14.25" hidden="true" customHeight="true" outlineLevel="0" collapsed="false">
      <c r="A23" s="263"/>
      <c r="B23" s="259"/>
      <c r="C23" s="259" t="s">
        <v>289</v>
      </c>
      <c r="D23" s="117" t="n">
        <v>1351.22</v>
      </c>
      <c r="E23" s="260" t="n">
        <v>13</v>
      </c>
    </row>
    <row r="24" customFormat="false" ht="14.25" hidden="true" customHeight="true" outlineLevel="0" collapsed="false">
      <c r="A24" s="263"/>
      <c r="B24" s="259"/>
      <c r="C24" s="259" t="s">
        <v>290</v>
      </c>
      <c r="D24" s="117" t="n">
        <v>1328.39</v>
      </c>
      <c r="E24" s="260" t="n">
        <v>36</v>
      </c>
    </row>
    <row r="25" customFormat="false" ht="14.25" hidden="true" customHeight="true" outlineLevel="0" collapsed="false">
      <c r="A25" s="263"/>
      <c r="B25" s="259"/>
      <c r="C25" s="259" t="s">
        <v>291</v>
      </c>
      <c r="D25" s="117" t="n">
        <v>656.05</v>
      </c>
      <c r="E25" s="260" t="n">
        <v>8</v>
      </c>
    </row>
    <row r="26" customFormat="false" ht="14.25" hidden="true" customHeight="true" outlineLevel="0" collapsed="false">
      <c r="A26" s="264" t="s">
        <v>292</v>
      </c>
      <c r="B26" s="84"/>
      <c r="C26" s="84"/>
      <c r="D26" s="130" t="n">
        <f aca="false">SUM(D23:D25)</f>
        <v>3335.66</v>
      </c>
      <c r="E26" s="265"/>
    </row>
    <row r="27" customFormat="false" ht="14.25" hidden="true" customHeight="true" outlineLevel="0" collapsed="false">
      <c r="A27" s="262" t="s">
        <v>293</v>
      </c>
      <c r="B27" s="259"/>
      <c r="C27" s="259"/>
      <c r="D27" s="117"/>
      <c r="E27" s="260"/>
    </row>
    <row r="28" customFormat="false" ht="14.25" hidden="true" customHeight="true" outlineLevel="0" collapsed="false">
      <c r="A28" s="263"/>
      <c r="B28" s="259"/>
      <c r="C28" s="259" t="s">
        <v>294</v>
      </c>
      <c r="D28" s="117" t="n">
        <v>1062.19</v>
      </c>
      <c r="E28" s="260" t="n">
        <v>19</v>
      </c>
    </row>
    <row r="29" customFormat="false" ht="14.25" hidden="true" customHeight="true" outlineLevel="0" collapsed="false">
      <c r="A29" s="263"/>
      <c r="B29" s="259"/>
      <c r="C29" s="259" t="s">
        <v>295</v>
      </c>
      <c r="D29" s="117" t="n">
        <v>584.84</v>
      </c>
      <c r="E29" s="260" t="n">
        <v>8</v>
      </c>
    </row>
    <row r="30" customFormat="false" ht="14.25" hidden="true" customHeight="true" outlineLevel="0" collapsed="false">
      <c r="A30" s="264" t="s">
        <v>296</v>
      </c>
      <c r="B30" s="84"/>
      <c r="C30" s="84"/>
      <c r="D30" s="130" t="n">
        <f aca="false">SUM(D28:D29)</f>
        <v>1647.03</v>
      </c>
      <c r="E30" s="265"/>
    </row>
    <row r="31" customFormat="false" ht="14.25" hidden="true" customHeight="true" outlineLevel="0" collapsed="false">
      <c r="A31" s="261" t="s">
        <v>297</v>
      </c>
      <c r="B31" s="259"/>
      <c r="C31" s="259" t="s">
        <v>298</v>
      </c>
      <c r="D31" s="117" t="n">
        <v>3745.05</v>
      </c>
      <c r="E31" s="260" t="n">
        <v>30</v>
      </c>
    </row>
    <row r="32" customFormat="false" ht="14.25" hidden="true" customHeight="true" outlineLevel="0" collapsed="false">
      <c r="A32" s="261" t="s">
        <v>299</v>
      </c>
      <c r="B32" s="259"/>
      <c r="C32" s="259" t="s">
        <v>300</v>
      </c>
      <c r="D32" s="117" t="n">
        <v>770</v>
      </c>
      <c r="E32" s="260" t="n">
        <v>3</v>
      </c>
    </row>
    <row r="33" customFormat="false" ht="14.25" hidden="true" customHeight="true" outlineLevel="0" collapsed="false">
      <c r="A33" s="261" t="s">
        <v>301</v>
      </c>
      <c r="B33" s="259"/>
      <c r="C33" s="259" t="s">
        <v>302</v>
      </c>
      <c r="D33" s="117" t="n">
        <v>203.38</v>
      </c>
      <c r="E33" s="260" t="n">
        <v>1</v>
      </c>
    </row>
    <row r="34" customFormat="false" ht="14.25" hidden="true" customHeight="true" outlineLevel="0" collapsed="false">
      <c r="A34" s="261" t="s">
        <v>303</v>
      </c>
      <c r="B34" s="259"/>
      <c r="C34" s="259" t="s">
        <v>304</v>
      </c>
      <c r="D34" s="117" t="n">
        <v>949.18</v>
      </c>
      <c r="E34" s="260" t="n">
        <v>11</v>
      </c>
    </row>
    <row r="35" customFormat="false" ht="14.25" hidden="true" customHeight="true" outlineLevel="0" collapsed="false">
      <c r="A35" s="262" t="s">
        <v>305</v>
      </c>
      <c r="B35" s="259"/>
      <c r="C35" s="259"/>
      <c r="D35" s="117"/>
      <c r="E35" s="260"/>
    </row>
    <row r="36" customFormat="false" ht="14.25" hidden="true" customHeight="true" outlineLevel="0" collapsed="false">
      <c r="A36" s="263"/>
      <c r="B36" s="259"/>
      <c r="C36" s="259" t="s">
        <v>306</v>
      </c>
      <c r="D36" s="117" t="n">
        <v>4014</v>
      </c>
      <c r="E36" s="260" t="n">
        <v>59</v>
      </c>
    </row>
    <row r="37" customFormat="false" ht="14.25" hidden="true" customHeight="true" outlineLevel="0" collapsed="false">
      <c r="A37" s="263"/>
      <c r="B37" s="259"/>
      <c r="C37" s="259" t="s">
        <v>307</v>
      </c>
      <c r="D37" s="117" t="n">
        <v>2552.28</v>
      </c>
      <c r="E37" s="260" t="n">
        <v>20</v>
      </c>
    </row>
    <row r="38" customFormat="false" ht="14.25" hidden="true" customHeight="true" outlineLevel="0" collapsed="false">
      <c r="A38" s="263"/>
      <c r="B38" s="259"/>
      <c r="C38" s="259" t="s">
        <v>308</v>
      </c>
      <c r="D38" s="117" t="n">
        <v>1208.26</v>
      </c>
      <c r="E38" s="260" t="n">
        <v>26</v>
      </c>
    </row>
    <row r="39" customFormat="false" ht="14.25" hidden="true" customHeight="true" outlineLevel="0" collapsed="false">
      <c r="A39" s="263"/>
      <c r="B39" s="259"/>
      <c r="C39" s="259" t="s">
        <v>309</v>
      </c>
      <c r="D39" s="117" t="n">
        <v>-321.5</v>
      </c>
      <c r="E39" s="260" t="n">
        <v>-1</v>
      </c>
    </row>
    <row r="40" customFormat="false" ht="14.25" hidden="true" customHeight="true" outlineLevel="0" collapsed="false">
      <c r="A40" s="264" t="s">
        <v>310</v>
      </c>
      <c r="B40" s="84"/>
      <c r="C40" s="84"/>
      <c r="D40" s="130" t="n">
        <f aca="false">SUM(D36:D39)</f>
        <v>7453.04</v>
      </c>
      <c r="E40" s="265"/>
    </row>
    <row r="41" customFormat="false" ht="14.25" hidden="true" customHeight="true" outlineLevel="0" collapsed="false">
      <c r="A41" s="261" t="s">
        <v>311</v>
      </c>
      <c r="B41" s="259"/>
      <c r="C41" s="259" t="s">
        <v>312</v>
      </c>
      <c r="D41" s="117" t="n">
        <v>1110</v>
      </c>
      <c r="E41" s="260" t="n">
        <v>5</v>
      </c>
    </row>
    <row r="42" customFormat="false" ht="14.25" hidden="true" customHeight="true" outlineLevel="0" collapsed="false">
      <c r="A42" s="261" t="s">
        <v>313</v>
      </c>
      <c r="B42" s="259"/>
      <c r="C42" s="259" t="s">
        <v>314</v>
      </c>
      <c r="D42" s="117" t="n">
        <v>885.85</v>
      </c>
      <c r="E42" s="260" t="n">
        <v>25</v>
      </c>
    </row>
    <row r="43" customFormat="false" ht="14.25" hidden="true" customHeight="true" outlineLevel="0" collapsed="false">
      <c r="A43" s="262" t="s">
        <v>315</v>
      </c>
      <c r="B43" s="259"/>
      <c r="C43" s="259"/>
      <c r="D43" s="117"/>
      <c r="E43" s="260"/>
    </row>
    <row r="44" customFormat="false" ht="14.25" hidden="true" customHeight="true" outlineLevel="0" collapsed="false">
      <c r="A44" s="263"/>
      <c r="B44" s="259"/>
      <c r="C44" s="259" t="s">
        <v>316</v>
      </c>
      <c r="D44" s="117" t="n">
        <v>1552.09</v>
      </c>
      <c r="E44" s="260" t="n">
        <v>10</v>
      </c>
    </row>
    <row r="45" customFormat="false" ht="14.25" hidden="true" customHeight="true" outlineLevel="0" collapsed="false">
      <c r="A45" s="263"/>
      <c r="B45" s="259"/>
      <c r="C45" s="259" t="s">
        <v>317</v>
      </c>
      <c r="D45" s="117" t="n">
        <v>1379.6</v>
      </c>
      <c r="E45" s="260" t="n">
        <v>7</v>
      </c>
    </row>
    <row r="46" customFormat="false" ht="14.25" hidden="true" customHeight="true" outlineLevel="0" collapsed="false">
      <c r="A46" s="264" t="s">
        <v>318</v>
      </c>
      <c r="B46" s="84"/>
      <c r="C46" s="84"/>
      <c r="D46" s="130" t="n">
        <f aca="false">SUM(D44:D45)</f>
        <v>2931.69</v>
      </c>
      <c r="E46" s="265"/>
    </row>
    <row r="47" customFormat="false" ht="14.25" hidden="true" customHeight="true" outlineLevel="0" collapsed="false">
      <c r="A47" s="261" t="s">
        <v>319</v>
      </c>
      <c r="B47" s="259"/>
      <c r="C47" s="259" t="s">
        <v>320</v>
      </c>
      <c r="D47" s="117" t="n">
        <v>593.77</v>
      </c>
      <c r="E47" s="260" t="n">
        <v>8</v>
      </c>
    </row>
    <row r="48" customFormat="false" ht="14.25" hidden="true" customHeight="true" outlineLevel="0" collapsed="false">
      <c r="A48" s="261" t="s">
        <v>321</v>
      </c>
      <c r="B48" s="259"/>
      <c r="C48" s="259" t="s">
        <v>322</v>
      </c>
      <c r="D48" s="117" t="n">
        <v>315.45</v>
      </c>
      <c r="E48" s="260" t="n">
        <v>11</v>
      </c>
    </row>
    <row r="49" customFormat="false" ht="14.25" hidden="true" customHeight="true" outlineLevel="0" collapsed="false">
      <c r="A49" s="261" t="s">
        <v>323</v>
      </c>
      <c r="B49" s="259"/>
      <c r="C49" s="259" t="s">
        <v>324</v>
      </c>
      <c r="D49" s="117" t="n">
        <v>1749.62</v>
      </c>
      <c r="E49" s="260" t="n">
        <v>24</v>
      </c>
    </row>
    <row r="50" customFormat="false" ht="14.25" hidden="true" customHeight="true" outlineLevel="0" collapsed="false">
      <c r="A50" s="261" t="s">
        <v>325</v>
      </c>
      <c r="B50" s="259"/>
      <c r="C50" s="259" t="s">
        <v>326</v>
      </c>
      <c r="D50" s="117" t="n">
        <v>433.29</v>
      </c>
      <c r="E50" s="260" t="n">
        <v>6</v>
      </c>
    </row>
    <row r="51" customFormat="false" ht="14.25" hidden="true" customHeight="true" outlineLevel="0" collapsed="false">
      <c r="A51" s="262" t="s">
        <v>327</v>
      </c>
      <c r="B51" s="259"/>
      <c r="C51" s="259"/>
      <c r="D51" s="117"/>
      <c r="E51" s="260"/>
    </row>
    <row r="52" customFormat="false" ht="14.25" hidden="true" customHeight="true" outlineLevel="0" collapsed="false">
      <c r="A52" s="263"/>
      <c r="B52" s="259"/>
      <c r="C52" s="259" t="s">
        <v>328</v>
      </c>
      <c r="D52" s="117" t="n">
        <v>290</v>
      </c>
      <c r="E52" s="260" t="n">
        <v>2</v>
      </c>
    </row>
    <row r="53" customFormat="false" ht="14.25" hidden="true" customHeight="true" outlineLevel="0" collapsed="false">
      <c r="A53" s="263"/>
      <c r="B53" s="259"/>
      <c r="C53" s="259" t="s">
        <v>329</v>
      </c>
      <c r="D53" s="117" t="n">
        <v>159.28</v>
      </c>
      <c r="E53" s="260" t="n">
        <v>3</v>
      </c>
    </row>
    <row r="54" customFormat="false" ht="14.25" hidden="true" customHeight="true" outlineLevel="0" collapsed="false">
      <c r="A54" s="264" t="s">
        <v>330</v>
      </c>
      <c r="B54" s="84"/>
      <c r="C54" s="84"/>
      <c r="D54" s="130" t="n">
        <f aca="false">SUM(D52:D53)</f>
        <v>449.28</v>
      </c>
      <c r="E54" s="265"/>
    </row>
    <row r="55" customFormat="false" ht="14.25" hidden="true" customHeight="true" outlineLevel="0" collapsed="false">
      <c r="A55" s="262" t="s">
        <v>331</v>
      </c>
      <c r="B55" s="259"/>
      <c r="C55" s="259"/>
      <c r="D55" s="117"/>
      <c r="E55" s="260"/>
    </row>
    <row r="56" customFormat="false" ht="14.25" hidden="true" customHeight="true" outlineLevel="0" collapsed="false">
      <c r="A56" s="263"/>
      <c r="B56" s="259"/>
      <c r="C56" s="259" t="s">
        <v>332</v>
      </c>
      <c r="D56" s="117" t="n">
        <v>2091</v>
      </c>
      <c r="E56" s="260" t="n">
        <v>11</v>
      </c>
    </row>
    <row r="57" customFormat="false" ht="14.25" hidden="true" customHeight="true" outlineLevel="0" collapsed="false">
      <c r="A57" s="263"/>
      <c r="B57" s="259"/>
      <c r="C57" s="259" t="s">
        <v>333</v>
      </c>
      <c r="D57" s="117" t="n">
        <v>539.73</v>
      </c>
      <c r="E57" s="260" t="n">
        <v>9</v>
      </c>
    </row>
    <row r="58" customFormat="false" ht="14.25" hidden="true" customHeight="true" outlineLevel="0" collapsed="false">
      <c r="A58" s="264" t="s">
        <v>334</v>
      </c>
      <c r="B58" s="84"/>
      <c r="C58" s="84"/>
      <c r="D58" s="130" t="n">
        <f aca="false">SUM(D56:D57)</f>
        <v>2630.73</v>
      </c>
      <c r="E58" s="265"/>
    </row>
    <row r="59" customFormat="false" ht="14.25" hidden="true" customHeight="true" outlineLevel="0" collapsed="false">
      <c r="A59" s="262" t="s">
        <v>335</v>
      </c>
      <c r="B59" s="259"/>
      <c r="C59" s="259"/>
      <c r="D59" s="117"/>
      <c r="E59" s="260"/>
    </row>
    <row r="60" customFormat="false" ht="14.25" hidden="true" customHeight="true" outlineLevel="0" collapsed="false">
      <c r="A60" s="263"/>
      <c r="B60" s="259"/>
      <c r="C60" s="259" t="s">
        <v>336</v>
      </c>
      <c r="D60" s="117" t="n">
        <v>1870</v>
      </c>
      <c r="E60" s="260" t="n">
        <v>12</v>
      </c>
    </row>
    <row r="61" customFormat="false" ht="14.25" hidden="true" customHeight="true" outlineLevel="0" collapsed="false">
      <c r="A61" s="263"/>
      <c r="B61" s="259"/>
      <c r="C61" s="259" t="s">
        <v>337</v>
      </c>
      <c r="D61" s="117" t="n">
        <v>1226.14</v>
      </c>
      <c r="E61" s="260" t="n">
        <v>12</v>
      </c>
    </row>
    <row r="62" customFormat="false" ht="14.25" hidden="true" customHeight="true" outlineLevel="0" collapsed="false">
      <c r="A62" s="263"/>
      <c r="B62" s="259"/>
      <c r="C62" s="259" t="s">
        <v>338</v>
      </c>
      <c r="D62" s="117" t="n">
        <v>682.65</v>
      </c>
      <c r="E62" s="260" t="n">
        <v>7</v>
      </c>
    </row>
    <row r="63" customFormat="false" ht="14.25" hidden="true" customHeight="true" outlineLevel="0" collapsed="false">
      <c r="A63" s="263"/>
      <c r="B63" s="259"/>
      <c r="C63" s="259" t="s">
        <v>339</v>
      </c>
      <c r="D63" s="117" t="n">
        <v>328.02</v>
      </c>
      <c r="E63" s="260" t="n">
        <v>2</v>
      </c>
    </row>
    <row r="64" customFormat="false" ht="14.25" hidden="true" customHeight="true" outlineLevel="0" collapsed="false">
      <c r="A64" s="263"/>
      <c r="B64" s="259"/>
      <c r="C64" s="259" t="s">
        <v>340</v>
      </c>
      <c r="D64" s="117" t="n">
        <v>-164.01</v>
      </c>
      <c r="E64" s="260" t="n">
        <v>-1</v>
      </c>
    </row>
    <row r="65" customFormat="false" ht="14.25" hidden="true" customHeight="true" outlineLevel="0" collapsed="false">
      <c r="A65" s="264" t="s">
        <v>341</v>
      </c>
      <c r="B65" s="84"/>
      <c r="C65" s="84"/>
      <c r="D65" s="130" t="n">
        <f aca="false">SUM(D60:D64)</f>
        <v>3942.8</v>
      </c>
      <c r="E65" s="265"/>
    </row>
    <row r="66" customFormat="false" ht="14.25" hidden="true" customHeight="true" outlineLevel="0" collapsed="false">
      <c r="A66" s="261" t="s">
        <v>342</v>
      </c>
      <c r="B66" s="259"/>
      <c r="C66" s="259" t="s">
        <v>343</v>
      </c>
      <c r="D66" s="117" t="n">
        <v>1349.57</v>
      </c>
      <c r="E66" s="260" t="n">
        <v>13</v>
      </c>
    </row>
    <row r="67" customFormat="false" ht="14.25" hidden="true" customHeight="true" outlineLevel="0" collapsed="false">
      <c r="A67" s="261" t="s">
        <v>344</v>
      </c>
      <c r="B67" s="259"/>
      <c r="C67" s="259" t="s">
        <v>345</v>
      </c>
      <c r="D67" s="117" t="n">
        <v>912.99</v>
      </c>
      <c r="E67" s="260" t="n">
        <v>11</v>
      </c>
    </row>
    <row r="68" customFormat="false" ht="14.25" hidden="true" customHeight="true" outlineLevel="0" collapsed="false">
      <c r="A68" s="261" t="s">
        <v>346</v>
      </c>
      <c r="B68" s="259"/>
      <c r="C68" s="259" t="s">
        <v>347</v>
      </c>
      <c r="D68" s="117" t="n">
        <v>2112.66</v>
      </c>
      <c r="E68" s="260" t="n">
        <v>28</v>
      </c>
    </row>
    <row r="69" customFormat="false" ht="14.25" hidden="true" customHeight="true" outlineLevel="0" collapsed="false">
      <c r="A69" s="262" t="s">
        <v>348</v>
      </c>
      <c r="B69" s="259"/>
      <c r="C69" s="259"/>
      <c r="D69" s="117"/>
      <c r="E69" s="260"/>
    </row>
    <row r="70" customFormat="false" ht="14.25" hidden="true" customHeight="true" outlineLevel="0" collapsed="false">
      <c r="A70" s="263"/>
      <c r="B70" s="259"/>
      <c r="C70" s="259" t="s">
        <v>349</v>
      </c>
      <c r="D70" s="117" t="n">
        <v>1114</v>
      </c>
      <c r="E70" s="260" t="n">
        <v>23</v>
      </c>
    </row>
    <row r="71" customFormat="false" ht="14.25" hidden="true" customHeight="true" outlineLevel="0" collapsed="false">
      <c r="A71" s="263"/>
      <c r="B71" s="259"/>
      <c r="C71" s="259" t="s">
        <v>350</v>
      </c>
      <c r="D71" s="117" t="n">
        <v>520</v>
      </c>
      <c r="E71" s="260" t="n">
        <v>2</v>
      </c>
    </row>
    <row r="72" customFormat="false" ht="14.25" hidden="true" customHeight="true" outlineLevel="0" collapsed="false">
      <c r="A72" s="263"/>
      <c r="B72" s="259"/>
      <c r="C72" s="259" t="s">
        <v>351</v>
      </c>
      <c r="D72" s="117" t="n">
        <v>479.99</v>
      </c>
      <c r="E72" s="260" t="n">
        <v>3</v>
      </c>
    </row>
    <row r="73" customFormat="false" ht="14.25" hidden="true" customHeight="true" outlineLevel="0" collapsed="false">
      <c r="A73" s="263"/>
      <c r="B73" s="259"/>
      <c r="C73" s="259" t="s">
        <v>352</v>
      </c>
      <c r="D73" s="117" t="n">
        <v>479.99</v>
      </c>
      <c r="E73" s="260" t="n">
        <v>3</v>
      </c>
    </row>
    <row r="74" customFormat="false" ht="14.25" hidden="true" customHeight="true" outlineLevel="0" collapsed="false">
      <c r="A74" s="263"/>
      <c r="B74" s="259"/>
      <c r="C74" s="259" t="s">
        <v>353</v>
      </c>
      <c r="D74" s="117" t="n">
        <v>-479.99</v>
      </c>
      <c r="E74" s="260" t="n">
        <v>-3</v>
      </c>
    </row>
    <row r="75" customFormat="false" ht="14.25" hidden="true" customHeight="true" outlineLevel="0" collapsed="false">
      <c r="A75" s="264" t="s">
        <v>354</v>
      </c>
      <c r="B75" s="84"/>
      <c r="C75" s="84"/>
      <c r="D75" s="130" t="n">
        <f aca="false">SUM(D70:D74)</f>
        <v>2113.99</v>
      </c>
      <c r="E75" s="265"/>
    </row>
    <row r="76" customFormat="false" ht="14.25" hidden="true" customHeight="true" outlineLevel="0" collapsed="false">
      <c r="A76" s="261" t="s">
        <v>355</v>
      </c>
      <c r="B76" s="259"/>
      <c r="C76" s="259" t="s">
        <v>356</v>
      </c>
      <c r="D76" s="117" t="n">
        <v>445.26</v>
      </c>
      <c r="E76" s="260" t="n">
        <v>6</v>
      </c>
    </row>
    <row r="77" customFormat="false" ht="14.25" hidden="true" customHeight="true" outlineLevel="0" collapsed="false">
      <c r="A77" s="261" t="s">
        <v>357</v>
      </c>
      <c r="B77" s="259"/>
      <c r="C77" s="259" t="s">
        <v>358</v>
      </c>
      <c r="D77" s="117" t="n">
        <v>1609.02</v>
      </c>
      <c r="E77" s="260" t="n">
        <v>12</v>
      </c>
    </row>
    <row r="78" customFormat="false" ht="14.25" hidden="true" customHeight="true" outlineLevel="0" collapsed="false">
      <c r="A78" s="262" t="s">
        <v>359</v>
      </c>
      <c r="B78" s="259"/>
      <c r="C78" s="259"/>
      <c r="D78" s="117"/>
      <c r="E78" s="260"/>
    </row>
    <row r="79" customFormat="false" ht="14.25" hidden="true" customHeight="true" outlineLevel="0" collapsed="false">
      <c r="A79" s="263"/>
      <c r="B79" s="259"/>
      <c r="C79" s="259" t="s">
        <v>360</v>
      </c>
      <c r="D79" s="117" t="n">
        <v>1099.03</v>
      </c>
      <c r="E79" s="260" t="n">
        <v>11</v>
      </c>
    </row>
    <row r="80" customFormat="false" ht="14.25" hidden="true" customHeight="true" outlineLevel="0" collapsed="false">
      <c r="A80" s="263"/>
      <c r="B80" s="259"/>
      <c r="C80" s="259" t="s">
        <v>361</v>
      </c>
      <c r="D80" s="117" t="n">
        <v>722.34</v>
      </c>
      <c r="E80" s="260" t="n">
        <v>8</v>
      </c>
    </row>
    <row r="81" customFormat="false" ht="14.25" hidden="true" customHeight="true" outlineLevel="0" collapsed="false">
      <c r="A81" s="263"/>
      <c r="B81" s="259"/>
      <c r="C81" s="259" t="s">
        <v>362</v>
      </c>
      <c r="D81" s="117" t="n">
        <v>555.38</v>
      </c>
      <c r="E81" s="260" t="n">
        <v>6</v>
      </c>
    </row>
    <row r="82" customFormat="false" ht="14.25" hidden="true" customHeight="true" outlineLevel="0" collapsed="false">
      <c r="A82" s="263"/>
      <c r="B82" s="259"/>
      <c r="C82" s="259" t="s">
        <v>363</v>
      </c>
      <c r="D82" s="117" t="n">
        <v>376.07</v>
      </c>
      <c r="E82" s="260" t="n">
        <v>5</v>
      </c>
    </row>
    <row r="83" customFormat="false" ht="14.25" hidden="true" customHeight="true" outlineLevel="0" collapsed="false">
      <c r="A83" s="264" t="s">
        <v>364</v>
      </c>
      <c r="B83" s="84"/>
      <c r="C83" s="84"/>
      <c r="D83" s="130" t="n">
        <f aca="false">SUM(D79:D82)</f>
        <v>2752.82</v>
      </c>
      <c r="E83" s="265"/>
    </row>
    <row r="84" customFormat="false" ht="14.25" hidden="true" customHeight="true" outlineLevel="0" collapsed="false">
      <c r="A84" s="261" t="s">
        <v>365</v>
      </c>
      <c r="B84" s="259"/>
      <c r="C84" s="259" t="s">
        <v>366</v>
      </c>
      <c r="D84" s="117" t="n">
        <v>-369.35</v>
      </c>
      <c r="E84" s="260" t="n">
        <v>-15</v>
      </c>
    </row>
    <row r="85" customFormat="false" ht="14.25" hidden="true" customHeight="true" outlineLevel="0" collapsed="false">
      <c r="A85" s="84" t="s">
        <v>367</v>
      </c>
      <c r="B85" s="84"/>
      <c r="C85" s="84"/>
      <c r="D85" s="130" t="n">
        <f aca="false">SUM(D9:D10,D14,D18:D21,D26,D30:D34,D40:D42,D46:D50,D54,D58,D65:D68,D75:D77,D83:D84)</f>
        <v>56623.89</v>
      </c>
      <c r="E85" s="265"/>
    </row>
    <row r="86" customFormat="false" ht="14.25" hidden="false" customHeight="true" outlineLevel="0" collapsed="false">
      <c r="A86" s="85" t="s">
        <v>143</v>
      </c>
      <c r="B86" s="259"/>
      <c r="C86" s="259"/>
      <c r="D86" s="117" t="n">
        <v>73969</v>
      </c>
      <c r="E86" s="260" t="n">
        <v>5500</v>
      </c>
    </row>
    <row r="87" customFormat="false" ht="14.25" hidden="true" customHeight="true" outlineLevel="0" collapsed="false">
      <c r="A87" s="262" t="s">
        <v>368</v>
      </c>
      <c r="B87" s="259"/>
      <c r="C87" s="259"/>
      <c r="D87" s="117"/>
      <c r="E87" s="260"/>
    </row>
    <row r="88" customFormat="false" ht="14.25" hidden="true" customHeight="true" outlineLevel="0" collapsed="false">
      <c r="A88" s="263"/>
      <c r="B88" s="259"/>
      <c r="C88" s="259" t="s">
        <v>369</v>
      </c>
      <c r="D88" s="117" t="n">
        <v>58849</v>
      </c>
      <c r="E88" s="260" t="n">
        <v>3500</v>
      </c>
    </row>
    <row r="89" customFormat="false" ht="14.25" hidden="true" customHeight="true" outlineLevel="0" collapsed="false">
      <c r="A89" s="263"/>
      <c r="B89" s="259"/>
      <c r="C89" s="259" t="s">
        <v>370</v>
      </c>
      <c r="D89" s="117" t="n">
        <v>15120</v>
      </c>
      <c r="E89" s="260" t="n">
        <v>2000</v>
      </c>
    </row>
    <row r="90" customFormat="false" ht="14.25" hidden="true" customHeight="true" outlineLevel="0" collapsed="false">
      <c r="A90" s="264" t="s">
        <v>371</v>
      </c>
      <c r="B90" s="84"/>
      <c r="C90" s="84"/>
      <c r="D90" s="130" t="n">
        <f aca="false">SUM(D88:D89)</f>
        <v>73969</v>
      </c>
      <c r="E90" s="265"/>
    </row>
    <row r="91" customFormat="false" ht="14.25" hidden="true" customHeight="true" outlineLevel="0" collapsed="false">
      <c r="A91" s="84" t="s">
        <v>372</v>
      </c>
      <c r="B91" s="84"/>
      <c r="C91" s="84"/>
      <c r="D91" s="130" t="n">
        <f aca="false">SUM(D90)</f>
        <v>73969</v>
      </c>
      <c r="E91" s="265"/>
    </row>
    <row r="92" customFormat="false" ht="14.25" hidden="false" customHeight="true" outlineLevel="0" collapsed="false">
      <c r="A92" s="85" t="s">
        <v>140</v>
      </c>
      <c r="B92" s="259"/>
      <c r="C92" s="259"/>
      <c r="D92" s="117" t="n">
        <v>10025.73</v>
      </c>
      <c r="E92" s="260" t="n">
        <v>155</v>
      </c>
    </row>
    <row r="93" customFormat="false" ht="14.25" hidden="true" customHeight="true" outlineLevel="0" collapsed="false">
      <c r="A93" s="262" t="s">
        <v>373</v>
      </c>
      <c r="B93" s="259"/>
      <c r="C93" s="259"/>
      <c r="D93" s="117"/>
      <c r="E93" s="260"/>
    </row>
    <row r="94" customFormat="false" ht="14.25" hidden="true" customHeight="true" outlineLevel="0" collapsed="false">
      <c r="A94" s="266" t="s">
        <v>374</v>
      </c>
      <c r="B94" s="259"/>
      <c r="C94" s="259"/>
      <c r="D94" s="117"/>
      <c r="E94" s="260"/>
    </row>
    <row r="95" customFormat="false" ht="14.25" hidden="true" customHeight="true" outlineLevel="0" collapsed="false">
      <c r="A95" s="267"/>
      <c r="B95" s="259"/>
      <c r="C95" s="259" t="s">
        <v>375</v>
      </c>
      <c r="D95" s="117" t="n">
        <v>3600.05</v>
      </c>
      <c r="E95" s="260" t="n">
        <v>45</v>
      </c>
    </row>
    <row r="96" customFormat="false" ht="14.25" hidden="true" customHeight="true" outlineLevel="0" collapsed="false">
      <c r="A96" s="267"/>
      <c r="B96" s="259"/>
      <c r="C96" s="259" t="s">
        <v>376</v>
      </c>
      <c r="D96" s="117" t="n">
        <v>2768.02</v>
      </c>
      <c r="E96" s="260" t="n">
        <v>36</v>
      </c>
    </row>
    <row r="97" customFormat="false" ht="14.25" hidden="true" customHeight="true" outlineLevel="0" collapsed="false">
      <c r="A97" s="267"/>
      <c r="B97" s="259"/>
      <c r="C97" s="259" t="s">
        <v>377</v>
      </c>
      <c r="D97" s="117" t="n">
        <v>1968.56</v>
      </c>
      <c r="E97" s="260" t="n">
        <v>24</v>
      </c>
    </row>
    <row r="98" customFormat="false" ht="14.25" hidden="true" customHeight="true" outlineLevel="0" collapsed="false">
      <c r="A98" s="268" t="s">
        <v>378</v>
      </c>
      <c r="B98" s="84"/>
      <c r="C98" s="84"/>
      <c r="D98" s="130" t="n">
        <f aca="false">SUM(D95:D97)</f>
        <v>8336.63</v>
      </c>
      <c r="E98" s="265"/>
    </row>
    <row r="99" customFormat="false" ht="14.25" hidden="true" customHeight="true" outlineLevel="0" collapsed="false">
      <c r="A99" s="264" t="s">
        <v>379</v>
      </c>
      <c r="B99" s="84"/>
      <c r="C99" s="84"/>
      <c r="D99" s="130" t="n">
        <f aca="false">SUM(D98)</f>
        <v>8336.63</v>
      </c>
      <c r="E99" s="265"/>
    </row>
    <row r="100" customFormat="false" ht="14.25" hidden="true" customHeight="true" outlineLevel="0" collapsed="false">
      <c r="A100" s="261" t="s">
        <v>380</v>
      </c>
      <c r="B100" s="259"/>
      <c r="C100" s="259" t="s">
        <v>381</v>
      </c>
      <c r="D100" s="117" t="n">
        <v>720</v>
      </c>
      <c r="E100" s="260" t="n">
        <v>24</v>
      </c>
    </row>
    <row r="101" customFormat="false" ht="14.25" hidden="true" customHeight="true" outlineLevel="0" collapsed="false">
      <c r="A101" s="261" t="s">
        <v>382</v>
      </c>
      <c r="B101" s="259"/>
      <c r="C101" s="259" t="s">
        <v>383</v>
      </c>
      <c r="D101" s="117" t="n">
        <v>355.86</v>
      </c>
      <c r="E101" s="260" t="n">
        <v>8</v>
      </c>
    </row>
    <row r="102" customFormat="false" ht="14.25" hidden="true" customHeight="true" outlineLevel="0" collapsed="false">
      <c r="A102" s="261" t="s">
        <v>384</v>
      </c>
      <c r="B102" s="259"/>
      <c r="C102" s="259" t="s">
        <v>385</v>
      </c>
      <c r="D102" s="117" t="n">
        <v>613.24</v>
      </c>
      <c r="E102" s="260" t="n">
        <v>18</v>
      </c>
    </row>
    <row r="103" customFormat="false" ht="14.25" hidden="true" customHeight="true" outlineLevel="0" collapsed="false">
      <c r="A103" s="84" t="s">
        <v>386</v>
      </c>
      <c r="B103" s="84"/>
      <c r="C103" s="84"/>
      <c r="D103" s="130" t="n">
        <f aca="false">SUM(D99:D102)</f>
        <v>10025.73</v>
      </c>
      <c r="E103" s="265"/>
    </row>
    <row r="104" customFormat="false" ht="14.25" hidden="false" customHeight="true" outlineLevel="0" collapsed="false">
      <c r="A104" s="85" t="s">
        <v>141</v>
      </c>
      <c r="B104" s="259"/>
      <c r="C104" s="259"/>
      <c r="D104" s="117" t="n">
        <v>1916.12</v>
      </c>
      <c r="E104" s="260" t="n">
        <v>28</v>
      </c>
    </row>
    <row r="105" customFormat="false" ht="14.25" hidden="true" customHeight="true" outlineLevel="0" collapsed="false">
      <c r="A105" s="261" t="s">
        <v>387</v>
      </c>
      <c r="B105" s="259"/>
      <c r="C105" s="259" t="s">
        <v>388</v>
      </c>
      <c r="D105" s="117" t="n">
        <v>476.77</v>
      </c>
      <c r="E105" s="260" t="n">
        <v>10</v>
      </c>
    </row>
    <row r="106" customFormat="false" ht="14.25" hidden="true" customHeight="true" outlineLevel="0" collapsed="false">
      <c r="A106" s="261" t="s">
        <v>389</v>
      </c>
      <c r="B106" s="259"/>
      <c r="C106" s="259" t="s">
        <v>390</v>
      </c>
      <c r="D106" s="117" t="n">
        <v>-843.07</v>
      </c>
      <c r="E106" s="260" t="n">
        <v>-9</v>
      </c>
    </row>
    <row r="107" customFormat="false" ht="14.25" hidden="true" customHeight="true" outlineLevel="0" collapsed="false">
      <c r="A107" s="261" t="s">
        <v>391</v>
      </c>
      <c r="B107" s="259"/>
      <c r="C107" s="259" t="s">
        <v>392</v>
      </c>
      <c r="D107" s="117" t="n">
        <v>571.68</v>
      </c>
      <c r="E107" s="260" t="n">
        <v>4</v>
      </c>
    </row>
    <row r="108" customFormat="false" ht="14.25" hidden="true" customHeight="true" outlineLevel="0" collapsed="false">
      <c r="A108" s="261" t="s">
        <v>393</v>
      </c>
      <c r="B108" s="259"/>
      <c r="C108" s="259" t="s">
        <v>394</v>
      </c>
      <c r="D108" s="117" t="n">
        <v>906.33</v>
      </c>
      <c r="E108" s="260" t="n">
        <v>14</v>
      </c>
    </row>
    <row r="109" customFormat="false" ht="14.25" hidden="true" customHeight="true" outlineLevel="0" collapsed="false">
      <c r="A109" s="261" t="s">
        <v>395</v>
      </c>
      <c r="B109" s="259"/>
      <c r="C109" s="259" t="s">
        <v>396</v>
      </c>
      <c r="D109" s="117" t="n">
        <v>170</v>
      </c>
      <c r="E109" s="260" t="n">
        <v>1</v>
      </c>
    </row>
    <row r="110" customFormat="false" ht="14.25" hidden="true" customHeight="true" outlineLevel="0" collapsed="false">
      <c r="A110" s="262" t="s">
        <v>397</v>
      </c>
      <c r="B110" s="259"/>
      <c r="C110" s="259"/>
      <c r="D110" s="117"/>
      <c r="E110" s="260"/>
    </row>
    <row r="111" customFormat="false" ht="14.25" hidden="true" customHeight="true" outlineLevel="0" collapsed="false">
      <c r="A111" s="263"/>
      <c r="B111" s="259"/>
      <c r="C111" s="259" t="s">
        <v>398</v>
      </c>
      <c r="D111" s="117" t="n">
        <v>398.25</v>
      </c>
      <c r="E111" s="260" t="n">
        <v>5</v>
      </c>
    </row>
    <row r="112" customFormat="false" ht="14.25" hidden="true" customHeight="true" outlineLevel="0" collapsed="false">
      <c r="A112" s="263"/>
      <c r="B112" s="259"/>
      <c r="C112" s="259" t="s">
        <v>399</v>
      </c>
      <c r="D112" s="117" t="n">
        <v>236.16</v>
      </c>
      <c r="E112" s="260" t="n">
        <v>3</v>
      </c>
    </row>
    <row r="113" customFormat="false" ht="14.25" hidden="true" customHeight="true" outlineLevel="0" collapsed="false">
      <c r="A113" s="264" t="s">
        <v>400</v>
      </c>
      <c r="B113" s="84"/>
      <c r="C113" s="84"/>
      <c r="D113" s="130" t="n">
        <f aca="false">SUM(D111:D112)</f>
        <v>634.41</v>
      </c>
      <c r="E113" s="265"/>
    </row>
    <row r="114" customFormat="false" ht="14.25" hidden="true" customHeight="true" outlineLevel="0" collapsed="false">
      <c r="A114" s="84" t="s">
        <v>401</v>
      </c>
      <c r="B114" s="84"/>
      <c r="C114" s="84"/>
      <c r="D114" s="130" t="n">
        <f aca="false">SUM(D105:D109,D113)</f>
        <v>1916.12</v>
      </c>
      <c r="E114" s="265"/>
    </row>
    <row r="115" customFormat="false" ht="14.25" hidden="false" customHeight="true" outlineLevel="0" collapsed="false">
      <c r="A115" s="85" t="s">
        <v>138</v>
      </c>
      <c r="B115" s="259"/>
      <c r="C115" s="259"/>
      <c r="D115" s="117" t="n">
        <v>3637.15</v>
      </c>
      <c r="E115" s="260" t="n">
        <v>44</v>
      </c>
    </row>
    <row r="116" customFormat="false" ht="14.25" hidden="true" customHeight="true" outlineLevel="0" collapsed="false">
      <c r="A116" s="262" t="s">
        <v>402</v>
      </c>
      <c r="B116" s="259"/>
      <c r="C116" s="259"/>
      <c r="D116" s="117"/>
      <c r="E116" s="260"/>
    </row>
    <row r="117" customFormat="false" ht="14.25" hidden="true" customHeight="true" outlineLevel="0" collapsed="false">
      <c r="A117" s="263"/>
      <c r="B117" s="259"/>
      <c r="C117" s="259" t="s">
        <v>403</v>
      </c>
      <c r="D117" s="117" t="n">
        <v>1047.1</v>
      </c>
      <c r="E117" s="260" t="n">
        <v>10</v>
      </c>
    </row>
    <row r="118" customFormat="false" ht="14.25" hidden="true" customHeight="true" outlineLevel="0" collapsed="false">
      <c r="A118" s="263"/>
      <c r="B118" s="259"/>
      <c r="C118" s="259" t="s">
        <v>404</v>
      </c>
      <c r="D118" s="117" t="n">
        <v>597.19</v>
      </c>
      <c r="E118" s="260" t="n">
        <v>8</v>
      </c>
    </row>
    <row r="119" customFormat="false" ht="14.25" hidden="true" customHeight="true" outlineLevel="0" collapsed="false">
      <c r="A119" s="263"/>
      <c r="B119" s="259"/>
      <c r="C119" s="259" t="s">
        <v>405</v>
      </c>
      <c r="D119" s="117" t="n">
        <v>494.28</v>
      </c>
      <c r="E119" s="260" t="n">
        <v>16</v>
      </c>
    </row>
    <row r="120" customFormat="false" ht="14.25" hidden="true" customHeight="true" outlineLevel="0" collapsed="false">
      <c r="A120" s="263"/>
      <c r="B120" s="259"/>
      <c r="C120" s="259" t="s">
        <v>406</v>
      </c>
      <c r="D120" s="117" t="n">
        <v>470.46</v>
      </c>
      <c r="E120" s="260" t="n">
        <v>13</v>
      </c>
    </row>
    <row r="121" customFormat="false" ht="14.25" hidden="true" customHeight="true" outlineLevel="0" collapsed="false">
      <c r="A121" s="263"/>
      <c r="B121" s="259"/>
      <c r="C121" s="259" t="s">
        <v>407</v>
      </c>
      <c r="D121" s="117" t="n">
        <v>421.6</v>
      </c>
      <c r="E121" s="260" t="n">
        <v>4</v>
      </c>
    </row>
    <row r="122" customFormat="false" ht="14.25" hidden="true" customHeight="true" outlineLevel="0" collapsed="false">
      <c r="A122" s="263"/>
      <c r="B122" s="259"/>
      <c r="C122" s="259" t="s">
        <v>408</v>
      </c>
      <c r="D122" s="117" t="n">
        <v>311.14</v>
      </c>
      <c r="E122" s="260" t="n">
        <v>3</v>
      </c>
    </row>
    <row r="123" customFormat="false" ht="14.25" hidden="true" customHeight="true" outlineLevel="0" collapsed="false">
      <c r="A123" s="263"/>
      <c r="B123" s="259"/>
      <c r="C123" s="259" t="s">
        <v>409</v>
      </c>
      <c r="D123" s="117" t="n">
        <v>226.6</v>
      </c>
      <c r="E123" s="260" t="n">
        <v>7</v>
      </c>
    </row>
    <row r="124" customFormat="false" ht="14.25" hidden="true" customHeight="true" outlineLevel="0" collapsed="false">
      <c r="A124" s="263"/>
      <c r="B124" s="259"/>
      <c r="C124" s="259" t="s">
        <v>410</v>
      </c>
      <c r="D124" s="117" t="n">
        <v>219.1</v>
      </c>
      <c r="E124" s="260" t="n">
        <v>6</v>
      </c>
    </row>
    <row r="125" customFormat="false" ht="14.25" hidden="true" customHeight="true" outlineLevel="0" collapsed="false">
      <c r="A125" s="263"/>
      <c r="B125" s="259"/>
      <c r="C125" s="259" t="s">
        <v>411</v>
      </c>
      <c r="D125" s="117" t="n">
        <v>133.54</v>
      </c>
      <c r="E125" s="260" t="n">
        <v>1</v>
      </c>
    </row>
    <row r="126" customFormat="false" ht="14.25" hidden="true" customHeight="true" outlineLevel="0" collapsed="false">
      <c r="A126" s="263"/>
      <c r="B126" s="259"/>
      <c r="C126" s="259" t="s">
        <v>412</v>
      </c>
      <c r="D126" s="117" t="n">
        <v>-168.38</v>
      </c>
      <c r="E126" s="260" t="n">
        <v>-4</v>
      </c>
    </row>
    <row r="127" customFormat="false" ht="14.25" hidden="true" customHeight="true" outlineLevel="0" collapsed="false">
      <c r="A127" s="263"/>
      <c r="B127" s="259"/>
      <c r="C127" s="259" t="s">
        <v>413</v>
      </c>
      <c r="D127" s="117" t="n">
        <v>-216.28</v>
      </c>
      <c r="E127" s="260" t="n">
        <v>-6</v>
      </c>
    </row>
    <row r="128" customFormat="false" ht="14.25" hidden="true" customHeight="true" outlineLevel="0" collapsed="false">
      <c r="A128" s="263"/>
      <c r="B128" s="259"/>
      <c r="C128" s="259" t="s">
        <v>414</v>
      </c>
      <c r="D128" s="117" t="n">
        <v>-999.26</v>
      </c>
      <c r="E128" s="260" t="n">
        <v>-33</v>
      </c>
    </row>
    <row r="129" customFormat="false" ht="14.25" hidden="true" customHeight="true" outlineLevel="0" collapsed="false">
      <c r="A129" s="264" t="s">
        <v>415</v>
      </c>
      <c r="B129" s="84"/>
      <c r="C129" s="84"/>
      <c r="D129" s="130" t="n">
        <f aca="false">SUM(D117:D128)</f>
        <v>2537.09</v>
      </c>
      <c r="E129" s="265"/>
    </row>
    <row r="130" customFormat="false" ht="14.25" hidden="true" customHeight="true" outlineLevel="0" collapsed="false">
      <c r="A130" s="262" t="s">
        <v>416</v>
      </c>
      <c r="B130" s="259"/>
      <c r="C130" s="259"/>
      <c r="D130" s="117"/>
      <c r="E130" s="260"/>
    </row>
    <row r="131" customFormat="false" ht="14.25" hidden="true" customHeight="true" outlineLevel="0" collapsed="false">
      <c r="A131" s="263"/>
      <c r="B131" s="259"/>
      <c r="C131" s="259" t="s">
        <v>417</v>
      </c>
      <c r="D131" s="117" t="n">
        <v>0.08</v>
      </c>
      <c r="E131" s="260" t="n">
        <v>8</v>
      </c>
    </row>
    <row r="132" customFormat="false" ht="14.25" hidden="true" customHeight="true" outlineLevel="0" collapsed="false">
      <c r="A132" s="263"/>
      <c r="B132" s="259"/>
      <c r="C132" s="259" t="s">
        <v>418</v>
      </c>
      <c r="D132" s="117" t="n">
        <v>0.01</v>
      </c>
      <c r="E132" s="260" t="n">
        <v>1</v>
      </c>
    </row>
    <row r="133" customFormat="false" ht="14.25" hidden="true" customHeight="true" outlineLevel="0" collapsed="false">
      <c r="A133" s="263"/>
      <c r="B133" s="259"/>
      <c r="C133" s="259" t="s">
        <v>419</v>
      </c>
      <c r="D133" s="117" t="n">
        <v>0.01</v>
      </c>
      <c r="E133" s="260" t="n">
        <v>1</v>
      </c>
    </row>
    <row r="134" customFormat="false" ht="14.25" hidden="true" customHeight="true" outlineLevel="0" collapsed="false">
      <c r="A134" s="263"/>
      <c r="B134" s="259"/>
      <c r="C134" s="259" t="s">
        <v>420</v>
      </c>
      <c r="D134" s="117" t="n">
        <v>0.01</v>
      </c>
      <c r="E134" s="260" t="n">
        <v>1</v>
      </c>
    </row>
    <row r="135" customFormat="false" ht="14.25" hidden="true" customHeight="true" outlineLevel="0" collapsed="false">
      <c r="A135" s="263"/>
      <c r="B135" s="259"/>
      <c r="C135" s="259" t="s">
        <v>421</v>
      </c>
      <c r="D135" s="117" t="n">
        <v>-562.29</v>
      </c>
      <c r="E135" s="260" t="n">
        <v>-3</v>
      </c>
    </row>
    <row r="136" customFormat="false" ht="14.25" hidden="true" customHeight="true" outlineLevel="0" collapsed="false">
      <c r="A136" s="264" t="s">
        <v>422</v>
      </c>
      <c r="B136" s="84"/>
      <c r="C136" s="84"/>
      <c r="D136" s="130" t="n">
        <f aca="false">SUM(D131:D135)</f>
        <v>-562.18</v>
      </c>
      <c r="E136" s="265"/>
    </row>
    <row r="137" customFormat="false" ht="14.25" hidden="true" customHeight="true" outlineLevel="0" collapsed="false">
      <c r="A137" s="262" t="s">
        <v>423</v>
      </c>
      <c r="B137" s="259"/>
      <c r="C137" s="259"/>
      <c r="D137" s="117"/>
      <c r="E137" s="260"/>
    </row>
    <row r="138" customFormat="false" ht="14.25" hidden="true" customHeight="true" outlineLevel="0" collapsed="false">
      <c r="A138" s="263"/>
      <c r="B138" s="259"/>
      <c r="C138" s="259" t="s">
        <v>424</v>
      </c>
      <c r="D138" s="117" t="n">
        <v>296.57</v>
      </c>
      <c r="E138" s="260" t="n">
        <v>1</v>
      </c>
    </row>
    <row r="139" customFormat="false" ht="14.25" hidden="true" customHeight="true" outlineLevel="0" collapsed="false">
      <c r="A139" s="263"/>
      <c r="B139" s="259"/>
      <c r="C139" s="259" t="s">
        <v>425</v>
      </c>
      <c r="D139" s="117" t="n">
        <v>207.57</v>
      </c>
      <c r="E139" s="260" t="n">
        <v>1</v>
      </c>
    </row>
    <row r="140" customFormat="false" ht="14.25" hidden="true" customHeight="true" outlineLevel="0" collapsed="false">
      <c r="A140" s="263"/>
      <c r="B140" s="259"/>
      <c r="C140" s="259" t="s">
        <v>426</v>
      </c>
      <c r="D140" s="117" t="n">
        <v>110.17</v>
      </c>
      <c r="E140" s="260" t="n">
        <v>1</v>
      </c>
    </row>
    <row r="141" customFormat="false" ht="14.25" hidden="true" customHeight="true" outlineLevel="0" collapsed="false">
      <c r="A141" s="264" t="s">
        <v>427</v>
      </c>
      <c r="B141" s="84"/>
      <c r="C141" s="84"/>
      <c r="D141" s="130" t="n">
        <f aca="false">SUM(D138:D140)</f>
        <v>614.31</v>
      </c>
      <c r="E141" s="265"/>
    </row>
    <row r="142" customFormat="false" ht="14.25" hidden="true" customHeight="true" outlineLevel="0" collapsed="false">
      <c r="A142" s="262" t="s">
        <v>428</v>
      </c>
      <c r="B142" s="259"/>
      <c r="C142" s="259"/>
      <c r="D142" s="117"/>
      <c r="E142" s="260"/>
    </row>
    <row r="143" customFormat="false" ht="14.25" hidden="true" customHeight="true" outlineLevel="0" collapsed="false">
      <c r="A143" s="263"/>
      <c r="B143" s="259"/>
      <c r="C143" s="259" t="s">
        <v>429</v>
      </c>
      <c r="D143" s="117" t="n">
        <v>266.89</v>
      </c>
      <c r="E143" s="260" t="n">
        <v>1</v>
      </c>
    </row>
    <row r="144" customFormat="false" ht="14.25" hidden="true" customHeight="true" outlineLevel="0" collapsed="false">
      <c r="A144" s="263"/>
      <c r="B144" s="259"/>
      <c r="C144" s="259" t="s">
        <v>430</v>
      </c>
      <c r="D144" s="117" t="n">
        <v>190.63</v>
      </c>
      <c r="E144" s="260" t="n">
        <v>1</v>
      </c>
    </row>
    <row r="145" customFormat="false" ht="14.25" hidden="true" customHeight="true" outlineLevel="0" collapsed="false">
      <c r="A145" s="263"/>
      <c r="B145" s="259"/>
      <c r="C145" s="259" t="s">
        <v>431</v>
      </c>
      <c r="D145" s="117" t="n">
        <v>190.63</v>
      </c>
      <c r="E145" s="260" t="n">
        <v>1</v>
      </c>
    </row>
    <row r="146" customFormat="false" ht="14.25" hidden="true" customHeight="true" outlineLevel="0" collapsed="false">
      <c r="A146" s="263"/>
      <c r="B146" s="259"/>
      <c r="C146" s="259" t="s">
        <v>432</v>
      </c>
      <c r="D146" s="117" t="n">
        <v>148.26</v>
      </c>
      <c r="E146" s="260" t="n">
        <v>1</v>
      </c>
    </row>
    <row r="147" customFormat="false" ht="14.25" hidden="true" customHeight="true" outlineLevel="0" collapsed="false">
      <c r="A147" s="263"/>
      <c r="B147" s="259"/>
      <c r="C147" s="259" t="s">
        <v>433</v>
      </c>
      <c r="D147" s="117" t="n">
        <v>143.98</v>
      </c>
      <c r="E147" s="260" t="n">
        <v>2</v>
      </c>
    </row>
    <row r="148" customFormat="false" ht="14.25" hidden="true" customHeight="true" outlineLevel="0" collapsed="false">
      <c r="A148" s="263"/>
      <c r="B148" s="259"/>
      <c r="C148" s="259" t="s">
        <v>434</v>
      </c>
      <c r="D148" s="117" t="n">
        <v>99.53</v>
      </c>
      <c r="E148" s="260" t="n">
        <v>1</v>
      </c>
    </row>
    <row r="149" customFormat="false" ht="14.25" hidden="true" customHeight="true" outlineLevel="0" collapsed="false">
      <c r="A149" s="263"/>
      <c r="B149" s="259"/>
      <c r="C149" s="259" t="s">
        <v>435</v>
      </c>
      <c r="D149" s="117" t="n">
        <v>8.01</v>
      </c>
      <c r="E149" s="260" t="n">
        <v>1</v>
      </c>
    </row>
    <row r="150" customFormat="false" ht="14.25" hidden="true" customHeight="true" outlineLevel="0" collapsed="false">
      <c r="A150" s="264" t="s">
        <v>436</v>
      </c>
      <c r="B150" s="84"/>
      <c r="C150" s="84"/>
      <c r="D150" s="130" t="n">
        <f aca="false">SUM(D143:D149)</f>
        <v>1047.93</v>
      </c>
      <c r="E150" s="265"/>
    </row>
    <row r="151" customFormat="false" ht="14.25" hidden="true" customHeight="true" outlineLevel="0" collapsed="false">
      <c r="A151" s="84" t="s">
        <v>437</v>
      </c>
      <c r="B151" s="84"/>
      <c r="C151" s="84"/>
      <c r="D151" s="130" t="n">
        <f aca="false">SUM(D129,D136,D141,D150)</f>
        <v>3637.15</v>
      </c>
      <c r="E151" s="265"/>
    </row>
    <row r="152" customFormat="false" ht="14.25" hidden="false" customHeight="true" outlineLevel="0" collapsed="false">
      <c r="A152" s="85" t="s">
        <v>146</v>
      </c>
      <c r="B152" s="259"/>
      <c r="C152" s="259"/>
      <c r="D152" s="269" t="n">
        <v>14781.41</v>
      </c>
      <c r="E152" s="260" t="n">
        <v>197</v>
      </c>
    </row>
    <row r="153" customFormat="false" ht="14.25" hidden="true" customHeight="true" outlineLevel="0" collapsed="false">
      <c r="A153" s="262" t="s">
        <v>438</v>
      </c>
      <c r="B153" s="259"/>
      <c r="C153" s="259"/>
      <c r="D153" s="117"/>
      <c r="E153" s="260"/>
    </row>
    <row r="154" customFormat="false" ht="14.25" hidden="true" customHeight="true" outlineLevel="0" collapsed="false">
      <c r="A154" s="263"/>
      <c r="B154" s="259"/>
      <c r="C154" s="259" t="s">
        <v>439</v>
      </c>
      <c r="D154" s="117" t="n">
        <v>751.94</v>
      </c>
      <c r="E154" s="260" t="n">
        <v>18</v>
      </c>
    </row>
    <row r="155" customFormat="false" ht="14.25" hidden="true" customHeight="true" outlineLevel="0" collapsed="false">
      <c r="A155" s="263"/>
      <c r="B155" s="259"/>
      <c r="C155" s="259" t="s">
        <v>440</v>
      </c>
      <c r="D155" s="117" t="n">
        <v>747.36</v>
      </c>
      <c r="E155" s="260" t="n">
        <v>12</v>
      </c>
    </row>
    <row r="156" customFormat="false" ht="14.25" hidden="true" customHeight="true" outlineLevel="0" collapsed="false">
      <c r="A156" s="263"/>
      <c r="B156" s="259"/>
      <c r="C156" s="259" t="s">
        <v>441</v>
      </c>
      <c r="D156" s="117" t="n">
        <v>491.83</v>
      </c>
      <c r="E156" s="260" t="n">
        <v>7</v>
      </c>
    </row>
    <row r="157" customFormat="false" ht="14.25" hidden="true" customHeight="true" outlineLevel="0" collapsed="false">
      <c r="A157" s="264" t="s">
        <v>442</v>
      </c>
      <c r="B157" s="84"/>
      <c r="C157" s="84"/>
      <c r="D157" s="130" t="n">
        <f aca="false">SUM(D154:D156)</f>
        <v>1991.13</v>
      </c>
      <c r="E157" s="265"/>
    </row>
    <row r="158" customFormat="false" ht="14.25" hidden="true" customHeight="true" outlineLevel="0" collapsed="false">
      <c r="A158" s="261" t="s">
        <v>443</v>
      </c>
      <c r="B158" s="259"/>
      <c r="C158" s="259" t="s">
        <v>444</v>
      </c>
      <c r="D158" s="117" t="n">
        <v>1610</v>
      </c>
      <c r="E158" s="260" t="n">
        <v>9</v>
      </c>
    </row>
    <row r="159" customFormat="false" ht="14.25" hidden="true" customHeight="true" outlineLevel="0" collapsed="false">
      <c r="A159" s="262" t="s">
        <v>445</v>
      </c>
      <c r="B159" s="259"/>
      <c r="C159" s="259"/>
      <c r="D159" s="117"/>
      <c r="E159" s="260"/>
    </row>
    <row r="160" customFormat="false" ht="14.25" hidden="true" customHeight="true" outlineLevel="0" collapsed="false">
      <c r="A160" s="263"/>
      <c r="B160" s="259"/>
      <c r="C160" s="259" t="s">
        <v>446</v>
      </c>
      <c r="D160" s="117" t="n">
        <v>767.53</v>
      </c>
      <c r="E160" s="260" t="n">
        <v>15</v>
      </c>
    </row>
    <row r="161" customFormat="false" ht="14.25" hidden="true" customHeight="true" outlineLevel="0" collapsed="false">
      <c r="A161" s="263"/>
      <c r="B161" s="259"/>
      <c r="C161" s="259" t="s">
        <v>447</v>
      </c>
      <c r="D161" s="117" t="n">
        <v>734.42</v>
      </c>
      <c r="E161" s="260" t="n">
        <v>11</v>
      </c>
    </row>
    <row r="162" customFormat="false" ht="14.25" hidden="true" customHeight="true" outlineLevel="0" collapsed="false">
      <c r="A162" s="263"/>
      <c r="B162" s="259"/>
      <c r="C162" s="259" t="s">
        <v>448</v>
      </c>
      <c r="D162" s="117" t="n">
        <v>719.59</v>
      </c>
      <c r="E162" s="260" t="n">
        <v>8</v>
      </c>
    </row>
    <row r="163" customFormat="false" ht="14.25" hidden="true" customHeight="true" outlineLevel="0" collapsed="false">
      <c r="A163" s="263"/>
      <c r="B163" s="259"/>
      <c r="C163" s="259" t="s">
        <v>449</v>
      </c>
      <c r="D163" s="117" t="n">
        <v>600.53</v>
      </c>
      <c r="E163" s="260" t="n">
        <v>8</v>
      </c>
    </row>
    <row r="164" customFormat="false" ht="14.25" hidden="true" customHeight="true" outlineLevel="0" collapsed="false">
      <c r="A164" s="263"/>
      <c r="B164" s="259"/>
      <c r="C164" s="259" t="s">
        <v>450</v>
      </c>
      <c r="D164" s="117" t="n">
        <v>497.14</v>
      </c>
      <c r="E164" s="260" t="n">
        <v>4</v>
      </c>
    </row>
    <row r="165" customFormat="false" ht="14.25" hidden="true" customHeight="true" outlineLevel="0" collapsed="false">
      <c r="A165" s="263"/>
      <c r="B165" s="259"/>
      <c r="C165" s="259" t="s">
        <v>451</v>
      </c>
      <c r="D165" s="117" t="n">
        <v>285.64</v>
      </c>
      <c r="E165" s="260" t="n">
        <v>7</v>
      </c>
    </row>
    <row r="166" customFormat="false" ht="14.25" hidden="true" customHeight="true" outlineLevel="0" collapsed="false">
      <c r="A166" s="264" t="s">
        <v>452</v>
      </c>
      <c r="B166" s="84"/>
      <c r="C166" s="84"/>
      <c r="D166" s="130" t="n">
        <f aca="false">SUM(D160:D165)</f>
        <v>3604.85</v>
      </c>
      <c r="E166" s="265"/>
    </row>
    <row r="167" customFormat="false" ht="14.25" hidden="true" customHeight="true" outlineLevel="0" collapsed="false">
      <c r="A167" s="261" t="s">
        <v>453</v>
      </c>
      <c r="B167" s="259"/>
      <c r="C167" s="259" t="s">
        <v>454</v>
      </c>
      <c r="D167" s="117" t="n">
        <v>2650.2</v>
      </c>
      <c r="E167" s="260" t="n">
        <v>30</v>
      </c>
    </row>
    <row r="168" customFormat="false" ht="14.25" hidden="true" customHeight="true" outlineLevel="0" collapsed="false">
      <c r="A168" s="262" t="s">
        <v>455</v>
      </c>
      <c r="B168" s="259"/>
      <c r="C168" s="259"/>
      <c r="D168" s="117"/>
      <c r="E168" s="260"/>
    </row>
    <row r="169" customFormat="false" ht="14.25" hidden="true" customHeight="true" outlineLevel="0" collapsed="false">
      <c r="A169" s="263"/>
      <c r="B169" s="259"/>
      <c r="C169" s="259" t="s">
        <v>456</v>
      </c>
      <c r="D169" s="117" t="n">
        <v>1455.99</v>
      </c>
      <c r="E169" s="260" t="n">
        <v>18</v>
      </c>
    </row>
    <row r="170" customFormat="false" ht="14.25" hidden="true" customHeight="true" outlineLevel="0" collapsed="false">
      <c r="A170" s="263"/>
      <c r="B170" s="259"/>
      <c r="C170" s="259" t="s">
        <v>457</v>
      </c>
      <c r="D170" s="117" t="n">
        <v>895.21</v>
      </c>
      <c r="E170" s="260" t="n">
        <v>8</v>
      </c>
    </row>
    <row r="171" customFormat="false" ht="14.25" hidden="true" customHeight="true" outlineLevel="0" collapsed="false">
      <c r="A171" s="263"/>
      <c r="B171" s="259"/>
      <c r="C171" s="259" t="s">
        <v>458</v>
      </c>
      <c r="D171" s="117" t="n">
        <v>739.2</v>
      </c>
      <c r="E171" s="260" t="n">
        <v>13</v>
      </c>
    </row>
    <row r="172" customFormat="false" ht="14.25" hidden="true" customHeight="true" outlineLevel="0" collapsed="false">
      <c r="A172" s="263"/>
      <c r="B172" s="259"/>
      <c r="C172" s="259" t="s">
        <v>459</v>
      </c>
      <c r="D172" s="117" t="n">
        <v>687.14</v>
      </c>
      <c r="E172" s="260" t="n">
        <v>8</v>
      </c>
    </row>
    <row r="173" customFormat="false" ht="14.25" hidden="true" customHeight="true" outlineLevel="0" collapsed="false">
      <c r="A173" s="263"/>
      <c r="B173" s="259"/>
      <c r="C173" s="259" t="s">
        <v>460</v>
      </c>
      <c r="D173" s="117" t="n">
        <v>620.52</v>
      </c>
      <c r="E173" s="260" t="n">
        <v>12</v>
      </c>
    </row>
    <row r="174" customFormat="false" ht="14.25" hidden="true" customHeight="true" outlineLevel="0" collapsed="false">
      <c r="A174" s="263"/>
      <c r="B174" s="259"/>
      <c r="C174" s="259" t="s">
        <v>461</v>
      </c>
      <c r="D174" s="117" t="n">
        <v>527.17</v>
      </c>
      <c r="E174" s="260" t="n">
        <v>9</v>
      </c>
    </row>
    <row r="175" customFormat="false" ht="14.25" hidden="true" customHeight="true" outlineLevel="0" collapsed="false">
      <c r="A175" s="264" t="s">
        <v>462</v>
      </c>
      <c r="B175" s="84"/>
      <c r="C175" s="84"/>
      <c r="D175" s="130" t="n">
        <f aca="false">SUM(D169:D174)</f>
        <v>4925.23</v>
      </c>
      <c r="E175" s="265"/>
    </row>
    <row r="176" customFormat="false" ht="14.25" hidden="true" customHeight="true" outlineLevel="0" collapsed="false">
      <c r="A176" s="84" t="s">
        <v>463</v>
      </c>
      <c r="B176" s="84"/>
      <c r="C176" s="84"/>
      <c r="D176" s="130" t="n">
        <f aca="false">SUM(D157:D158,D166:D167,D175)</f>
        <v>14781.41</v>
      </c>
      <c r="E176" s="265"/>
    </row>
    <row r="177" customFormat="false" ht="14.25" hidden="false" customHeight="true" outlineLevel="0" collapsed="false">
      <c r="A177" s="85" t="s">
        <v>145</v>
      </c>
      <c r="B177" s="259"/>
      <c r="C177" s="259"/>
      <c r="D177" s="117" t="n">
        <v>478.2</v>
      </c>
      <c r="E177" s="260" t="n">
        <v>3</v>
      </c>
    </row>
    <row r="178" customFormat="false" ht="14.25" hidden="true" customHeight="true" outlineLevel="0" collapsed="false">
      <c r="A178" s="261" t="s">
        <v>464</v>
      </c>
      <c r="B178" s="259"/>
      <c r="C178" s="259" t="s">
        <v>465</v>
      </c>
      <c r="D178" s="117" t="n">
        <v>478.2</v>
      </c>
      <c r="E178" s="260" t="n">
        <v>3</v>
      </c>
    </row>
    <row r="179" customFormat="false" ht="14.25" hidden="true" customHeight="true" outlineLevel="0" collapsed="false">
      <c r="A179" s="84" t="s">
        <v>466</v>
      </c>
      <c r="B179" s="84"/>
      <c r="C179" s="84"/>
      <c r="D179" s="130" t="n">
        <f aca="false">SUM(D178)</f>
        <v>478.2</v>
      </c>
      <c r="E179" s="265"/>
    </row>
    <row r="180" customFormat="false" ht="14.25" hidden="false" customHeight="true" outlineLevel="0" collapsed="false">
      <c r="A180" s="85" t="s">
        <v>147</v>
      </c>
      <c r="B180" s="259"/>
      <c r="C180" s="259"/>
      <c r="D180" s="269" t="n">
        <v>-4274.12</v>
      </c>
      <c r="E180" s="260" t="n">
        <v>-163</v>
      </c>
    </row>
    <row r="181" customFormat="false" ht="14.25" hidden="true" customHeight="true" outlineLevel="0" collapsed="false">
      <c r="A181" s="262" t="s">
        <v>467</v>
      </c>
      <c r="B181" s="259"/>
      <c r="C181" s="259"/>
      <c r="D181" s="117"/>
      <c r="E181" s="260"/>
    </row>
    <row r="182" customFormat="false" ht="14.25" hidden="true" customHeight="true" outlineLevel="0" collapsed="false">
      <c r="A182" s="263" t="s">
        <v>468</v>
      </c>
      <c r="B182" s="259"/>
      <c r="C182" s="259" t="s">
        <v>469</v>
      </c>
      <c r="D182" s="117" t="n">
        <v>-4274.12</v>
      </c>
      <c r="E182" s="260" t="n">
        <v>-164</v>
      </c>
    </row>
    <row r="183" customFormat="false" ht="14.25" hidden="true" customHeight="true" outlineLevel="0" collapsed="false">
      <c r="A183" s="263" t="s">
        <v>470</v>
      </c>
      <c r="B183" s="259"/>
      <c r="C183" s="259" t="s">
        <v>471</v>
      </c>
      <c r="D183" s="117" t="n">
        <v>0</v>
      </c>
      <c r="E183" s="260" t="n">
        <v>1</v>
      </c>
    </row>
    <row r="184" customFormat="false" ht="14.25" hidden="true" customHeight="true" outlineLevel="0" collapsed="false">
      <c r="A184" s="264" t="s">
        <v>472</v>
      </c>
      <c r="B184" s="84"/>
      <c r="C184" s="84"/>
      <c r="D184" s="130" t="n">
        <f aca="false">SUM(D182:D183)</f>
        <v>-4274.12</v>
      </c>
      <c r="E184" s="265"/>
    </row>
    <row r="185" customFormat="false" ht="14.25" hidden="true" customHeight="true" outlineLevel="0" collapsed="false">
      <c r="A185" s="84" t="s">
        <v>473</v>
      </c>
      <c r="B185" s="84"/>
      <c r="C185" s="84"/>
      <c r="D185" s="130" t="n">
        <f aca="false">SUM(D184)</f>
        <v>-4274.12</v>
      </c>
      <c r="E185" s="265"/>
    </row>
    <row r="186" customFormat="false" ht="14.25" hidden="false" customHeight="true" outlineLevel="0" collapsed="false">
      <c r="A186" s="85" t="s">
        <v>148</v>
      </c>
      <c r="B186" s="259"/>
      <c r="C186" s="259"/>
      <c r="D186" s="117" t="n">
        <v>314274.9</v>
      </c>
      <c r="E186" s="260" t="n">
        <v>14195</v>
      </c>
    </row>
    <row r="187" customFormat="false" ht="14.25" hidden="true" customHeight="true" outlineLevel="0" collapsed="false">
      <c r="A187" s="262" t="s">
        <v>474</v>
      </c>
      <c r="B187" s="259"/>
      <c r="C187" s="259"/>
      <c r="D187" s="117"/>
      <c r="E187" s="260"/>
    </row>
    <row r="188" customFormat="false" ht="14.25" hidden="true" customHeight="true" outlineLevel="0" collapsed="false">
      <c r="A188" s="263"/>
      <c r="B188" s="259"/>
      <c r="C188" s="259" t="s">
        <v>475</v>
      </c>
      <c r="D188" s="117" t="n">
        <v>37832</v>
      </c>
      <c r="E188" s="260" t="n">
        <v>1280</v>
      </c>
    </row>
    <row r="189" customFormat="false" ht="14.25" hidden="true" customHeight="true" outlineLevel="0" collapsed="false">
      <c r="A189" s="263"/>
      <c r="B189" s="259"/>
      <c r="C189" s="259" t="s">
        <v>476</v>
      </c>
      <c r="D189" s="117" t="n">
        <v>30764</v>
      </c>
      <c r="E189" s="260" t="n">
        <v>800</v>
      </c>
    </row>
    <row r="190" customFormat="false" ht="14.25" hidden="true" customHeight="true" outlineLevel="0" collapsed="false">
      <c r="A190" s="263"/>
      <c r="B190" s="259"/>
      <c r="C190" s="259" t="s">
        <v>477</v>
      </c>
      <c r="D190" s="117" t="n">
        <v>27700</v>
      </c>
      <c r="E190" s="260" t="n">
        <v>1400</v>
      </c>
    </row>
    <row r="191" customFormat="false" ht="14.25" hidden="true" customHeight="true" outlineLevel="0" collapsed="false">
      <c r="A191" s="263"/>
      <c r="B191" s="259"/>
      <c r="C191" s="259" t="s">
        <v>478</v>
      </c>
      <c r="D191" s="117" t="n">
        <v>27696.3</v>
      </c>
      <c r="E191" s="260" t="n">
        <v>910</v>
      </c>
    </row>
    <row r="192" customFormat="false" ht="14.25" hidden="true" customHeight="true" outlineLevel="0" collapsed="false">
      <c r="A192" s="263"/>
      <c r="B192" s="259"/>
      <c r="C192" s="259" t="s">
        <v>479</v>
      </c>
      <c r="D192" s="117" t="n">
        <v>20072.7</v>
      </c>
      <c r="E192" s="260" t="n">
        <v>710</v>
      </c>
    </row>
    <row r="193" customFormat="false" ht="14.25" hidden="true" customHeight="true" outlineLevel="0" collapsed="false">
      <c r="A193" s="263"/>
      <c r="B193" s="259"/>
      <c r="C193" s="259" t="s">
        <v>480</v>
      </c>
      <c r="D193" s="117" t="n">
        <v>19012.8</v>
      </c>
      <c r="E193" s="260" t="n">
        <v>1560</v>
      </c>
    </row>
    <row r="194" customFormat="false" ht="14.25" hidden="true" customHeight="true" outlineLevel="0" collapsed="false">
      <c r="A194" s="263"/>
      <c r="B194" s="259"/>
      <c r="C194" s="259" t="s">
        <v>481</v>
      </c>
      <c r="D194" s="117" t="n">
        <v>18256</v>
      </c>
      <c r="E194" s="260" t="n">
        <v>880</v>
      </c>
    </row>
    <row r="195" customFormat="false" ht="14.25" hidden="true" customHeight="true" outlineLevel="0" collapsed="false">
      <c r="A195" s="263"/>
      <c r="B195" s="259"/>
      <c r="C195" s="259" t="s">
        <v>482</v>
      </c>
      <c r="D195" s="117" t="n">
        <v>14725.2</v>
      </c>
      <c r="E195" s="260" t="n">
        <v>840</v>
      </c>
    </row>
    <row r="196" customFormat="false" ht="14.25" hidden="true" customHeight="true" outlineLevel="0" collapsed="false">
      <c r="A196" s="263"/>
      <c r="B196" s="259"/>
      <c r="C196" s="259" t="s">
        <v>483</v>
      </c>
      <c r="D196" s="117" t="n">
        <v>13572.3</v>
      </c>
      <c r="E196" s="260" t="n">
        <v>510</v>
      </c>
    </row>
    <row r="197" customFormat="false" ht="14.25" hidden="true" customHeight="true" outlineLevel="0" collapsed="false">
      <c r="A197" s="263"/>
      <c r="B197" s="259"/>
      <c r="C197" s="259" t="s">
        <v>484</v>
      </c>
      <c r="D197" s="117" t="n">
        <v>11963.5</v>
      </c>
      <c r="E197" s="260" t="n">
        <v>405</v>
      </c>
    </row>
    <row r="198" customFormat="false" ht="14.25" hidden="true" customHeight="true" outlineLevel="0" collapsed="false">
      <c r="A198" s="263"/>
      <c r="B198" s="259"/>
      <c r="C198" s="259" t="s">
        <v>485</v>
      </c>
      <c r="D198" s="117" t="n">
        <v>11592</v>
      </c>
      <c r="E198" s="260" t="n">
        <v>280</v>
      </c>
    </row>
    <row r="199" customFormat="false" ht="14.25" hidden="true" customHeight="true" outlineLevel="0" collapsed="false">
      <c r="A199" s="263"/>
      <c r="B199" s="259"/>
      <c r="C199" s="259" t="s">
        <v>486</v>
      </c>
      <c r="D199" s="117" t="n">
        <v>9202.5</v>
      </c>
      <c r="E199" s="260" t="n">
        <v>450</v>
      </c>
    </row>
    <row r="200" customFormat="false" ht="14.25" hidden="true" customHeight="true" outlineLevel="0" collapsed="false">
      <c r="A200" s="263"/>
      <c r="B200" s="259"/>
      <c r="C200" s="259" t="s">
        <v>487</v>
      </c>
      <c r="D200" s="117" t="n">
        <v>9072</v>
      </c>
      <c r="E200" s="260" t="n">
        <v>480</v>
      </c>
    </row>
    <row r="201" customFormat="false" ht="14.25" hidden="true" customHeight="true" outlineLevel="0" collapsed="false">
      <c r="A201" s="263"/>
      <c r="B201" s="259"/>
      <c r="C201" s="259" t="s">
        <v>488</v>
      </c>
      <c r="D201" s="117" t="n">
        <v>8520</v>
      </c>
      <c r="E201" s="260" t="n">
        <v>480</v>
      </c>
    </row>
    <row r="202" customFormat="false" ht="14.25" hidden="true" customHeight="true" outlineLevel="0" collapsed="false">
      <c r="A202" s="263"/>
      <c r="B202" s="259"/>
      <c r="C202" s="259" t="s">
        <v>489</v>
      </c>
      <c r="D202" s="117" t="n">
        <v>8160</v>
      </c>
      <c r="E202" s="260" t="n">
        <v>600</v>
      </c>
    </row>
    <row r="203" customFormat="false" ht="14.25" hidden="true" customHeight="true" outlineLevel="0" collapsed="false">
      <c r="A203" s="263"/>
      <c r="B203" s="259"/>
      <c r="C203" s="259" t="s">
        <v>490</v>
      </c>
      <c r="D203" s="117" t="n">
        <v>7939.2</v>
      </c>
      <c r="E203" s="260" t="n">
        <v>400</v>
      </c>
    </row>
    <row r="204" customFormat="false" ht="14.25" hidden="true" customHeight="true" outlineLevel="0" collapsed="false">
      <c r="A204" s="263"/>
      <c r="B204" s="259"/>
      <c r="C204" s="259" t="s">
        <v>491</v>
      </c>
      <c r="D204" s="117" t="n">
        <v>7620</v>
      </c>
      <c r="E204" s="260" t="n">
        <v>600</v>
      </c>
    </row>
    <row r="205" customFormat="false" ht="14.25" hidden="true" customHeight="true" outlineLevel="0" collapsed="false">
      <c r="A205" s="263"/>
      <c r="B205" s="259"/>
      <c r="C205" s="259" t="s">
        <v>492</v>
      </c>
      <c r="D205" s="117" t="n">
        <v>7001</v>
      </c>
      <c r="E205" s="260" t="n">
        <v>220</v>
      </c>
    </row>
    <row r="206" customFormat="false" ht="14.25" hidden="true" customHeight="true" outlineLevel="0" collapsed="false">
      <c r="A206" s="263"/>
      <c r="B206" s="259"/>
      <c r="C206" s="259" t="s">
        <v>493</v>
      </c>
      <c r="D206" s="117" t="n">
        <v>5400</v>
      </c>
      <c r="E206" s="260" t="n">
        <v>240</v>
      </c>
    </row>
    <row r="207" customFormat="false" ht="14.25" hidden="true" customHeight="true" outlineLevel="0" collapsed="false">
      <c r="A207" s="263"/>
      <c r="B207" s="259"/>
      <c r="C207" s="259" t="s">
        <v>494</v>
      </c>
      <c r="D207" s="117" t="n">
        <v>5063</v>
      </c>
      <c r="E207" s="260" t="n">
        <v>210</v>
      </c>
    </row>
    <row r="208" customFormat="false" ht="14.25" hidden="true" customHeight="true" outlineLevel="0" collapsed="false">
      <c r="A208" s="263"/>
      <c r="B208" s="259"/>
      <c r="C208" s="259" t="s">
        <v>495</v>
      </c>
      <c r="D208" s="117" t="n">
        <v>3048</v>
      </c>
      <c r="E208" s="260" t="n">
        <v>240</v>
      </c>
    </row>
    <row r="209" customFormat="false" ht="14.25" hidden="true" customHeight="true" outlineLevel="0" collapsed="false">
      <c r="A209" s="263"/>
      <c r="B209" s="259"/>
      <c r="C209" s="259" t="s">
        <v>496</v>
      </c>
      <c r="D209" s="117" t="n">
        <v>3048</v>
      </c>
      <c r="E209" s="260" t="n">
        <v>240</v>
      </c>
    </row>
    <row r="210" customFormat="false" ht="14.25" hidden="true" customHeight="true" outlineLevel="0" collapsed="false">
      <c r="A210" s="263"/>
      <c r="B210" s="259"/>
      <c r="C210" s="259" t="s">
        <v>497</v>
      </c>
      <c r="D210" s="117" t="n">
        <v>2870.4</v>
      </c>
      <c r="E210" s="260" t="n">
        <v>240</v>
      </c>
    </row>
    <row r="211" customFormat="false" ht="14.25" hidden="true" customHeight="true" outlineLevel="0" collapsed="false">
      <c r="A211" s="263"/>
      <c r="B211" s="259"/>
      <c r="C211" s="259" t="s">
        <v>498</v>
      </c>
      <c r="D211" s="117" t="n">
        <v>2848</v>
      </c>
      <c r="E211" s="260" t="n">
        <v>160</v>
      </c>
    </row>
    <row r="212" customFormat="false" ht="14.25" hidden="true" customHeight="true" outlineLevel="0" collapsed="false">
      <c r="A212" s="263"/>
      <c r="B212" s="259"/>
      <c r="C212" s="259" t="s">
        <v>499</v>
      </c>
      <c r="D212" s="117" t="n">
        <v>1296</v>
      </c>
      <c r="E212" s="260" t="n">
        <v>60</v>
      </c>
    </row>
    <row r="213" customFormat="false" ht="14.25" hidden="true" customHeight="true" outlineLevel="0" collapsed="false">
      <c r="A213" s="264" t="s">
        <v>500</v>
      </c>
      <c r="B213" s="84"/>
      <c r="C213" s="84"/>
      <c r="D213" s="130" t="n">
        <f aca="false">SUM(D188:D212)</f>
        <v>314274.9</v>
      </c>
      <c r="E213" s="265"/>
    </row>
    <row r="214" customFormat="false" ht="14.25" hidden="true" customHeight="true" outlineLevel="0" collapsed="false">
      <c r="A214" s="84" t="s">
        <v>501</v>
      </c>
      <c r="B214" s="84"/>
      <c r="C214" s="84"/>
      <c r="D214" s="130" t="n">
        <f aca="false">SUM(D213)</f>
        <v>314274.9</v>
      </c>
      <c r="E214" s="265"/>
    </row>
    <row r="215" customFormat="false" ht="14.25" hidden="false" customHeight="true" outlineLevel="0" collapsed="false">
      <c r="A215" s="85" t="s">
        <v>149</v>
      </c>
      <c r="B215" s="259"/>
      <c r="C215" s="259"/>
      <c r="D215" s="117" t="n">
        <v>369715.319999998</v>
      </c>
      <c r="E215" s="260" t="n">
        <v>2786</v>
      </c>
    </row>
    <row r="216" customFormat="false" ht="14.25" hidden="true" customHeight="true" outlineLevel="0" collapsed="false">
      <c r="A216" s="262" t="s">
        <v>502</v>
      </c>
      <c r="B216" s="259"/>
      <c r="C216" s="259"/>
      <c r="D216" s="117"/>
      <c r="E216" s="260"/>
    </row>
    <row r="217" customFormat="false" ht="14.25" hidden="true" customHeight="true" outlineLevel="0" collapsed="false">
      <c r="A217" s="263"/>
      <c r="B217" s="259"/>
      <c r="C217" s="259" t="s">
        <v>503</v>
      </c>
      <c r="D217" s="117" t="n">
        <v>1228.64</v>
      </c>
      <c r="E217" s="260" t="n">
        <v>3</v>
      </c>
    </row>
    <row r="218" customFormat="false" ht="14.25" hidden="true" customHeight="true" outlineLevel="0" collapsed="false">
      <c r="A218" s="263"/>
      <c r="B218" s="259"/>
      <c r="C218" s="259" t="s">
        <v>504</v>
      </c>
      <c r="D218" s="117" t="n">
        <v>1228.64</v>
      </c>
      <c r="E218" s="260" t="n">
        <v>2</v>
      </c>
    </row>
    <row r="219" customFormat="false" ht="14.25" hidden="true" customHeight="true" outlineLevel="0" collapsed="false">
      <c r="A219" s="263"/>
      <c r="B219" s="259"/>
      <c r="C219" s="259" t="s">
        <v>505</v>
      </c>
      <c r="D219" s="117" t="n">
        <v>1101.52</v>
      </c>
      <c r="E219" s="260" t="n">
        <v>5</v>
      </c>
    </row>
    <row r="220" customFormat="false" ht="14.25" hidden="true" customHeight="true" outlineLevel="0" collapsed="false">
      <c r="A220" s="263"/>
      <c r="B220" s="259"/>
      <c r="C220" s="259" t="s">
        <v>506</v>
      </c>
      <c r="D220" s="117" t="n">
        <v>1101.52</v>
      </c>
      <c r="E220" s="260" t="n">
        <v>6</v>
      </c>
    </row>
    <row r="221" customFormat="false" ht="14.25" hidden="true" customHeight="true" outlineLevel="0" collapsed="false">
      <c r="A221" s="263"/>
      <c r="B221" s="259"/>
      <c r="C221" s="259" t="s">
        <v>507</v>
      </c>
      <c r="D221" s="117" t="n">
        <v>1090.3</v>
      </c>
      <c r="E221" s="260" t="n">
        <v>5</v>
      </c>
    </row>
    <row r="222" customFormat="false" ht="14.25" hidden="true" customHeight="true" outlineLevel="0" collapsed="false">
      <c r="A222" s="263"/>
      <c r="B222" s="259"/>
      <c r="C222" s="259" t="s">
        <v>508</v>
      </c>
      <c r="D222" s="117" t="n">
        <v>1067.49</v>
      </c>
      <c r="E222" s="260" t="n">
        <v>5</v>
      </c>
    </row>
    <row r="223" customFormat="false" ht="14.25" hidden="true" customHeight="true" outlineLevel="0" collapsed="false">
      <c r="A223" s="263"/>
      <c r="B223" s="259"/>
      <c r="C223" s="259" t="s">
        <v>509</v>
      </c>
      <c r="D223" s="117" t="n">
        <v>847.37</v>
      </c>
      <c r="E223" s="260" t="n">
        <v>3</v>
      </c>
    </row>
    <row r="224" customFormat="false" ht="14.25" hidden="true" customHeight="true" outlineLevel="0" collapsed="false">
      <c r="A224" s="263"/>
      <c r="B224" s="259"/>
      <c r="C224" s="259" t="s">
        <v>510</v>
      </c>
      <c r="D224" s="117" t="n">
        <v>847.29</v>
      </c>
      <c r="E224" s="260" t="n">
        <v>5</v>
      </c>
    </row>
    <row r="225" customFormat="false" ht="14.25" hidden="true" customHeight="true" outlineLevel="0" collapsed="false">
      <c r="A225" s="263"/>
      <c r="B225" s="259"/>
      <c r="C225" s="259" t="s">
        <v>511</v>
      </c>
      <c r="D225" s="117" t="n">
        <v>847.2</v>
      </c>
      <c r="E225" s="260" t="n">
        <v>3</v>
      </c>
    </row>
    <row r="226" customFormat="false" ht="14.25" hidden="true" customHeight="true" outlineLevel="0" collapsed="false">
      <c r="A226" s="263"/>
      <c r="B226" s="259"/>
      <c r="C226" s="259" t="s">
        <v>512</v>
      </c>
      <c r="D226" s="117" t="n">
        <v>834.49</v>
      </c>
      <c r="E226" s="260" t="n">
        <v>5</v>
      </c>
    </row>
    <row r="227" customFormat="false" ht="14.25" hidden="true" customHeight="true" outlineLevel="0" collapsed="false">
      <c r="A227" s="263"/>
      <c r="B227" s="259"/>
      <c r="C227" s="259" t="s">
        <v>513</v>
      </c>
      <c r="D227" s="117" t="n">
        <v>779.41</v>
      </c>
      <c r="E227" s="260" t="n">
        <v>4</v>
      </c>
    </row>
    <row r="228" customFormat="false" ht="14.25" hidden="true" customHeight="true" outlineLevel="0" collapsed="false">
      <c r="A228" s="263"/>
      <c r="B228" s="259"/>
      <c r="C228" s="259" t="s">
        <v>514</v>
      </c>
      <c r="D228" s="117" t="n">
        <v>764.51</v>
      </c>
      <c r="E228" s="260" t="n">
        <v>4</v>
      </c>
    </row>
    <row r="229" customFormat="false" ht="14.25" hidden="true" customHeight="true" outlineLevel="0" collapsed="false">
      <c r="A229" s="263"/>
      <c r="B229" s="259"/>
      <c r="C229" s="259" t="s">
        <v>515</v>
      </c>
      <c r="D229" s="117" t="n">
        <v>720.76</v>
      </c>
      <c r="E229" s="260" t="n">
        <v>5</v>
      </c>
    </row>
    <row r="230" customFormat="false" ht="14.25" hidden="true" customHeight="true" outlineLevel="0" collapsed="false">
      <c r="A230" s="263"/>
      <c r="B230" s="259"/>
      <c r="C230" s="259" t="s">
        <v>516</v>
      </c>
      <c r="D230" s="117" t="n">
        <v>694.75</v>
      </c>
      <c r="E230" s="260" t="n">
        <v>5</v>
      </c>
    </row>
    <row r="231" customFormat="false" ht="14.25" hidden="true" customHeight="true" outlineLevel="0" collapsed="false">
      <c r="A231" s="263"/>
      <c r="B231" s="259"/>
      <c r="C231" s="259" t="s">
        <v>517</v>
      </c>
      <c r="D231" s="117" t="n">
        <v>681.95</v>
      </c>
      <c r="E231" s="260" t="n">
        <v>3</v>
      </c>
    </row>
    <row r="232" customFormat="false" ht="14.25" hidden="true" customHeight="true" outlineLevel="0" collapsed="false">
      <c r="A232" s="263"/>
      <c r="B232" s="259"/>
      <c r="C232" s="259" t="s">
        <v>518</v>
      </c>
      <c r="D232" s="117" t="n">
        <v>673.3</v>
      </c>
      <c r="E232" s="260" t="n">
        <v>5</v>
      </c>
    </row>
    <row r="233" customFormat="false" ht="14.25" hidden="true" customHeight="true" outlineLevel="0" collapsed="false">
      <c r="A233" s="263"/>
      <c r="B233" s="259"/>
      <c r="C233" s="259" t="s">
        <v>519</v>
      </c>
      <c r="D233" s="117" t="n">
        <v>652.29</v>
      </c>
      <c r="E233" s="260" t="n">
        <v>3</v>
      </c>
    </row>
    <row r="234" customFormat="false" ht="14.25" hidden="true" customHeight="true" outlineLevel="0" collapsed="false">
      <c r="A234" s="263"/>
      <c r="B234" s="259"/>
      <c r="C234" s="259" t="s">
        <v>520</v>
      </c>
      <c r="D234" s="117" t="n">
        <v>652.29</v>
      </c>
      <c r="E234" s="260" t="n">
        <v>5</v>
      </c>
    </row>
    <row r="235" customFormat="false" ht="14.25" hidden="true" customHeight="true" outlineLevel="0" collapsed="false">
      <c r="A235" s="263"/>
      <c r="B235" s="259"/>
      <c r="C235" s="259" t="s">
        <v>521</v>
      </c>
      <c r="D235" s="117" t="n">
        <v>652.29</v>
      </c>
      <c r="E235" s="260" t="n">
        <v>3</v>
      </c>
    </row>
    <row r="236" customFormat="false" ht="14.25" hidden="true" customHeight="true" outlineLevel="0" collapsed="false">
      <c r="A236" s="263"/>
      <c r="B236" s="259"/>
      <c r="C236" s="259" t="s">
        <v>522</v>
      </c>
      <c r="D236" s="117" t="n">
        <v>634.35</v>
      </c>
      <c r="E236" s="260" t="n">
        <v>4</v>
      </c>
    </row>
    <row r="237" customFormat="false" ht="14.25" hidden="true" customHeight="true" outlineLevel="0" collapsed="false">
      <c r="A237" s="263"/>
      <c r="B237" s="259"/>
      <c r="C237" s="259" t="s">
        <v>523</v>
      </c>
      <c r="D237" s="117" t="n">
        <v>614.24</v>
      </c>
      <c r="E237" s="260" t="n">
        <v>2</v>
      </c>
    </row>
    <row r="238" customFormat="false" ht="14.25" hidden="true" customHeight="true" outlineLevel="0" collapsed="false">
      <c r="A238" s="263"/>
      <c r="B238" s="259"/>
      <c r="C238" s="259" t="s">
        <v>524</v>
      </c>
      <c r="D238" s="117" t="n">
        <v>609.91</v>
      </c>
      <c r="E238" s="260" t="n">
        <v>3</v>
      </c>
    </row>
    <row r="239" customFormat="false" ht="14.25" hidden="true" customHeight="true" outlineLevel="0" collapsed="false">
      <c r="A239" s="263"/>
      <c r="B239" s="259"/>
      <c r="C239" s="259" t="s">
        <v>525</v>
      </c>
      <c r="D239" s="117" t="n">
        <v>604.78</v>
      </c>
      <c r="E239" s="260" t="n">
        <v>4</v>
      </c>
    </row>
    <row r="240" customFormat="false" ht="14.25" hidden="true" customHeight="true" outlineLevel="0" collapsed="false">
      <c r="A240" s="263"/>
      <c r="B240" s="259"/>
      <c r="C240" s="259" t="s">
        <v>526</v>
      </c>
      <c r="D240" s="117" t="n">
        <v>602.31</v>
      </c>
      <c r="E240" s="260" t="n">
        <v>5</v>
      </c>
    </row>
    <row r="241" customFormat="false" ht="14.25" hidden="true" customHeight="true" outlineLevel="0" collapsed="false">
      <c r="A241" s="263"/>
      <c r="B241" s="259"/>
      <c r="C241" s="259" t="s">
        <v>527</v>
      </c>
      <c r="D241" s="117" t="n">
        <v>601.52</v>
      </c>
      <c r="E241" s="260" t="n">
        <v>2</v>
      </c>
    </row>
    <row r="242" customFormat="false" ht="14.25" hidden="true" customHeight="true" outlineLevel="0" collapsed="false">
      <c r="A242" s="263"/>
      <c r="B242" s="259"/>
      <c r="C242" s="259" t="s">
        <v>528</v>
      </c>
      <c r="D242" s="117" t="n">
        <v>594.68</v>
      </c>
      <c r="E242" s="260" t="n">
        <v>3</v>
      </c>
    </row>
    <row r="243" customFormat="false" ht="14.25" hidden="true" customHeight="true" outlineLevel="0" collapsed="false">
      <c r="A243" s="263"/>
      <c r="B243" s="259"/>
      <c r="C243" s="259" t="s">
        <v>529</v>
      </c>
      <c r="D243" s="117" t="n">
        <v>593.14</v>
      </c>
      <c r="E243" s="260" t="n">
        <v>1</v>
      </c>
    </row>
    <row r="244" customFormat="false" ht="14.25" hidden="true" customHeight="true" outlineLevel="0" collapsed="false">
      <c r="A244" s="263"/>
      <c r="B244" s="259"/>
      <c r="C244" s="259" t="s">
        <v>530</v>
      </c>
      <c r="D244" s="117" t="n">
        <v>593.05</v>
      </c>
      <c r="E244" s="260" t="n">
        <v>2</v>
      </c>
    </row>
    <row r="245" customFormat="false" ht="14.25" hidden="true" customHeight="true" outlineLevel="0" collapsed="false">
      <c r="A245" s="263"/>
      <c r="B245" s="259"/>
      <c r="C245" s="259" t="s">
        <v>531</v>
      </c>
      <c r="D245" s="117" t="n">
        <v>593.05</v>
      </c>
      <c r="E245" s="260" t="n">
        <v>3</v>
      </c>
    </row>
    <row r="246" customFormat="false" ht="14.25" hidden="true" customHeight="true" outlineLevel="0" collapsed="false">
      <c r="A246" s="263"/>
      <c r="B246" s="259"/>
      <c r="C246" s="259" t="s">
        <v>532</v>
      </c>
      <c r="D246" s="117" t="n">
        <v>592.97</v>
      </c>
      <c r="E246" s="260" t="n">
        <v>3</v>
      </c>
    </row>
    <row r="247" customFormat="false" ht="14.25" hidden="true" customHeight="true" outlineLevel="0" collapsed="false">
      <c r="A247" s="263"/>
      <c r="B247" s="259"/>
      <c r="C247" s="259" t="s">
        <v>533</v>
      </c>
      <c r="D247" s="117" t="n">
        <v>584.66</v>
      </c>
      <c r="E247" s="260" t="n">
        <v>1</v>
      </c>
    </row>
    <row r="248" customFormat="false" ht="14.25" hidden="true" customHeight="true" outlineLevel="0" collapsed="false">
      <c r="A248" s="263"/>
      <c r="B248" s="259"/>
      <c r="C248" s="259" t="s">
        <v>534</v>
      </c>
      <c r="D248" s="117" t="n">
        <v>584.66</v>
      </c>
      <c r="E248" s="260" t="n">
        <v>1</v>
      </c>
    </row>
    <row r="249" customFormat="false" ht="14.25" hidden="true" customHeight="true" outlineLevel="0" collapsed="false">
      <c r="A249" s="263"/>
      <c r="B249" s="259"/>
      <c r="C249" s="259" t="s">
        <v>535</v>
      </c>
      <c r="D249" s="117" t="n">
        <v>584.66</v>
      </c>
      <c r="E249" s="260" t="n">
        <v>1</v>
      </c>
    </row>
    <row r="250" customFormat="false" ht="14.25" hidden="true" customHeight="true" outlineLevel="0" collapsed="false">
      <c r="A250" s="263"/>
      <c r="B250" s="259"/>
      <c r="C250" s="259" t="s">
        <v>536</v>
      </c>
      <c r="D250" s="117" t="n">
        <v>584.66</v>
      </c>
      <c r="E250" s="260" t="n">
        <v>1</v>
      </c>
    </row>
    <row r="251" customFormat="false" ht="14.25" hidden="true" customHeight="true" outlineLevel="0" collapsed="false">
      <c r="A251" s="263"/>
      <c r="B251" s="259"/>
      <c r="C251" s="259" t="s">
        <v>537</v>
      </c>
      <c r="D251" s="117" t="n">
        <v>567.71</v>
      </c>
      <c r="E251" s="260" t="n">
        <v>1</v>
      </c>
    </row>
    <row r="252" customFormat="false" ht="14.25" hidden="true" customHeight="true" outlineLevel="0" collapsed="false">
      <c r="A252" s="263"/>
      <c r="B252" s="259"/>
      <c r="C252" s="259" t="s">
        <v>538</v>
      </c>
      <c r="D252" s="117" t="n">
        <v>559.24</v>
      </c>
      <c r="E252" s="260" t="n">
        <v>1</v>
      </c>
    </row>
    <row r="253" customFormat="false" ht="14.25" hidden="true" customHeight="true" outlineLevel="0" collapsed="false">
      <c r="A253" s="263"/>
      <c r="B253" s="259"/>
      <c r="C253" s="259" t="s">
        <v>539</v>
      </c>
      <c r="D253" s="117" t="n">
        <v>552.32</v>
      </c>
      <c r="E253" s="260" t="n">
        <v>3</v>
      </c>
    </row>
    <row r="254" customFormat="false" ht="14.25" hidden="true" customHeight="true" outlineLevel="0" collapsed="false">
      <c r="A254" s="263"/>
      <c r="B254" s="259"/>
      <c r="C254" s="259" t="s">
        <v>540</v>
      </c>
      <c r="D254" s="117" t="n">
        <v>550.76</v>
      </c>
      <c r="E254" s="260" t="n">
        <v>3</v>
      </c>
    </row>
    <row r="255" customFormat="false" ht="14.25" hidden="true" customHeight="true" outlineLevel="0" collapsed="false">
      <c r="A255" s="263"/>
      <c r="B255" s="259"/>
      <c r="C255" s="259" t="s">
        <v>541</v>
      </c>
      <c r="D255" s="117" t="n">
        <v>550.76</v>
      </c>
      <c r="E255" s="260" t="n">
        <v>3</v>
      </c>
    </row>
    <row r="256" customFormat="false" ht="14.25" hidden="true" customHeight="true" outlineLevel="0" collapsed="false">
      <c r="A256" s="263"/>
      <c r="B256" s="259"/>
      <c r="C256" s="259" t="s">
        <v>542</v>
      </c>
      <c r="D256" s="117" t="n">
        <v>550.76</v>
      </c>
      <c r="E256" s="260" t="n">
        <v>3</v>
      </c>
    </row>
    <row r="257" customFormat="false" ht="14.25" hidden="true" customHeight="true" outlineLevel="0" collapsed="false">
      <c r="A257" s="263"/>
      <c r="B257" s="259"/>
      <c r="C257" s="259" t="s">
        <v>543</v>
      </c>
      <c r="D257" s="117" t="n">
        <v>550.76</v>
      </c>
      <c r="E257" s="260" t="n">
        <v>2</v>
      </c>
    </row>
    <row r="258" customFormat="false" ht="14.25" hidden="true" customHeight="true" outlineLevel="0" collapsed="false">
      <c r="A258" s="263"/>
      <c r="B258" s="259"/>
      <c r="C258" s="259" t="s">
        <v>544</v>
      </c>
      <c r="D258" s="117" t="n">
        <v>550.76</v>
      </c>
      <c r="E258" s="260" t="n">
        <v>2</v>
      </c>
    </row>
    <row r="259" customFormat="false" ht="14.25" hidden="true" customHeight="true" outlineLevel="0" collapsed="false">
      <c r="A259" s="263"/>
      <c r="B259" s="259"/>
      <c r="C259" s="259" t="s">
        <v>545</v>
      </c>
      <c r="D259" s="117" t="n">
        <v>550.76</v>
      </c>
      <c r="E259" s="260" t="n">
        <v>3</v>
      </c>
    </row>
    <row r="260" customFormat="false" ht="14.25" hidden="true" customHeight="true" outlineLevel="0" collapsed="false">
      <c r="A260" s="263"/>
      <c r="B260" s="259"/>
      <c r="C260" s="259" t="s">
        <v>546</v>
      </c>
      <c r="D260" s="117" t="n">
        <v>550.76</v>
      </c>
      <c r="E260" s="260" t="n">
        <v>4</v>
      </c>
    </row>
    <row r="261" customFormat="false" ht="14.25" hidden="true" customHeight="true" outlineLevel="0" collapsed="false">
      <c r="A261" s="263"/>
      <c r="B261" s="259"/>
      <c r="C261" s="259" t="s">
        <v>547</v>
      </c>
      <c r="D261" s="117" t="n">
        <v>550.76</v>
      </c>
      <c r="E261" s="260" t="n">
        <v>3</v>
      </c>
    </row>
    <row r="262" customFormat="false" ht="14.25" hidden="true" customHeight="true" outlineLevel="0" collapsed="false">
      <c r="A262" s="263"/>
      <c r="B262" s="259"/>
      <c r="C262" s="259" t="s">
        <v>548</v>
      </c>
      <c r="D262" s="117" t="n">
        <v>550.76</v>
      </c>
      <c r="E262" s="260" t="n">
        <v>3</v>
      </c>
    </row>
    <row r="263" customFormat="false" ht="14.25" hidden="true" customHeight="true" outlineLevel="0" collapsed="false">
      <c r="A263" s="263"/>
      <c r="B263" s="259"/>
      <c r="C263" s="259" t="s">
        <v>549</v>
      </c>
      <c r="D263" s="117" t="n">
        <v>550.76</v>
      </c>
      <c r="E263" s="260" t="n">
        <v>3</v>
      </c>
    </row>
    <row r="264" customFormat="false" ht="14.25" hidden="true" customHeight="true" outlineLevel="0" collapsed="false">
      <c r="A264" s="263"/>
      <c r="B264" s="259"/>
      <c r="C264" s="259" t="s">
        <v>550</v>
      </c>
      <c r="D264" s="117" t="n">
        <v>550.76</v>
      </c>
      <c r="E264" s="260" t="n">
        <v>3</v>
      </c>
    </row>
    <row r="265" customFormat="false" ht="14.25" hidden="true" customHeight="true" outlineLevel="0" collapsed="false">
      <c r="A265" s="263"/>
      <c r="B265" s="259"/>
      <c r="C265" s="259" t="s">
        <v>551</v>
      </c>
      <c r="D265" s="117" t="n">
        <v>550.76</v>
      </c>
      <c r="E265" s="260" t="n">
        <v>3</v>
      </c>
    </row>
    <row r="266" customFormat="false" ht="14.25" hidden="true" customHeight="true" outlineLevel="0" collapsed="false">
      <c r="A266" s="263"/>
      <c r="B266" s="259"/>
      <c r="C266" s="259" t="s">
        <v>552</v>
      </c>
      <c r="D266" s="117" t="n">
        <v>550.76</v>
      </c>
      <c r="E266" s="260" t="n">
        <v>3</v>
      </c>
    </row>
    <row r="267" customFormat="false" ht="14.25" hidden="true" customHeight="true" outlineLevel="0" collapsed="false">
      <c r="A267" s="263"/>
      <c r="B267" s="259"/>
      <c r="C267" s="259" t="s">
        <v>553</v>
      </c>
      <c r="D267" s="117" t="n">
        <v>550.76</v>
      </c>
      <c r="E267" s="260" t="n">
        <v>3</v>
      </c>
    </row>
    <row r="268" customFormat="false" ht="14.25" hidden="true" customHeight="true" outlineLevel="0" collapsed="false">
      <c r="A268" s="263"/>
      <c r="B268" s="259"/>
      <c r="C268" s="259" t="s">
        <v>554</v>
      </c>
      <c r="D268" s="117" t="n">
        <v>550.76</v>
      </c>
      <c r="E268" s="260" t="n">
        <v>4</v>
      </c>
    </row>
    <row r="269" customFormat="false" ht="14.25" hidden="true" customHeight="true" outlineLevel="0" collapsed="false">
      <c r="A269" s="263"/>
      <c r="B269" s="259"/>
      <c r="C269" s="259" t="s">
        <v>555</v>
      </c>
      <c r="D269" s="117" t="n">
        <v>550.76</v>
      </c>
      <c r="E269" s="260" t="n">
        <v>3</v>
      </c>
    </row>
    <row r="270" customFormat="false" ht="14.25" hidden="true" customHeight="true" outlineLevel="0" collapsed="false">
      <c r="A270" s="263"/>
      <c r="B270" s="259"/>
      <c r="C270" s="259" t="s">
        <v>556</v>
      </c>
      <c r="D270" s="117" t="n">
        <v>550.76</v>
      </c>
      <c r="E270" s="260" t="n">
        <v>3</v>
      </c>
    </row>
    <row r="271" customFormat="false" ht="14.25" hidden="true" customHeight="true" outlineLevel="0" collapsed="false">
      <c r="A271" s="263"/>
      <c r="B271" s="259"/>
      <c r="C271" s="259" t="s">
        <v>557</v>
      </c>
      <c r="D271" s="117" t="n">
        <v>550.76</v>
      </c>
      <c r="E271" s="260" t="n">
        <v>3</v>
      </c>
    </row>
    <row r="272" customFormat="false" ht="14.25" hidden="true" customHeight="true" outlineLevel="0" collapsed="false">
      <c r="A272" s="263"/>
      <c r="B272" s="259"/>
      <c r="C272" s="259" t="s">
        <v>558</v>
      </c>
      <c r="D272" s="117" t="n">
        <v>550.76</v>
      </c>
      <c r="E272" s="260" t="n">
        <v>3</v>
      </c>
    </row>
    <row r="273" customFormat="false" ht="14.25" hidden="true" customHeight="true" outlineLevel="0" collapsed="false">
      <c r="A273" s="263"/>
      <c r="B273" s="259"/>
      <c r="C273" s="259" t="s">
        <v>559</v>
      </c>
      <c r="D273" s="117" t="n">
        <v>550.76</v>
      </c>
      <c r="E273" s="260" t="n">
        <v>4</v>
      </c>
    </row>
    <row r="274" customFormat="false" ht="14.25" hidden="true" customHeight="true" outlineLevel="0" collapsed="false">
      <c r="A274" s="263"/>
      <c r="B274" s="259"/>
      <c r="C274" s="259" t="s">
        <v>560</v>
      </c>
      <c r="D274" s="117" t="n">
        <v>550.76</v>
      </c>
      <c r="E274" s="260" t="n">
        <v>3</v>
      </c>
    </row>
    <row r="275" customFormat="false" ht="14.25" hidden="true" customHeight="true" outlineLevel="0" collapsed="false">
      <c r="A275" s="263"/>
      <c r="B275" s="259"/>
      <c r="C275" s="259" t="s">
        <v>561</v>
      </c>
      <c r="D275" s="117" t="n">
        <v>550.76</v>
      </c>
      <c r="E275" s="260" t="n">
        <v>2</v>
      </c>
    </row>
    <row r="276" customFormat="false" ht="14.25" hidden="true" customHeight="true" outlineLevel="0" collapsed="false">
      <c r="A276" s="263"/>
      <c r="B276" s="259"/>
      <c r="C276" s="259" t="s">
        <v>562</v>
      </c>
      <c r="D276" s="117" t="n">
        <v>550.76</v>
      </c>
      <c r="E276" s="260" t="n">
        <v>3</v>
      </c>
    </row>
    <row r="277" customFormat="false" ht="14.25" hidden="true" customHeight="true" outlineLevel="0" collapsed="false">
      <c r="A277" s="263"/>
      <c r="B277" s="259"/>
      <c r="C277" s="259" t="s">
        <v>563</v>
      </c>
      <c r="D277" s="117" t="n">
        <v>550.76</v>
      </c>
      <c r="E277" s="260" t="n">
        <v>4</v>
      </c>
    </row>
    <row r="278" customFormat="false" ht="14.25" hidden="true" customHeight="true" outlineLevel="0" collapsed="false">
      <c r="A278" s="263"/>
      <c r="B278" s="259"/>
      <c r="C278" s="259" t="s">
        <v>564</v>
      </c>
      <c r="D278" s="117" t="n">
        <v>550.76</v>
      </c>
      <c r="E278" s="260" t="n">
        <v>3</v>
      </c>
    </row>
    <row r="279" customFormat="false" ht="14.25" hidden="true" customHeight="true" outlineLevel="0" collapsed="false">
      <c r="A279" s="263"/>
      <c r="B279" s="259"/>
      <c r="C279" s="259" t="s">
        <v>565</v>
      </c>
      <c r="D279" s="117" t="n">
        <v>550.76</v>
      </c>
      <c r="E279" s="260" t="n">
        <v>3</v>
      </c>
    </row>
    <row r="280" customFormat="false" ht="14.25" hidden="true" customHeight="true" outlineLevel="0" collapsed="false">
      <c r="A280" s="263"/>
      <c r="B280" s="259"/>
      <c r="C280" s="259" t="s">
        <v>566</v>
      </c>
      <c r="D280" s="117" t="n">
        <v>550.76</v>
      </c>
      <c r="E280" s="260" t="n">
        <v>3</v>
      </c>
    </row>
    <row r="281" customFormat="false" ht="14.25" hidden="true" customHeight="true" outlineLevel="0" collapsed="false">
      <c r="A281" s="263"/>
      <c r="B281" s="259"/>
      <c r="C281" s="259" t="s">
        <v>567</v>
      </c>
      <c r="D281" s="117" t="n">
        <v>550.76</v>
      </c>
      <c r="E281" s="260" t="n">
        <v>3</v>
      </c>
    </row>
    <row r="282" customFormat="false" ht="14.25" hidden="true" customHeight="true" outlineLevel="0" collapsed="false">
      <c r="A282" s="263"/>
      <c r="B282" s="259"/>
      <c r="C282" s="259" t="s">
        <v>568</v>
      </c>
      <c r="D282" s="117" t="n">
        <v>550.76</v>
      </c>
      <c r="E282" s="260" t="n">
        <v>3</v>
      </c>
    </row>
    <row r="283" customFormat="false" ht="14.25" hidden="true" customHeight="true" outlineLevel="0" collapsed="false">
      <c r="A283" s="263"/>
      <c r="B283" s="259"/>
      <c r="C283" s="259" t="s">
        <v>569</v>
      </c>
      <c r="D283" s="117" t="n">
        <v>550.76</v>
      </c>
      <c r="E283" s="260" t="n">
        <v>4</v>
      </c>
    </row>
    <row r="284" customFormat="false" ht="14.25" hidden="true" customHeight="true" outlineLevel="0" collapsed="false">
      <c r="A284" s="263"/>
      <c r="B284" s="259"/>
      <c r="C284" s="259" t="s">
        <v>570</v>
      </c>
      <c r="D284" s="117" t="n">
        <v>550.76</v>
      </c>
      <c r="E284" s="260" t="n">
        <v>3</v>
      </c>
    </row>
    <row r="285" customFormat="false" ht="14.25" hidden="true" customHeight="true" outlineLevel="0" collapsed="false">
      <c r="A285" s="263"/>
      <c r="B285" s="259"/>
      <c r="C285" s="259" t="s">
        <v>571</v>
      </c>
      <c r="D285" s="117" t="n">
        <v>550.76</v>
      </c>
      <c r="E285" s="260" t="n">
        <v>3</v>
      </c>
    </row>
    <row r="286" customFormat="false" ht="14.25" hidden="true" customHeight="true" outlineLevel="0" collapsed="false">
      <c r="A286" s="263"/>
      <c r="B286" s="259"/>
      <c r="C286" s="259" t="s">
        <v>572</v>
      </c>
      <c r="D286" s="117" t="n">
        <v>550.76</v>
      </c>
      <c r="E286" s="260" t="n">
        <v>3</v>
      </c>
    </row>
    <row r="287" customFormat="false" ht="14.25" hidden="true" customHeight="true" outlineLevel="0" collapsed="false">
      <c r="A287" s="263"/>
      <c r="B287" s="259"/>
      <c r="C287" s="259" t="s">
        <v>573</v>
      </c>
      <c r="D287" s="117" t="n">
        <v>550.76</v>
      </c>
      <c r="E287" s="260" t="n">
        <v>3</v>
      </c>
    </row>
    <row r="288" customFormat="false" ht="14.25" hidden="true" customHeight="true" outlineLevel="0" collapsed="false">
      <c r="A288" s="263"/>
      <c r="B288" s="259"/>
      <c r="C288" s="259" t="s">
        <v>574</v>
      </c>
      <c r="D288" s="117" t="n">
        <v>550.76</v>
      </c>
      <c r="E288" s="260" t="n">
        <v>3</v>
      </c>
    </row>
    <row r="289" customFormat="false" ht="14.25" hidden="true" customHeight="true" outlineLevel="0" collapsed="false">
      <c r="A289" s="263"/>
      <c r="B289" s="259"/>
      <c r="C289" s="259" t="s">
        <v>575</v>
      </c>
      <c r="D289" s="117" t="n">
        <v>550.76</v>
      </c>
      <c r="E289" s="260" t="n">
        <v>3</v>
      </c>
    </row>
    <row r="290" customFormat="false" ht="14.25" hidden="true" customHeight="true" outlineLevel="0" collapsed="false">
      <c r="A290" s="263"/>
      <c r="B290" s="259"/>
      <c r="C290" s="259" t="s">
        <v>576</v>
      </c>
      <c r="D290" s="117" t="n">
        <v>550.76</v>
      </c>
      <c r="E290" s="260" t="n">
        <v>3</v>
      </c>
    </row>
    <row r="291" customFormat="false" ht="14.25" hidden="true" customHeight="true" outlineLevel="0" collapsed="false">
      <c r="A291" s="263"/>
      <c r="B291" s="259"/>
      <c r="C291" s="259" t="s">
        <v>577</v>
      </c>
      <c r="D291" s="117" t="n">
        <v>550.76</v>
      </c>
      <c r="E291" s="260" t="n">
        <v>3</v>
      </c>
    </row>
    <row r="292" customFormat="false" ht="14.25" hidden="true" customHeight="true" outlineLevel="0" collapsed="false">
      <c r="A292" s="263"/>
      <c r="B292" s="259"/>
      <c r="C292" s="259" t="s">
        <v>578</v>
      </c>
      <c r="D292" s="117" t="n">
        <v>550.76</v>
      </c>
      <c r="E292" s="260" t="n">
        <v>3</v>
      </c>
    </row>
    <row r="293" customFormat="false" ht="14.25" hidden="true" customHeight="true" outlineLevel="0" collapsed="false">
      <c r="A293" s="263"/>
      <c r="B293" s="259"/>
      <c r="C293" s="259" t="s">
        <v>579</v>
      </c>
      <c r="D293" s="117" t="n">
        <v>550.76</v>
      </c>
      <c r="E293" s="260" t="n">
        <v>3</v>
      </c>
    </row>
    <row r="294" customFormat="false" ht="14.25" hidden="true" customHeight="true" outlineLevel="0" collapsed="false">
      <c r="A294" s="263"/>
      <c r="B294" s="259"/>
      <c r="C294" s="259" t="s">
        <v>580</v>
      </c>
      <c r="D294" s="117" t="n">
        <v>550.76</v>
      </c>
      <c r="E294" s="260" t="n">
        <v>3</v>
      </c>
    </row>
    <row r="295" customFormat="false" ht="14.25" hidden="true" customHeight="true" outlineLevel="0" collapsed="false">
      <c r="A295" s="263"/>
      <c r="B295" s="259"/>
      <c r="C295" s="259" t="s">
        <v>581</v>
      </c>
      <c r="D295" s="117" t="n">
        <v>550.76</v>
      </c>
      <c r="E295" s="260" t="n">
        <v>3</v>
      </c>
    </row>
    <row r="296" customFormat="false" ht="14.25" hidden="true" customHeight="true" outlineLevel="0" collapsed="false">
      <c r="A296" s="263"/>
      <c r="B296" s="259"/>
      <c r="C296" s="259" t="s">
        <v>582</v>
      </c>
      <c r="D296" s="117" t="n">
        <v>550.76</v>
      </c>
      <c r="E296" s="260" t="n">
        <v>3</v>
      </c>
    </row>
    <row r="297" customFormat="false" ht="14.25" hidden="true" customHeight="true" outlineLevel="0" collapsed="false">
      <c r="A297" s="263"/>
      <c r="B297" s="259"/>
      <c r="C297" s="259" t="s">
        <v>583</v>
      </c>
      <c r="D297" s="117" t="n">
        <v>550.68</v>
      </c>
      <c r="E297" s="260" t="n">
        <v>2</v>
      </c>
    </row>
    <row r="298" customFormat="false" ht="14.25" hidden="true" customHeight="true" outlineLevel="0" collapsed="false">
      <c r="A298" s="263"/>
      <c r="B298" s="259"/>
      <c r="C298" s="259" t="s">
        <v>584</v>
      </c>
      <c r="D298" s="117" t="n">
        <v>548.92</v>
      </c>
      <c r="E298" s="260" t="n">
        <v>4</v>
      </c>
    </row>
    <row r="299" customFormat="false" ht="14.25" hidden="true" customHeight="true" outlineLevel="0" collapsed="false">
      <c r="A299" s="263"/>
      <c r="B299" s="259"/>
      <c r="C299" s="259" t="s">
        <v>585</v>
      </c>
      <c r="D299" s="117" t="n">
        <v>539.01</v>
      </c>
      <c r="E299" s="260" t="n">
        <v>4</v>
      </c>
    </row>
    <row r="300" customFormat="false" ht="14.25" hidden="true" customHeight="true" outlineLevel="0" collapsed="false">
      <c r="A300" s="263"/>
      <c r="B300" s="259"/>
      <c r="C300" s="259" t="s">
        <v>586</v>
      </c>
      <c r="D300" s="117" t="n">
        <v>535.58</v>
      </c>
      <c r="E300" s="260" t="n">
        <v>10</v>
      </c>
    </row>
    <row r="301" customFormat="false" ht="14.25" hidden="true" customHeight="true" outlineLevel="0" collapsed="false">
      <c r="A301" s="263"/>
      <c r="B301" s="259"/>
      <c r="C301" s="259" t="s">
        <v>587</v>
      </c>
      <c r="D301" s="117" t="n">
        <v>533.75</v>
      </c>
      <c r="E301" s="260" t="n">
        <v>2</v>
      </c>
    </row>
    <row r="302" customFormat="false" ht="14.25" hidden="true" customHeight="true" outlineLevel="0" collapsed="false">
      <c r="A302" s="263"/>
      <c r="B302" s="259"/>
      <c r="C302" s="259" t="s">
        <v>588</v>
      </c>
      <c r="D302" s="117" t="n">
        <v>533.75</v>
      </c>
      <c r="E302" s="260" t="n">
        <v>2</v>
      </c>
    </row>
    <row r="303" customFormat="false" ht="14.25" hidden="true" customHeight="true" outlineLevel="0" collapsed="false">
      <c r="A303" s="263"/>
      <c r="B303" s="259"/>
      <c r="C303" s="259" t="s">
        <v>589</v>
      </c>
      <c r="D303" s="117" t="n">
        <v>533.75</v>
      </c>
      <c r="E303" s="260" t="n">
        <v>3</v>
      </c>
    </row>
    <row r="304" customFormat="false" ht="14.25" hidden="true" customHeight="true" outlineLevel="0" collapsed="false">
      <c r="A304" s="263"/>
      <c r="B304" s="259"/>
      <c r="C304" s="259" t="s">
        <v>590</v>
      </c>
      <c r="D304" s="117" t="n">
        <v>533.75</v>
      </c>
      <c r="E304" s="260" t="n">
        <v>3</v>
      </c>
    </row>
    <row r="305" customFormat="false" ht="14.25" hidden="true" customHeight="true" outlineLevel="0" collapsed="false">
      <c r="A305" s="263"/>
      <c r="B305" s="259"/>
      <c r="C305" s="259" t="s">
        <v>591</v>
      </c>
      <c r="D305" s="117" t="n">
        <v>533.75</v>
      </c>
      <c r="E305" s="260" t="n">
        <v>3</v>
      </c>
    </row>
    <row r="306" customFormat="false" ht="14.25" hidden="true" customHeight="true" outlineLevel="0" collapsed="false">
      <c r="A306" s="263"/>
      <c r="B306" s="259"/>
      <c r="C306" s="259" t="s">
        <v>592</v>
      </c>
      <c r="D306" s="117" t="n">
        <v>533.75</v>
      </c>
      <c r="E306" s="260" t="n">
        <v>2</v>
      </c>
    </row>
    <row r="307" customFormat="false" ht="14.25" hidden="true" customHeight="true" outlineLevel="0" collapsed="false">
      <c r="A307" s="263"/>
      <c r="B307" s="259"/>
      <c r="C307" s="259" t="s">
        <v>593</v>
      </c>
      <c r="D307" s="117" t="n">
        <v>533.75</v>
      </c>
      <c r="E307" s="260" t="n">
        <v>3</v>
      </c>
    </row>
    <row r="308" customFormat="false" ht="14.25" hidden="true" customHeight="true" outlineLevel="0" collapsed="false">
      <c r="A308" s="263"/>
      <c r="B308" s="259"/>
      <c r="C308" s="259" t="s">
        <v>594</v>
      </c>
      <c r="D308" s="117" t="n">
        <v>533.75</v>
      </c>
      <c r="E308" s="260" t="n">
        <v>3</v>
      </c>
    </row>
    <row r="309" customFormat="false" ht="14.25" hidden="true" customHeight="true" outlineLevel="0" collapsed="false">
      <c r="A309" s="263"/>
      <c r="B309" s="259"/>
      <c r="C309" s="259" t="s">
        <v>595</v>
      </c>
      <c r="D309" s="117" t="n">
        <v>533.75</v>
      </c>
      <c r="E309" s="260" t="n">
        <v>3</v>
      </c>
    </row>
    <row r="310" customFormat="false" ht="14.25" hidden="true" customHeight="true" outlineLevel="0" collapsed="false">
      <c r="A310" s="263"/>
      <c r="B310" s="259"/>
      <c r="C310" s="259" t="s">
        <v>596</v>
      </c>
      <c r="D310" s="117" t="n">
        <v>533.75</v>
      </c>
      <c r="E310" s="260" t="n">
        <v>3</v>
      </c>
    </row>
    <row r="311" customFormat="false" ht="14.25" hidden="true" customHeight="true" outlineLevel="0" collapsed="false">
      <c r="A311" s="263"/>
      <c r="B311" s="259"/>
      <c r="C311" s="259" t="s">
        <v>597</v>
      </c>
      <c r="D311" s="117" t="n">
        <v>533.75</v>
      </c>
      <c r="E311" s="260" t="n">
        <v>3</v>
      </c>
    </row>
    <row r="312" customFormat="false" ht="14.25" hidden="true" customHeight="true" outlineLevel="0" collapsed="false">
      <c r="A312" s="263"/>
      <c r="B312" s="259"/>
      <c r="C312" s="259" t="s">
        <v>598</v>
      </c>
      <c r="D312" s="117" t="n">
        <v>533.75</v>
      </c>
      <c r="E312" s="260" t="n">
        <v>3</v>
      </c>
    </row>
    <row r="313" customFormat="false" ht="14.25" hidden="true" customHeight="true" outlineLevel="0" collapsed="false">
      <c r="A313" s="263"/>
      <c r="B313" s="259"/>
      <c r="C313" s="259" t="s">
        <v>599</v>
      </c>
      <c r="D313" s="117" t="n">
        <v>533.75</v>
      </c>
      <c r="E313" s="260" t="n">
        <v>3</v>
      </c>
    </row>
    <row r="314" customFormat="false" ht="14.25" hidden="true" customHeight="true" outlineLevel="0" collapsed="false">
      <c r="A314" s="263"/>
      <c r="B314" s="259"/>
      <c r="C314" s="259" t="s">
        <v>600</v>
      </c>
      <c r="D314" s="117" t="n">
        <v>533.75</v>
      </c>
      <c r="E314" s="260" t="n">
        <v>3</v>
      </c>
    </row>
    <row r="315" customFormat="false" ht="14.25" hidden="true" customHeight="true" outlineLevel="0" collapsed="false">
      <c r="A315" s="263"/>
      <c r="B315" s="259"/>
      <c r="C315" s="259" t="s">
        <v>601</v>
      </c>
      <c r="D315" s="117" t="n">
        <v>533.75</v>
      </c>
      <c r="E315" s="260" t="n">
        <v>3</v>
      </c>
    </row>
    <row r="316" customFormat="false" ht="14.25" hidden="true" customHeight="true" outlineLevel="0" collapsed="false">
      <c r="A316" s="263"/>
      <c r="B316" s="259"/>
      <c r="C316" s="259" t="s">
        <v>602</v>
      </c>
      <c r="D316" s="117" t="n">
        <v>533.75</v>
      </c>
      <c r="E316" s="260" t="n">
        <v>3</v>
      </c>
    </row>
    <row r="317" customFormat="false" ht="14.25" hidden="true" customHeight="true" outlineLevel="0" collapsed="false">
      <c r="A317" s="263"/>
      <c r="B317" s="259"/>
      <c r="C317" s="259" t="s">
        <v>603</v>
      </c>
      <c r="D317" s="117" t="n">
        <v>533.75</v>
      </c>
      <c r="E317" s="260" t="n">
        <v>3</v>
      </c>
    </row>
    <row r="318" customFormat="false" ht="14.25" hidden="true" customHeight="true" outlineLevel="0" collapsed="false">
      <c r="A318" s="263"/>
      <c r="B318" s="259"/>
      <c r="C318" s="259" t="s">
        <v>604</v>
      </c>
      <c r="D318" s="117" t="n">
        <v>533.75</v>
      </c>
      <c r="E318" s="260" t="n">
        <v>3</v>
      </c>
    </row>
    <row r="319" customFormat="false" ht="14.25" hidden="true" customHeight="true" outlineLevel="0" collapsed="false">
      <c r="A319" s="263"/>
      <c r="B319" s="259"/>
      <c r="C319" s="259" t="s">
        <v>605</v>
      </c>
      <c r="D319" s="117" t="n">
        <v>533.75</v>
      </c>
      <c r="E319" s="260" t="n">
        <v>3</v>
      </c>
    </row>
    <row r="320" customFormat="false" ht="14.25" hidden="true" customHeight="true" outlineLevel="0" collapsed="false">
      <c r="A320" s="263"/>
      <c r="B320" s="259"/>
      <c r="C320" s="259" t="s">
        <v>606</v>
      </c>
      <c r="D320" s="117" t="n">
        <v>533.75</v>
      </c>
      <c r="E320" s="260" t="n">
        <v>3</v>
      </c>
    </row>
    <row r="321" customFormat="false" ht="14.25" hidden="true" customHeight="true" outlineLevel="0" collapsed="false">
      <c r="A321" s="263"/>
      <c r="B321" s="259"/>
      <c r="C321" s="259" t="s">
        <v>607</v>
      </c>
      <c r="D321" s="117" t="n">
        <v>533.75</v>
      </c>
      <c r="E321" s="260" t="n">
        <v>2</v>
      </c>
    </row>
    <row r="322" customFormat="false" ht="14.25" hidden="true" customHeight="true" outlineLevel="0" collapsed="false">
      <c r="A322" s="263"/>
      <c r="B322" s="259"/>
      <c r="C322" s="259" t="s">
        <v>608</v>
      </c>
      <c r="D322" s="117" t="n">
        <v>533.75</v>
      </c>
      <c r="E322" s="260" t="n">
        <v>3</v>
      </c>
    </row>
    <row r="323" customFormat="false" ht="14.25" hidden="true" customHeight="true" outlineLevel="0" collapsed="false">
      <c r="A323" s="263"/>
      <c r="B323" s="259"/>
      <c r="C323" s="259" t="s">
        <v>609</v>
      </c>
      <c r="D323" s="117" t="n">
        <v>533.75</v>
      </c>
      <c r="E323" s="260" t="n">
        <v>3</v>
      </c>
    </row>
    <row r="324" customFormat="false" ht="14.25" hidden="true" customHeight="true" outlineLevel="0" collapsed="false">
      <c r="A324" s="263"/>
      <c r="B324" s="259"/>
      <c r="C324" s="259" t="s">
        <v>610</v>
      </c>
      <c r="D324" s="117" t="n">
        <v>533.75</v>
      </c>
      <c r="E324" s="260" t="n">
        <v>3</v>
      </c>
    </row>
    <row r="325" customFormat="false" ht="14.25" hidden="true" customHeight="true" outlineLevel="0" collapsed="false">
      <c r="A325" s="263"/>
      <c r="B325" s="259"/>
      <c r="C325" s="259" t="s">
        <v>611</v>
      </c>
      <c r="D325" s="117" t="n">
        <v>526.19</v>
      </c>
      <c r="E325" s="260" t="n">
        <v>1</v>
      </c>
    </row>
    <row r="326" customFormat="false" ht="14.25" hidden="true" customHeight="true" outlineLevel="0" collapsed="false">
      <c r="A326" s="263"/>
      <c r="B326" s="259"/>
      <c r="C326" s="259" t="s">
        <v>612</v>
      </c>
      <c r="D326" s="117" t="n">
        <v>526.04</v>
      </c>
      <c r="E326" s="260" t="n">
        <v>4</v>
      </c>
    </row>
    <row r="327" customFormat="false" ht="14.25" hidden="true" customHeight="true" outlineLevel="0" collapsed="false">
      <c r="A327" s="263"/>
      <c r="B327" s="259"/>
      <c r="C327" s="259" t="s">
        <v>613</v>
      </c>
      <c r="D327" s="117" t="n">
        <v>520.97</v>
      </c>
      <c r="E327" s="260" t="n">
        <v>3</v>
      </c>
    </row>
    <row r="328" customFormat="false" ht="14.25" hidden="true" customHeight="true" outlineLevel="0" collapsed="false">
      <c r="A328" s="263"/>
      <c r="B328" s="259"/>
      <c r="C328" s="259" t="s">
        <v>614</v>
      </c>
      <c r="D328" s="117" t="n">
        <v>508.22</v>
      </c>
      <c r="E328" s="260" t="n">
        <v>3</v>
      </c>
    </row>
    <row r="329" customFormat="false" ht="14.25" hidden="true" customHeight="true" outlineLevel="0" collapsed="false">
      <c r="A329" s="263"/>
      <c r="B329" s="259"/>
      <c r="C329" s="259" t="s">
        <v>615</v>
      </c>
      <c r="D329" s="117" t="n">
        <v>507.76</v>
      </c>
      <c r="E329" s="260" t="n">
        <v>12</v>
      </c>
    </row>
    <row r="330" customFormat="false" ht="14.25" hidden="true" customHeight="true" outlineLevel="0" collapsed="false">
      <c r="A330" s="263"/>
      <c r="B330" s="259"/>
      <c r="C330" s="259" t="s">
        <v>616</v>
      </c>
      <c r="D330" s="117" t="n">
        <v>504.09</v>
      </c>
      <c r="E330" s="260" t="n">
        <v>4</v>
      </c>
    </row>
    <row r="331" customFormat="false" ht="14.25" hidden="true" customHeight="true" outlineLevel="0" collapsed="false">
      <c r="A331" s="263"/>
      <c r="B331" s="259"/>
      <c r="C331" s="259" t="s">
        <v>617</v>
      </c>
      <c r="D331" s="117" t="n">
        <v>495.69</v>
      </c>
      <c r="E331" s="260" t="n">
        <v>3</v>
      </c>
    </row>
    <row r="332" customFormat="false" ht="14.25" hidden="true" customHeight="true" outlineLevel="0" collapsed="false">
      <c r="A332" s="263"/>
      <c r="B332" s="259"/>
      <c r="C332" s="259" t="s">
        <v>618</v>
      </c>
      <c r="D332" s="117" t="n">
        <v>495.69</v>
      </c>
      <c r="E332" s="260" t="n">
        <v>2</v>
      </c>
    </row>
    <row r="333" customFormat="false" ht="14.25" hidden="true" customHeight="true" outlineLevel="0" collapsed="false">
      <c r="A333" s="263"/>
      <c r="B333" s="259"/>
      <c r="C333" s="259" t="s">
        <v>619</v>
      </c>
      <c r="D333" s="117" t="n">
        <v>495.69</v>
      </c>
      <c r="E333" s="260" t="n">
        <v>3</v>
      </c>
    </row>
    <row r="334" customFormat="false" ht="14.25" hidden="true" customHeight="true" outlineLevel="0" collapsed="false">
      <c r="A334" s="263"/>
      <c r="B334" s="259"/>
      <c r="C334" s="259" t="s">
        <v>620</v>
      </c>
      <c r="D334" s="117" t="n">
        <v>495.69</v>
      </c>
      <c r="E334" s="260" t="n">
        <v>3</v>
      </c>
    </row>
    <row r="335" customFormat="false" ht="14.25" hidden="true" customHeight="true" outlineLevel="0" collapsed="false">
      <c r="A335" s="263"/>
      <c r="B335" s="259"/>
      <c r="C335" s="259" t="s">
        <v>621</v>
      </c>
      <c r="D335" s="117" t="n">
        <v>495.69</v>
      </c>
      <c r="E335" s="260" t="n">
        <v>3</v>
      </c>
    </row>
    <row r="336" customFormat="false" ht="14.25" hidden="true" customHeight="true" outlineLevel="0" collapsed="false">
      <c r="A336" s="263"/>
      <c r="B336" s="259"/>
      <c r="C336" s="259" t="s">
        <v>622</v>
      </c>
      <c r="D336" s="117" t="n">
        <v>495.69</v>
      </c>
      <c r="E336" s="260" t="n">
        <v>3</v>
      </c>
    </row>
    <row r="337" customFormat="false" ht="14.25" hidden="true" customHeight="true" outlineLevel="0" collapsed="false">
      <c r="A337" s="263"/>
      <c r="B337" s="259"/>
      <c r="C337" s="259" t="s">
        <v>623</v>
      </c>
      <c r="D337" s="117" t="n">
        <v>495.69</v>
      </c>
      <c r="E337" s="260" t="n">
        <v>3</v>
      </c>
    </row>
    <row r="338" customFormat="false" ht="14.25" hidden="true" customHeight="true" outlineLevel="0" collapsed="false">
      <c r="A338" s="263"/>
      <c r="B338" s="259"/>
      <c r="C338" s="259" t="s">
        <v>624</v>
      </c>
      <c r="D338" s="117" t="n">
        <v>465.93</v>
      </c>
      <c r="E338" s="260" t="n">
        <v>2</v>
      </c>
    </row>
    <row r="339" customFormat="false" ht="14.25" hidden="true" customHeight="true" outlineLevel="0" collapsed="false">
      <c r="A339" s="263"/>
      <c r="B339" s="259"/>
      <c r="C339" s="259" t="s">
        <v>625</v>
      </c>
      <c r="D339" s="117" t="n">
        <v>465.85</v>
      </c>
      <c r="E339" s="260" t="n">
        <v>3</v>
      </c>
    </row>
    <row r="340" customFormat="false" ht="14.25" hidden="true" customHeight="true" outlineLevel="0" collapsed="false">
      <c r="A340" s="263"/>
      <c r="B340" s="259"/>
      <c r="C340" s="259" t="s">
        <v>626</v>
      </c>
      <c r="D340" s="117" t="n">
        <v>462.64</v>
      </c>
      <c r="E340" s="260" t="n">
        <v>4</v>
      </c>
    </row>
    <row r="341" customFormat="false" ht="14.25" hidden="true" customHeight="true" outlineLevel="0" collapsed="false">
      <c r="A341" s="263"/>
      <c r="B341" s="259"/>
      <c r="C341" s="259" t="s">
        <v>627</v>
      </c>
      <c r="D341" s="117" t="n">
        <v>460.75</v>
      </c>
      <c r="E341" s="260" t="n">
        <v>5</v>
      </c>
    </row>
    <row r="342" customFormat="false" ht="14.25" hidden="true" customHeight="true" outlineLevel="0" collapsed="false">
      <c r="A342" s="263"/>
      <c r="B342" s="259"/>
      <c r="C342" s="259" t="s">
        <v>628</v>
      </c>
      <c r="D342" s="117" t="n">
        <v>457.4</v>
      </c>
      <c r="E342" s="260" t="n">
        <v>4</v>
      </c>
    </row>
    <row r="343" customFormat="false" ht="14.25" hidden="true" customHeight="true" outlineLevel="0" collapsed="false">
      <c r="A343" s="263"/>
      <c r="B343" s="259"/>
      <c r="C343" s="259" t="s">
        <v>629</v>
      </c>
      <c r="D343" s="117" t="n">
        <v>454</v>
      </c>
      <c r="E343" s="260" t="n">
        <v>3</v>
      </c>
    </row>
    <row r="344" customFormat="false" ht="14.25" hidden="true" customHeight="true" outlineLevel="0" collapsed="false">
      <c r="A344" s="263"/>
      <c r="B344" s="259"/>
      <c r="C344" s="259" t="s">
        <v>630</v>
      </c>
      <c r="D344" s="117" t="n">
        <v>453.3</v>
      </c>
      <c r="E344" s="260" t="n">
        <v>1</v>
      </c>
    </row>
    <row r="345" customFormat="false" ht="14.25" hidden="true" customHeight="true" outlineLevel="0" collapsed="false">
      <c r="A345" s="263"/>
      <c r="B345" s="259"/>
      <c r="C345" s="259" t="s">
        <v>631</v>
      </c>
      <c r="D345" s="117" t="n">
        <v>440.51</v>
      </c>
      <c r="E345" s="260" t="n">
        <v>3</v>
      </c>
    </row>
    <row r="346" customFormat="false" ht="14.25" hidden="true" customHeight="true" outlineLevel="0" collapsed="false">
      <c r="A346" s="263"/>
      <c r="B346" s="259"/>
      <c r="C346" s="259" t="s">
        <v>632</v>
      </c>
      <c r="D346" s="117" t="n">
        <v>440.51</v>
      </c>
      <c r="E346" s="260" t="n">
        <v>2</v>
      </c>
    </row>
    <row r="347" customFormat="false" ht="14.25" hidden="true" customHeight="true" outlineLevel="0" collapsed="false">
      <c r="A347" s="263"/>
      <c r="B347" s="259"/>
      <c r="C347" s="259" t="s">
        <v>633</v>
      </c>
      <c r="D347" s="117" t="n">
        <v>432.31</v>
      </c>
      <c r="E347" s="260" t="n">
        <v>12</v>
      </c>
    </row>
    <row r="348" customFormat="false" ht="14.25" hidden="true" customHeight="true" outlineLevel="0" collapsed="false">
      <c r="A348" s="263"/>
      <c r="B348" s="259"/>
      <c r="C348" s="259" t="s">
        <v>634</v>
      </c>
      <c r="D348" s="117" t="n">
        <v>428.64</v>
      </c>
      <c r="E348" s="260" t="n">
        <v>2</v>
      </c>
    </row>
    <row r="349" customFormat="false" ht="14.25" hidden="true" customHeight="true" outlineLevel="0" collapsed="false">
      <c r="A349" s="263"/>
      <c r="B349" s="259"/>
      <c r="C349" s="259" t="s">
        <v>635</v>
      </c>
      <c r="D349" s="117" t="n">
        <v>428.64</v>
      </c>
      <c r="E349" s="260" t="n">
        <v>2</v>
      </c>
    </row>
    <row r="350" customFormat="false" ht="14.25" hidden="true" customHeight="true" outlineLevel="0" collapsed="false">
      <c r="A350" s="263"/>
      <c r="B350" s="259"/>
      <c r="C350" s="259" t="s">
        <v>636</v>
      </c>
      <c r="D350" s="117" t="n">
        <v>427.04</v>
      </c>
      <c r="E350" s="260" t="n">
        <v>1</v>
      </c>
    </row>
    <row r="351" customFormat="false" ht="14.25" hidden="true" customHeight="true" outlineLevel="0" collapsed="false">
      <c r="A351" s="263"/>
      <c r="B351" s="259"/>
      <c r="C351" s="259" t="s">
        <v>637</v>
      </c>
      <c r="D351" s="117" t="n">
        <v>423.56</v>
      </c>
      <c r="E351" s="260" t="n">
        <v>2</v>
      </c>
    </row>
    <row r="352" customFormat="false" ht="14.25" hidden="true" customHeight="true" outlineLevel="0" collapsed="false">
      <c r="A352" s="263"/>
      <c r="B352" s="259"/>
      <c r="C352" s="259" t="s">
        <v>638</v>
      </c>
      <c r="D352" s="117" t="n">
        <v>411.71</v>
      </c>
      <c r="E352" s="260" t="n">
        <v>3</v>
      </c>
    </row>
    <row r="353" customFormat="false" ht="14.25" hidden="true" customHeight="true" outlineLevel="0" collapsed="false">
      <c r="A353" s="263"/>
      <c r="B353" s="259"/>
      <c r="C353" s="259" t="s">
        <v>639</v>
      </c>
      <c r="D353" s="117" t="n">
        <v>411.52</v>
      </c>
      <c r="E353" s="260" t="n">
        <v>4</v>
      </c>
    </row>
    <row r="354" customFormat="false" ht="14.25" hidden="true" customHeight="true" outlineLevel="0" collapsed="false">
      <c r="A354" s="263"/>
      <c r="B354" s="259"/>
      <c r="C354" s="259" t="s">
        <v>640</v>
      </c>
      <c r="D354" s="117" t="n">
        <v>406.65</v>
      </c>
      <c r="E354" s="260" t="n">
        <v>2</v>
      </c>
    </row>
    <row r="355" customFormat="false" ht="14.25" hidden="true" customHeight="true" outlineLevel="0" collapsed="false">
      <c r="A355" s="263"/>
      <c r="B355" s="259"/>
      <c r="C355" s="259" t="s">
        <v>641</v>
      </c>
      <c r="D355" s="117" t="n">
        <v>406.65</v>
      </c>
      <c r="E355" s="260" t="n">
        <v>2</v>
      </c>
    </row>
    <row r="356" customFormat="false" ht="14.25" hidden="true" customHeight="true" outlineLevel="0" collapsed="false">
      <c r="A356" s="263"/>
      <c r="B356" s="259"/>
      <c r="C356" s="259" t="s">
        <v>642</v>
      </c>
      <c r="D356" s="117" t="n">
        <v>403.98</v>
      </c>
      <c r="E356" s="260" t="n">
        <v>3</v>
      </c>
    </row>
    <row r="357" customFormat="false" ht="14.25" hidden="true" customHeight="true" outlineLevel="0" collapsed="false">
      <c r="A357" s="263"/>
      <c r="B357" s="259"/>
      <c r="C357" s="259" t="s">
        <v>643</v>
      </c>
      <c r="D357" s="117" t="n">
        <v>398.22</v>
      </c>
      <c r="E357" s="260" t="n">
        <v>1</v>
      </c>
    </row>
    <row r="358" customFormat="false" ht="14.25" hidden="true" customHeight="true" outlineLevel="0" collapsed="false">
      <c r="A358" s="263"/>
      <c r="B358" s="259"/>
      <c r="C358" s="259" t="s">
        <v>644</v>
      </c>
      <c r="D358" s="117" t="n">
        <v>398.14</v>
      </c>
      <c r="E358" s="260" t="n">
        <v>2</v>
      </c>
    </row>
    <row r="359" customFormat="false" ht="14.25" hidden="true" customHeight="true" outlineLevel="0" collapsed="false">
      <c r="A359" s="263"/>
      <c r="B359" s="259"/>
      <c r="C359" s="259" t="s">
        <v>645</v>
      </c>
      <c r="D359" s="117" t="n">
        <v>398.14</v>
      </c>
      <c r="E359" s="260" t="n">
        <v>2</v>
      </c>
    </row>
    <row r="360" customFormat="false" ht="14.25" hidden="true" customHeight="true" outlineLevel="0" collapsed="false">
      <c r="A360" s="263"/>
      <c r="B360" s="259"/>
      <c r="C360" s="259" t="s">
        <v>646</v>
      </c>
      <c r="D360" s="117" t="n">
        <v>398.14</v>
      </c>
      <c r="E360" s="260" t="n">
        <v>2</v>
      </c>
    </row>
    <row r="361" customFormat="false" ht="14.25" hidden="true" customHeight="true" outlineLevel="0" collapsed="false">
      <c r="A361" s="263"/>
      <c r="B361" s="259"/>
      <c r="C361" s="259" t="s">
        <v>647</v>
      </c>
      <c r="D361" s="117" t="n">
        <v>398.14</v>
      </c>
      <c r="E361" s="260" t="n">
        <v>3</v>
      </c>
    </row>
    <row r="362" customFormat="false" ht="14.25" hidden="true" customHeight="true" outlineLevel="0" collapsed="false">
      <c r="A362" s="263"/>
      <c r="B362" s="259"/>
      <c r="C362" s="259" t="s">
        <v>648</v>
      </c>
      <c r="D362" s="117" t="n">
        <v>398.14</v>
      </c>
      <c r="E362" s="260" t="n">
        <v>2</v>
      </c>
    </row>
    <row r="363" customFormat="false" ht="14.25" hidden="true" customHeight="true" outlineLevel="0" collapsed="false">
      <c r="A363" s="263"/>
      <c r="B363" s="259"/>
      <c r="C363" s="259" t="s">
        <v>649</v>
      </c>
      <c r="D363" s="117" t="n">
        <v>398.14</v>
      </c>
      <c r="E363" s="260" t="n">
        <v>2</v>
      </c>
    </row>
    <row r="364" customFormat="false" ht="14.25" hidden="true" customHeight="true" outlineLevel="0" collapsed="false">
      <c r="A364" s="263"/>
      <c r="B364" s="259"/>
      <c r="C364" s="259" t="s">
        <v>650</v>
      </c>
      <c r="D364" s="117" t="n">
        <v>398.14</v>
      </c>
      <c r="E364" s="260" t="n">
        <v>2</v>
      </c>
    </row>
    <row r="365" customFormat="false" ht="14.25" hidden="true" customHeight="true" outlineLevel="0" collapsed="false">
      <c r="A365" s="263"/>
      <c r="B365" s="259"/>
      <c r="C365" s="259" t="s">
        <v>651</v>
      </c>
      <c r="D365" s="117" t="n">
        <v>398.14</v>
      </c>
      <c r="E365" s="260" t="n">
        <v>2</v>
      </c>
    </row>
    <row r="366" customFormat="false" ht="14.25" hidden="true" customHeight="true" outlineLevel="0" collapsed="false">
      <c r="A366" s="263"/>
      <c r="B366" s="259"/>
      <c r="C366" s="259" t="s">
        <v>652</v>
      </c>
      <c r="D366" s="117" t="n">
        <v>398.14</v>
      </c>
      <c r="E366" s="260" t="n">
        <v>3</v>
      </c>
    </row>
    <row r="367" customFormat="false" ht="14.25" hidden="true" customHeight="true" outlineLevel="0" collapsed="false">
      <c r="A367" s="263"/>
      <c r="B367" s="259"/>
      <c r="C367" s="259" t="s">
        <v>653</v>
      </c>
      <c r="D367" s="117" t="n">
        <v>398.14</v>
      </c>
      <c r="E367" s="260" t="n">
        <v>2</v>
      </c>
    </row>
    <row r="368" customFormat="false" ht="14.25" hidden="true" customHeight="true" outlineLevel="0" collapsed="false">
      <c r="A368" s="263"/>
      <c r="B368" s="259"/>
      <c r="C368" s="259" t="s">
        <v>654</v>
      </c>
      <c r="D368" s="117" t="n">
        <v>398.14</v>
      </c>
      <c r="E368" s="260" t="n">
        <v>2</v>
      </c>
    </row>
    <row r="369" customFormat="false" ht="14.25" hidden="true" customHeight="true" outlineLevel="0" collapsed="false">
      <c r="A369" s="263"/>
      <c r="B369" s="259"/>
      <c r="C369" s="259" t="s">
        <v>655</v>
      </c>
      <c r="D369" s="117" t="n">
        <v>398.14</v>
      </c>
      <c r="E369" s="260" t="n">
        <v>2</v>
      </c>
    </row>
    <row r="370" customFormat="false" ht="14.25" hidden="true" customHeight="true" outlineLevel="0" collapsed="false">
      <c r="A370" s="263"/>
      <c r="B370" s="259"/>
      <c r="C370" s="259" t="s">
        <v>656</v>
      </c>
      <c r="D370" s="117" t="n">
        <v>398.14</v>
      </c>
      <c r="E370" s="260" t="n">
        <v>2</v>
      </c>
    </row>
    <row r="371" customFormat="false" ht="14.25" hidden="true" customHeight="true" outlineLevel="0" collapsed="false">
      <c r="A371" s="263"/>
      <c r="B371" s="259"/>
      <c r="C371" s="259" t="s">
        <v>657</v>
      </c>
      <c r="D371" s="117" t="n">
        <v>398.14</v>
      </c>
      <c r="E371" s="260" t="n">
        <v>2</v>
      </c>
    </row>
    <row r="372" customFormat="false" ht="14.25" hidden="true" customHeight="true" outlineLevel="0" collapsed="false">
      <c r="A372" s="263"/>
      <c r="B372" s="259"/>
      <c r="C372" s="259" t="s">
        <v>658</v>
      </c>
      <c r="D372" s="117" t="n">
        <v>398.13</v>
      </c>
      <c r="E372" s="260" t="n">
        <v>3</v>
      </c>
    </row>
    <row r="373" customFormat="false" ht="14.25" hidden="true" customHeight="true" outlineLevel="0" collapsed="false">
      <c r="A373" s="263"/>
      <c r="B373" s="259"/>
      <c r="C373" s="259" t="s">
        <v>659</v>
      </c>
      <c r="D373" s="117" t="n">
        <v>398.13</v>
      </c>
      <c r="E373" s="260" t="n">
        <v>2</v>
      </c>
    </row>
    <row r="374" customFormat="false" ht="14.25" hidden="true" customHeight="true" outlineLevel="0" collapsed="false">
      <c r="A374" s="263"/>
      <c r="B374" s="259"/>
      <c r="C374" s="259" t="s">
        <v>660</v>
      </c>
      <c r="D374" s="117" t="n">
        <v>398.13</v>
      </c>
      <c r="E374" s="260" t="n">
        <v>2</v>
      </c>
    </row>
    <row r="375" customFormat="false" ht="14.25" hidden="true" customHeight="true" outlineLevel="0" collapsed="false">
      <c r="A375" s="263"/>
      <c r="B375" s="259"/>
      <c r="C375" s="259" t="s">
        <v>661</v>
      </c>
      <c r="D375" s="117" t="n">
        <v>398.13</v>
      </c>
      <c r="E375" s="260" t="n">
        <v>3</v>
      </c>
    </row>
    <row r="376" customFormat="false" ht="14.25" hidden="true" customHeight="true" outlineLevel="0" collapsed="false">
      <c r="A376" s="263"/>
      <c r="B376" s="259"/>
      <c r="C376" s="259" t="s">
        <v>662</v>
      </c>
      <c r="D376" s="117" t="n">
        <v>396.46</v>
      </c>
      <c r="E376" s="260" t="n">
        <v>3</v>
      </c>
    </row>
    <row r="377" customFormat="false" ht="14.25" hidden="true" customHeight="true" outlineLevel="0" collapsed="false">
      <c r="A377" s="263"/>
      <c r="B377" s="259"/>
      <c r="C377" s="259" t="s">
        <v>663</v>
      </c>
      <c r="D377" s="117" t="n">
        <v>396.46</v>
      </c>
      <c r="E377" s="260" t="n">
        <v>2</v>
      </c>
    </row>
    <row r="378" customFormat="false" ht="14.25" hidden="true" customHeight="true" outlineLevel="0" collapsed="false">
      <c r="A378" s="263"/>
      <c r="B378" s="259"/>
      <c r="C378" s="259" t="s">
        <v>664</v>
      </c>
      <c r="D378" s="117" t="n">
        <v>396.46</v>
      </c>
      <c r="E378" s="260" t="n">
        <v>2</v>
      </c>
    </row>
    <row r="379" customFormat="false" ht="14.25" hidden="true" customHeight="true" outlineLevel="0" collapsed="false">
      <c r="A379" s="263"/>
      <c r="B379" s="259"/>
      <c r="C379" s="259" t="s">
        <v>665</v>
      </c>
      <c r="D379" s="117" t="n">
        <v>396.46</v>
      </c>
      <c r="E379" s="260" t="n">
        <v>3</v>
      </c>
    </row>
    <row r="380" customFormat="false" ht="14.25" hidden="true" customHeight="true" outlineLevel="0" collapsed="false">
      <c r="A380" s="263"/>
      <c r="B380" s="259"/>
      <c r="C380" s="259" t="s">
        <v>666</v>
      </c>
      <c r="D380" s="117" t="n">
        <v>396.45</v>
      </c>
      <c r="E380" s="260" t="n">
        <v>3</v>
      </c>
    </row>
    <row r="381" customFormat="false" ht="14.25" hidden="true" customHeight="true" outlineLevel="0" collapsed="false">
      <c r="A381" s="263"/>
      <c r="B381" s="259"/>
      <c r="C381" s="259" t="s">
        <v>667</v>
      </c>
      <c r="D381" s="117" t="n">
        <v>396.45</v>
      </c>
      <c r="E381" s="260" t="n">
        <v>2</v>
      </c>
    </row>
    <row r="382" customFormat="false" ht="14.25" hidden="true" customHeight="true" outlineLevel="0" collapsed="false">
      <c r="A382" s="263"/>
      <c r="B382" s="259"/>
      <c r="C382" s="259" t="s">
        <v>668</v>
      </c>
      <c r="D382" s="117" t="n">
        <v>389.66</v>
      </c>
      <c r="E382" s="260" t="n">
        <v>2</v>
      </c>
    </row>
    <row r="383" customFormat="false" ht="14.25" hidden="true" customHeight="true" outlineLevel="0" collapsed="false">
      <c r="A383" s="263"/>
      <c r="B383" s="259"/>
      <c r="C383" s="259" t="s">
        <v>669</v>
      </c>
      <c r="D383" s="117" t="n">
        <v>388.75</v>
      </c>
      <c r="E383" s="260" t="n">
        <v>3</v>
      </c>
    </row>
    <row r="384" customFormat="false" ht="14.25" hidden="true" customHeight="true" outlineLevel="0" collapsed="false">
      <c r="A384" s="263"/>
      <c r="B384" s="259"/>
      <c r="C384" s="259" t="s">
        <v>670</v>
      </c>
      <c r="D384" s="117" t="n">
        <v>388.75</v>
      </c>
      <c r="E384" s="260" t="n">
        <v>3</v>
      </c>
    </row>
    <row r="385" customFormat="false" ht="14.25" hidden="true" customHeight="true" outlineLevel="0" collapsed="false">
      <c r="A385" s="263"/>
      <c r="B385" s="259"/>
      <c r="C385" s="259" t="s">
        <v>671</v>
      </c>
      <c r="D385" s="117" t="n">
        <v>385.85</v>
      </c>
      <c r="E385" s="260" t="n">
        <v>5</v>
      </c>
    </row>
    <row r="386" customFormat="false" ht="14.25" hidden="true" customHeight="true" outlineLevel="0" collapsed="false">
      <c r="A386" s="263"/>
      <c r="B386" s="259"/>
      <c r="C386" s="259" t="s">
        <v>672</v>
      </c>
      <c r="D386" s="117" t="n">
        <v>384.66</v>
      </c>
      <c r="E386" s="260" t="n">
        <v>1</v>
      </c>
    </row>
    <row r="387" customFormat="false" ht="14.25" hidden="true" customHeight="true" outlineLevel="0" collapsed="false">
      <c r="A387" s="263"/>
      <c r="B387" s="259"/>
      <c r="C387" s="259" t="s">
        <v>673</v>
      </c>
      <c r="D387" s="117" t="n">
        <v>383.73</v>
      </c>
      <c r="E387" s="260" t="n">
        <v>2</v>
      </c>
    </row>
    <row r="388" customFormat="false" ht="14.25" hidden="true" customHeight="true" outlineLevel="0" collapsed="false">
      <c r="A388" s="263"/>
      <c r="B388" s="259"/>
      <c r="C388" s="259" t="s">
        <v>674</v>
      </c>
      <c r="D388" s="117" t="n">
        <v>381.28</v>
      </c>
      <c r="E388" s="260" t="n">
        <v>1</v>
      </c>
    </row>
    <row r="389" customFormat="false" ht="14.25" hidden="true" customHeight="true" outlineLevel="0" collapsed="false">
      <c r="A389" s="263"/>
      <c r="B389" s="259"/>
      <c r="C389" s="259" t="s">
        <v>675</v>
      </c>
      <c r="D389" s="117" t="n">
        <v>381.27</v>
      </c>
      <c r="E389" s="260" t="n">
        <v>1</v>
      </c>
    </row>
    <row r="390" customFormat="false" ht="14.25" hidden="true" customHeight="true" outlineLevel="0" collapsed="false">
      <c r="A390" s="263"/>
      <c r="B390" s="259"/>
      <c r="C390" s="259" t="s">
        <v>676</v>
      </c>
      <c r="D390" s="117" t="n">
        <v>381.27</v>
      </c>
      <c r="E390" s="260" t="n">
        <v>1</v>
      </c>
    </row>
    <row r="391" customFormat="false" ht="14.25" hidden="true" customHeight="true" outlineLevel="0" collapsed="false">
      <c r="A391" s="263"/>
      <c r="B391" s="259"/>
      <c r="C391" s="259" t="s">
        <v>677</v>
      </c>
      <c r="D391" s="117" t="n">
        <v>381.27</v>
      </c>
      <c r="E391" s="260" t="n">
        <v>1</v>
      </c>
    </row>
    <row r="392" customFormat="false" ht="14.25" hidden="true" customHeight="true" outlineLevel="0" collapsed="false">
      <c r="A392" s="263"/>
      <c r="B392" s="259"/>
      <c r="C392" s="259" t="s">
        <v>678</v>
      </c>
      <c r="D392" s="117" t="n">
        <v>381.27</v>
      </c>
      <c r="E392" s="260" t="n">
        <v>1</v>
      </c>
    </row>
    <row r="393" customFormat="false" ht="14.25" hidden="true" customHeight="true" outlineLevel="0" collapsed="false">
      <c r="A393" s="263"/>
      <c r="B393" s="259"/>
      <c r="C393" s="259" t="s">
        <v>679</v>
      </c>
      <c r="D393" s="117" t="n">
        <v>381.27</v>
      </c>
      <c r="E393" s="260" t="n">
        <v>1</v>
      </c>
    </row>
    <row r="394" customFormat="false" ht="14.25" hidden="true" customHeight="true" outlineLevel="0" collapsed="false">
      <c r="A394" s="263"/>
      <c r="B394" s="259"/>
      <c r="C394" s="259" t="s">
        <v>680</v>
      </c>
      <c r="D394" s="117" t="n">
        <v>381.27</v>
      </c>
      <c r="E394" s="260" t="n">
        <v>1</v>
      </c>
    </row>
    <row r="395" customFormat="false" ht="14.25" hidden="true" customHeight="true" outlineLevel="0" collapsed="false">
      <c r="A395" s="263"/>
      <c r="B395" s="259"/>
      <c r="C395" s="259" t="s">
        <v>681</v>
      </c>
      <c r="D395" s="117" t="n">
        <v>381.27</v>
      </c>
      <c r="E395" s="260" t="n">
        <v>1</v>
      </c>
    </row>
    <row r="396" customFormat="false" ht="14.25" hidden="true" customHeight="true" outlineLevel="0" collapsed="false">
      <c r="A396" s="263"/>
      <c r="B396" s="259"/>
      <c r="C396" s="259" t="s">
        <v>682</v>
      </c>
      <c r="D396" s="117" t="n">
        <v>381.27</v>
      </c>
      <c r="E396" s="260" t="n">
        <v>1</v>
      </c>
    </row>
    <row r="397" customFormat="false" ht="14.25" hidden="true" customHeight="true" outlineLevel="0" collapsed="false">
      <c r="A397" s="263"/>
      <c r="B397" s="259"/>
      <c r="C397" s="259" t="s">
        <v>683</v>
      </c>
      <c r="D397" s="117" t="n">
        <v>381.27</v>
      </c>
      <c r="E397" s="260" t="n">
        <v>1</v>
      </c>
    </row>
    <row r="398" customFormat="false" ht="14.25" hidden="true" customHeight="true" outlineLevel="0" collapsed="false">
      <c r="A398" s="263"/>
      <c r="B398" s="259"/>
      <c r="C398" s="259" t="s">
        <v>684</v>
      </c>
      <c r="D398" s="117" t="n">
        <v>381.2</v>
      </c>
      <c r="E398" s="260" t="n">
        <v>2</v>
      </c>
    </row>
    <row r="399" customFormat="false" ht="14.25" hidden="true" customHeight="true" outlineLevel="0" collapsed="false">
      <c r="A399" s="263"/>
      <c r="B399" s="259"/>
      <c r="C399" s="259" t="s">
        <v>685</v>
      </c>
      <c r="D399" s="117" t="n">
        <v>381.19</v>
      </c>
      <c r="E399" s="260" t="n">
        <v>2</v>
      </c>
    </row>
    <row r="400" customFormat="false" ht="14.25" hidden="true" customHeight="true" outlineLevel="0" collapsed="false">
      <c r="A400" s="263"/>
      <c r="B400" s="259"/>
      <c r="C400" s="259" t="s">
        <v>686</v>
      </c>
      <c r="D400" s="117" t="n">
        <v>381.18</v>
      </c>
      <c r="E400" s="260" t="n">
        <v>3</v>
      </c>
    </row>
    <row r="401" customFormat="false" ht="14.25" hidden="true" customHeight="true" outlineLevel="0" collapsed="false">
      <c r="A401" s="263"/>
      <c r="B401" s="259"/>
      <c r="C401" s="259" t="s">
        <v>687</v>
      </c>
      <c r="D401" s="117" t="n">
        <v>381.18</v>
      </c>
      <c r="E401" s="260" t="n">
        <v>2</v>
      </c>
    </row>
    <row r="402" customFormat="false" ht="14.25" hidden="true" customHeight="true" outlineLevel="0" collapsed="false">
      <c r="A402" s="263"/>
      <c r="B402" s="259"/>
      <c r="C402" s="259" t="s">
        <v>688</v>
      </c>
      <c r="D402" s="117" t="n">
        <v>381.18</v>
      </c>
      <c r="E402" s="260" t="n">
        <v>2</v>
      </c>
    </row>
    <row r="403" customFormat="false" ht="14.25" hidden="true" customHeight="true" outlineLevel="0" collapsed="false">
      <c r="A403" s="263"/>
      <c r="B403" s="259"/>
      <c r="C403" s="259" t="s">
        <v>689</v>
      </c>
      <c r="D403" s="117" t="n">
        <v>368.47</v>
      </c>
      <c r="E403" s="260" t="n">
        <v>2</v>
      </c>
    </row>
    <row r="404" customFormat="false" ht="14.25" hidden="true" customHeight="true" outlineLevel="0" collapsed="false">
      <c r="A404" s="263"/>
      <c r="B404" s="259"/>
      <c r="C404" s="259" t="s">
        <v>690</v>
      </c>
      <c r="D404" s="117" t="n">
        <v>365.83</v>
      </c>
      <c r="E404" s="260" t="n">
        <v>4</v>
      </c>
    </row>
    <row r="405" customFormat="false" ht="14.25" hidden="true" customHeight="true" outlineLevel="0" collapsed="false">
      <c r="A405" s="263"/>
      <c r="B405" s="259"/>
      <c r="C405" s="259" t="s">
        <v>691</v>
      </c>
      <c r="D405" s="117" t="n">
        <v>364.32</v>
      </c>
      <c r="E405" s="260" t="n">
        <v>1</v>
      </c>
    </row>
    <row r="406" customFormat="false" ht="14.25" hidden="true" customHeight="true" outlineLevel="0" collapsed="false">
      <c r="A406" s="263"/>
      <c r="B406" s="259"/>
      <c r="C406" s="259" t="s">
        <v>692</v>
      </c>
      <c r="D406" s="117" t="n">
        <v>364.32</v>
      </c>
      <c r="E406" s="260" t="n">
        <v>1</v>
      </c>
    </row>
    <row r="407" customFormat="false" ht="14.25" hidden="true" customHeight="true" outlineLevel="0" collapsed="false">
      <c r="A407" s="263"/>
      <c r="B407" s="259"/>
      <c r="C407" s="259" t="s">
        <v>693</v>
      </c>
      <c r="D407" s="117" t="n">
        <v>364.15</v>
      </c>
      <c r="E407" s="260" t="n">
        <v>3</v>
      </c>
    </row>
    <row r="408" customFormat="false" ht="14.25" hidden="true" customHeight="true" outlineLevel="0" collapsed="false">
      <c r="A408" s="263"/>
      <c r="B408" s="259"/>
      <c r="C408" s="259" t="s">
        <v>694</v>
      </c>
      <c r="D408" s="117" t="n">
        <v>362.37</v>
      </c>
      <c r="E408" s="260" t="n">
        <v>4</v>
      </c>
    </row>
    <row r="409" customFormat="false" ht="14.25" hidden="true" customHeight="true" outlineLevel="0" collapsed="false">
      <c r="A409" s="263"/>
      <c r="B409" s="259"/>
      <c r="C409" s="259" t="s">
        <v>695</v>
      </c>
      <c r="D409" s="117" t="n">
        <v>358.32</v>
      </c>
      <c r="E409" s="260" t="n">
        <v>2</v>
      </c>
    </row>
    <row r="410" customFormat="false" ht="14.25" hidden="true" customHeight="true" outlineLevel="0" collapsed="false">
      <c r="A410" s="263"/>
      <c r="B410" s="259"/>
      <c r="C410" s="259" t="s">
        <v>696</v>
      </c>
      <c r="D410" s="117" t="n">
        <v>358.32</v>
      </c>
      <c r="E410" s="260" t="n">
        <v>3</v>
      </c>
    </row>
    <row r="411" customFormat="false" ht="14.25" hidden="true" customHeight="true" outlineLevel="0" collapsed="false">
      <c r="A411" s="263"/>
      <c r="B411" s="259"/>
      <c r="C411" s="259" t="s">
        <v>697</v>
      </c>
      <c r="D411" s="117" t="n">
        <v>355.71</v>
      </c>
      <c r="E411" s="260" t="n">
        <v>3</v>
      </c>
    </row>
    <row r="412" customFormat="false" ht="14.25" hidden="true" customHeight="true" outlineLevel="0" collapsed="false">
      <c r="A412" s="263"/>
      <c r="B412" s="259"/>
      <c r="C412" s="259" t="s">
        <v>698</v>
      </c>
      <c r="D412" s="117" t="n">
        <v>353.83</v>
      </c>
      <c r="E412" s="260" t="n">
        <v>5</v>
      </c>
    </row>
    <row r="413" customFormat="false" ht="14.25" hidden="true" customHeight="true" outlineLevel="0" collapsed="false">
      <c r="A413" s="263"/>
      <c r="B413" s="259"/>
      <c r="C413" s="259" t="s">
        <v>699</v>
      </c>
      <c r="D413" s="117" t="n">
        <v>351.61</v>
      </c>
      <c r="E413" s="260" t="n">
        <v>1</v>
      </c>
    </row>
    <row r="414" customFormat="false" ht="14.25" hidden="true" customHeight="true" outlineLevel="0" collapsed="false">
      <c r="A414" s="263"/>
      <c r="B414" s="259"/>
      <c r="C414" s="259" t="s">
        <v>700</v>
      </c>
      <c r="D414" s="117" t="n">
        <v>351.52</v>
      </c>
      <c r="E414" s="260" t="n">
        <v>2</v>
      </c>
    </row>
    <row r="415" customFormat="false" ht="14.25" hidden="true" customHeight="true" outlineLevel="0" collapsed="false">
      <c r="A415" s="263"/>
      <c r="B415" s="259"/>
      <c r="C415" s="259" t="s">
        <v>701</v>
      </c>
      <c r="D415" s="117" t="n">
        <v>345.56</v>
      </c>
      <c r="E415" s="260" t="n">
        <v>3</v>
      </c>
    </row>
    <row r="416" customFormat="false" ht="14.25" hidden="true" customHeight="true" outlineLevel="0" collapsed="false">
      <c r="A416" s="263"/>
      <c r="B416" s="259"/>
      <c r="C416" s="259" t="s">
        <v>702</v>
      </c>
      <c r="D416" s="117" t="n">
        <v>345.2</v>
      </c>
      <c r="E416" s="260" t="n">
        <v>4</v>
      </c>
    </row>
    <row r="417" customFormat="false" ht="14.25" hidden="true" customHeight="true" outlineLevel="0" collapsed="false">
      <c r="A417" s="263"/>
      <c r="B417" s="259"/>
      <c r="C417" s="259" t="s">
        <v>703</v>
      </c>
      <c r="D417" s="117" t="n">
        <v>343.14</v>
      </c>
      <c r="E417" s="260" t="n">
        <v>1</v>
      </c>
    </row>
    <row r="418" customFormat="false" ht="14.25" hidden="true" customHeight="true" outlineLevel="0" collapsed="false">
      <c r="A418" s="263"/>
      <c r="B418" s="259"/>
      <c r="C418" s="259" t="s">
        <v>704</v>
      </c>
      <c r="D418" s="117" t="n">
        <v>343.14</v>
      </c>
      <c r="E418" s="260" t="n">
        <v>1</v>
      </c>
    </row>
    <row r="419" customFormat="false" ht="14.25" hidden="true" customHeight="true" outlineLevel="0" collapsed="false">
      <c r="A419" s="263"/>
      <c r="B419" s="259"/>
      <c r="C419" s="259" t="s">
        <v>705</v>
      </c>
      <c r="D419" s="117" t="n">
        <v>343.14</v>
      </c>
      <c r="E419" s="260" t="n">
        <v>1</v>
      </c>
    </row>
    <row r="420" customFormat="false" ht="14.25" hidden="true" customHeight="true" outlineLevel="0" collapsed="false">
      <c r="A420" s="263"/>
      <c r="B420" s="259"/>
      <c r="C420" s="259" t="s">
        <v>706</v>
      </c>
      <c r="D420" s="117" t="n">
        <v>343.14</v>
      </c>
      <c r="E420" s="260" t="n">
        <v>1</v>
      </c>
    </row>
    <row r="421" customFormat="false" ht="14.25" hidden="true" customHeight="true" outlineLevel="0" collapsed="false">
      <c r="A421" s="263"/>
      <c r="B421" s="259"/>
      <c r="C421" s="259" t="s">
        <v>707</v>
      </c>
      <c r="D421" s="117" t="n">
        <v>343.14</v>
      </c>
      <c r="E421" s="260" t="n">
        <v>1</v>
      </c>
    </row>
    <row r="422" customFormat="false" ht="14.25" hidden="true" customHeight="true" outlineLevel="0" collapsed="false">
      <c r="A422" s="263"/>
      <c r="B422" s="259"/>
      <c r="C422" s="259" t="s">
        <v>708</v>
      </c>
      <c r="D422" s="117" t="n">
        <v>343.14</v>
      </c>
      <c r="E422" s="260" t="n">
        <v>1</v>
      </c>
    </row>
    <row r="423" customFormat="false" ht="14.25" hidden="true" customHeight="true" outlineLevel="0" collapsed="false">
      <c r="A423" s="263"/>
      <c r="B423" s="259"/>
      <c r="C423" s="259" t="s">
        <v>709</v>
      </c>
      <c r="D423" s="117" t="n">
        <v>342.92</v>
      </c>
      <c r="E423" s="260" t="n">
        <v>2</v>
      </c>
    </row>
    <row r="424" customFormat="false" ht="14.25" hidden="true" customHeight="true" outlineLevel="0" collapsed="false">
      <c r="A424" s="263"/>
      <c r="B424" s="259"/>
      <c r="C424" s="259" t="s">
        <v>710</v>
      </c>
      <c r="D424" s="117" t="n">
        <v>338.9</v>
      </c>
      <c r="E424" s="260" t="n">
        <v>1</v>
      </c>
    </row>
    <row r="425" customFormat="false" ht="14.25" hidden="true" customHeight="true" outlineLevel="0" collapsed="false">
      <c r="A425" s="263"/>
      <c r="B425" s="259"/>
      <c r="C425" s="259" t="s">
        <v>711</v>
      </c>
      <c r="D425" s="117" t="n">
        <v>338.9</v>
      </c>
      <c r="E425" s="260" t="n">
        <v>1</v>
      </c>
    </row>
    <row r="426" customFormat="false" ht="14.25" hidden="true" customHeight="true" outlineLevel="0" collapsed="false">
      <c r="A426" s="263"/>
      <c r="B426" s="259"/>
      <c r="C426" s="259" t="s">
        <v>712</v>
      </c>
      <c r="D426" s="117" t="n">
        <v>338.9</v>
      </c>
      <c r="E426" s="260" t="n">
        <v>1</v>
      </c>
    </row>
    <row r="427" customFormat="false" ht="14.25" hidden="true" customHeight="true" outlineLevel="0" collapsed="false">
      <c r="A427" s="263"/>
      <c r="B427" s="259"/>
      <c r="C427" s="259" t="s">
        <v>713</v>
      </c>
      <c r="D427" s="117" t="n">
        <v>338.9</v>
      </c>
      <c r="E427" s="260" t="n">
        <v>1</v>
      </c>
    </row>
    <row r="428" customFormat="false" ht="14.25" hidden="true" customHeight="true" outlineLevel="0" collapsed="false">
      <c r="A428" s="263"/>
      <c r="B428" s="259"/>
      <c r="C428" s="259" t="s">
        <v>714</v>
      </c>
      <c r="D428" s="117" t="n">
        <v>338.9</v>
      </c>
      <c r="E428" s="260" t="n">
        <v>1</v>
      </c>
    </row>
    <row r="429" customFormat="false" ht="14.25" hidden="true" customHeight="true" outlineLevel="0" collapsed="false">
      <c r="A429" s="263"/>
      <c r="B429" s="259"/>
      <c r="C429" s="259" t="s">
        <v>715</v>
      </c>
      <c r="D429" s="117" t="n">
        <v>338.9</v>
      </c>
      <c r="E429" s="260" t="n">
        <v>1</v>
      </c>
    </row>
    <row r="430" customFormat="false" ht="14.25" hidden="true" customHeight="true" outlineLevel="0" collapsed="false">
      <c r="A430" s="263"/>
      <c r="B430" s="259"/>
      <c r="C430" s="259" t="s">
        <v>716</v>
      </c>
      <c r="D430" s="117" t="n">
        <v>338.9</v>
      </c>
      <c r="E430" s="260" t="n">
        <v>1</v>
      </c>
    </row>
    <row r="431" customFormat="false" ht="14.25" hidden="true" customHeight="true" outlineLevel="0" collapsed="false">
      <c r="A431" s="263"/>
      <c r="B431" s="259"/>
      <c r="C431" s="259" t="s">
        <v>717</v>
      </c>
      <c r="D431" s="117" t="n">
        <v>338.9</v>
      </c>
      <c r="E431" s="260" t="n">
        <v>1</v>
      </c>
    </row>
    <row r="432" customFormat="false" ht="14.25" hidden="true" customHeight="true" outlineLevel="0" collapsed="false">
      <c r="A432" s="263"/>
      <c r="B432" s="259"/>
      <c r="C432" s="259" t="s">
        <v>718</v>
      </c>
      <c r="D432" s="117" t="n">
        <v>338.9</v>
      </c>
      <c r="E432" s="260" t="n">
        <v>1</v>
      </c>
    </row>
    <row r="433" customFormat="false" ht="14.25" hidden="true" customHeight="true" outlineLevel="0" collapsed="false">
      <c r="A433" s="263"/>
      <c r="B433" s="259"/>
      <c r="C433" s="259" t="s">
        <v>719</v>
      </c>
      <c r="D433" s="117" t="n">
        <v>338.9</v>
      </c>
      <c r="E433" s="260" t="n">
        <v>1</v>
      </c>
    </row>
    <row r="434" customFormat="false" ht="14.25" hidden="true" customHeight="true" outlineLevel="0" collapsed="false">
      <c r="A434" s="263"/>
      <c r="B434" s="259"/>
      <c r="C434" s="259" t="s">
        <v>720</v>
      </c>
      <c r="D434" s="117" t="n">
        <v>338.9</v>
      </c>
      <c r="E434" s="260" t="n">
        <v>1</v>
      </c>
    </row>
    <row r="435" customFormat="false" ht="14.25" hidden="true" customHeight="true" outlineLevel="0" collapsed="false">
      <c r="A435" s="263"/>
      <c r="B435" s="259"/>
      <c r="C435" s="259" t="s">
        <v>721</v>
      </c>
      <c r="D435" s="117" t="n">
        <v>338.81</v>
      </c>
      <c r="E435" s="260" t="n">
        <v>2</v>
      </c>
    </row>
    <row r="436" customFormat="false" ht="14.25" hidden="true" customHeight="true" outlineLevel="0" collapsed="false">
      <c r="A436" s="263"/>
      <c r="B436" s="259"/>
      <c r="C436" s="259" t="s">
        <v>722</v>
      </c>
      <c r="D436" s="117" t="n">
        <v>338.81</v>
      </c>
      <c r="E436" s="260" t="n">
        <v>2</v>
      </c>
    </row>
    <row r="437" customFormat="false" ht="14.25" hidden="true" customHeight="true" outlineLevel="0" collapsed="false">
      <c r="A437" s="263"/>
      <c r="B437" s="259"/>
      <c r="C437" s="259" t="s">
        <v>723</v>
      </c>
      <c r="D437" s="117" t="n">
        <v>332.92</v>
      </c>
      <c r="E437" s="260" t="n">
        <v>5</v>
      </c>
    </row>
    <row r="438" customFormat="false" ht="14.25" hidden="true" customHeight="true" outlineLevel="0" collapsed="false">
      <c r="A438" s="263"/>
      <c r="B438" s="259"/>
      <c r="C438" s="259" t="s">
        <v>724</v>
      </c>
      <c r="D438" s="117" t="n">
        <v>326.96</v>
      </c>
      <c r="E438" s="260" t="n">
        <v>2</v>
      </c>
    </row>
    <row r="439" customFormat="false" ht="14.25" hidden="true" customHeight="true" outlineLevel="0" collapsed="false">
      <c r="A439" s="263"/>
      <c r="B439" s="259"/>
      <c r="C439" s="259" t="s">
        <v>725</v>
      </c>
      <c r="D439" s="117" t="n">
        <v>323.92</v>
      </c>
      <c r="E439" s="260" t="n">
        <v>2</v>
      </c>
    </row>
    <row r="440" customFormat="false" ht="14.25" hidden="true" customHeight="true" outlineLevel="0" collapsed="false">
      <c r="A440" s="263"/>
      <c r="B440" s="259"/>
      <c r="C440" s="259" t="s">
        <v>726</v>
      </c>
      <c r="D440" s="117" t="n">
        <v>321.63</v>
      </c>
      <c r="E440" s="260" t="n">
        <v>3</v>
      </c>
    </row>
    <row r="441" customFormat="false" ht="14.25" hidden="true" customHeight="true" outlineLevel="0" collapsed="false">
      <c r="A441" s="263"/>
      <c r="B441" s="259"/>
      <c r="C441" s="259" t="s">
        <v>727</v>
      </c>
      <c r="D441" s="117" t="n">
        <v>320.19</v>
      </c>
      <c r="E441" s="260" t="n">
        <v>2</v>
      </c>
    </row>
    <row r="442" customFormat="false" ht="14.25" hidden="true" customHeight="true" outlineLevel="0" collapsed="false">
      <c r="A442" s="263"/>
      <c r="B442" s="259"/>
      <c r="C442" s="259" t="s">
        <v>728</v>
      </c>
      <c r="D442" s="117" t="n">
        <v>320.18</v>
      </c>
      <c r="E442" s="260" t="n">
        <v>2</v>
      </c>
    </row>
    <row r="443" customFormat="false" ht="14.25" hidden="true" customHeight="true" outlineLevel="0" collapsed="false">
      <c r="A443" s="263"/>
      <c r="B443" s="259"/>
      <c r="C443" s="259" t="s">
        <v>729</v>
      </c>
      <c r="D443" s="117" t="n">
        <v>320.17</v>
      </c>
      <c r="E443" s="260" t="n">
        <v>3</v>
      </c>
    </row>
    <row r="444" customFormat="false" ht="14.25" hidden="true" customHeight="true" outlineLevel="0" collapsed="false">
      <c r="A444" s="263"/>
      <c r="B444" s="259"/>
      <c r="C444" s="259" t="s">
        <v>730</v>
      </c>
      <c r="D444" s="117" t="n">
        <v>317.37</v>
      </c>
      <c r="E444" s="260" t="n">
        <v>5</v>
      </c>
    </row>
    <row r="445" customFormat="false" ht="14.25" hidden="true" customHeight="true" outlineLevel="0" collapsed="false">
      <c r="A445" s="263"/>
      <c r="B445" s="259"/>
      <c r="C445" s="259" t="s">
        <v>731</v>
      </c>
      <c r="D445" s="117" t="n">
        <v>317.13</v>
      </c>
      <c r="E445" s="260" t="n">
        <v>1</v>
      </c>
    </row>
    <row r="446" customFormat="false" ht="14.25" hidden="true" customHeight="true" outlineLevel="0" collapsed="false">
      <c r="A446" s="263"/>
      <c r="B446" s="259"/>
      <c r="C446" s="259" t="s">
        <v>732</v>
      </c>
      <c r="D446" s="117" t="n">
        <v>316.37</v>
      </c>
      <c r="E446" s="260" t="n">
        <v>3</v>
      </c>
    </row>
    <row r="447" customFormat="false" ht="14.25" hidden="true" customHeight="true" outlineLevel="0" collapsed="false">
      <c r="A447" s="263"/>
      <c r="B447" s="259"/>
      <c r="C447" s="259" t="s">
        <v>733</v>
      </c>
      <c r="D447" s="117" t="n">
        <v>315.08</v>
      </c>
      <c r="E447" s="260" t="n">
        <v>2</v>
      </c>
    </row>
    <row r="448" customFormat="false" ht="14.25" hidden="true" customHeight="true" outlineLevel="0" collapsed="false">
      <c r="A448" s="263"/>
      <c r="B448" s="259"/>
      <c r="C448" s="259" t="s">
        <v>734</v>
      </c>
      <c r="D448" s="117" t="n">
        <v>314.91</v>
      </c>
      <c r="E448" s="260" t="n">
        <v>4</v>
      </c>
    </row>
    <row r="449" customFormat="false" ht="14.25" hidden="true" customHeight="true" outlineLevel="0" collapsed="false">
      <c r="A449" s="263"/>
      <c r="B449" s="259"/>
      <c r="C449" s="259" t="s">
        <v>735</v>
      </c>
      <c r="D449" s="117" t="n">
        <v>313.39</v>
      </c>
      <c r="E449" s="260" t="n">
        <v>2</v>
      </c>
    </row>
    <row r="450" customFormat="false" ht="14.25" hidden="true" customHeight="true" outlineLevel="0" collapsed="false">
      <c r="A450" s="263"/>
      <c r="B450" s="259"/>
      <c r="C450" s="259" t="s">
        <v>736</v>
      </c>
      <c r="D450" s="117" t="n">
        <v>309.07</v>
      </c>
      <c r="E450" s="260" t="n">
        <v>3</v>
      </c>
    </row>
    <row r="451" customFormat="false" ht="14.25" hidden="true" customHeight="true" outlineLevel="0" collapsed="false">
      <c r="A451" s="263"/>
      <c r="B451" s="259"/>
      <c r="C451" s="259" t="s">
        <v>737</v>
      </c>
      <c r="D451" s="117" t="n">
        <v>308.3</v>
      </c>
      <c r="E451" s="260" t="n">
        <v>2</v>
      </c>
    </row>
    <row r="452" customFormat="false" ht="14.25" hidden="true" customHeight="true" outlineLevel="0" collapsed="false">
      <c r="A452" s="263"/>
      <c r="B452" s="259"/>
      <c r="C452" s="259" t="s">
        <v>738</v>
      </c>
      <c r="D452" s="117" t="n">
        <v>308.13</v>
      </c>
      <c r="E452" s="260" t="n">
        <v>4</v>
      </c>
    </row>
    <row r="453" customFormat="false" ht="14.25" hidden="true" customHeight="true" outlineLevel="0" collapsed="false">
      <c r="A453" s="263"/>
      <c r="B453" s="259"/>
      <c r="C453" s="259" t="s">
        <v>739</v>
      </c>
      <c r="D453" s="117" t="n">
        <v>305.01</v>
      </c>
      <c r="E453" s="260" t="n">
        <v>1</v>
      </c>
    </row>
    <row r="454" customFormat="false" ht="14.25" hidden="true" customHeight="true" outlineLevel="0" collapsed="false">
      <c r="A454" s="263"/>
      <c r="B454" s="259"/>
      <c r="C454" s="259" t="s">
        <v>740</v>
      </c>
      <c r="D454" s="117" t="n">
        <v>305.01</v>
      </c>
      <c r="E454" s="260" t="n">
        <v>1</v>
      </c>
    </row>
    <row r="455" customFormat="false" ht="14.25" hidden="true" customHeight="true" outlineLevel="0" collapsed="false">
      <c r="A455" s="263"/>
      <c r="B455" s="259"/>
      <c r="C455" s="259" t="s">
        <v>741</v>
      </c>
      <c r="D455" s="117" t="n">
        <v>305.01</v>
      </c>
      <c r="E455" s="260" t="n">
        <v>1</v>
      </c>
    </row>
    <row r="456" customFormat="false" ht="14.25" hidden="true" customHeight="true" outlineLevel="0" collapsed="false">
      <c r="A456" s="263"/>
      <c r="B456" s="259"/>
      <c r="C456" s="259" t="s">
        <v>742</v>
      </c>
      <c r="D456" s="117" t="n">
        <v>305.01</v>
      </c>
      <c r="E456" s="260" t="n">
        <v>1</v>
      </c>
    </row>
    <row r="457" customFormat="false" ht="14.25" hidden="true" customHeight="true" outlineLevel="0" collapsed="false">
      <c r="A457" s="263"/>
      <c r="B457" s="259"/>
      <c r="C457" s="259" t="s">
        <v>743</v>
      </c>
      <c r="D457" s="117" t="n">
        <v>304.93</v>
      </c>
      <c r="E457" s="260" t="n">
        <v>2</v>
      </c>
    </row>
    <row r="458" customFormat="false" ht="14.25" hidden="true" customHeight="true" outlineLevel="0" collapsed="false">
      <c r="A458" s="263"/>
      <c r="B458" s="259"/>
      <c r="C458" s="259" t="s">
        <v>744</v>
      </c>
      <c r="D458" s="117" t="n">
        <v>304.93</v>
      </c>
      <c r="E458" s="260" t="n">
        <v>2</v>
      </c>
    </row>
    <row r="459" customFormat="false" ht="14.25" hidden="true" customHeight="true" outlineLevel="0" collapsed="false">
      <c r="A459" s="263"/>
      <c r="B459" s="259"/>
      <c r="C459" s="259" t="s">
        <v>745</v>
      </c>
      <c r="D459" s="117" t="n">
        <v>304.91</v>
      </c>
      <c r="E459" s="260" t="n">
        <v>2</v>
      </c>
    </row>
    <row r="460" customFormat="false" ht="14.25" hidden="true" customHeight="true" outlineLevel="0" collapsed="false">
      <c r="A460" s="263"/>
      <c r="B460" s="259"/>
      <c r="C460" s="259" t="s">
        <v>746</v>
      </c>
      <c r="D460" s="117" t="n">
        <v>304.78</v>
      </c>
      <c r="E460" s="260" t="n">
        <v>4</v>
      </c>
    </row>
    <row r="461" customFormat="false" ht="14.25" hidden="true" customHeight="true" outlineLevel="0" collapsed="false">
      <c r="A461" s="263"/>
      <c r="B461" s="259"/>
      <c r="C461" s="259" t="s">
        <v>747</v>
      </c>
      <c r="D461" s="117" t="n">
        <v>300.76</v>
      </c>
      <c r="E461" s="260" t="n">
        <v>1</v>
      </c>
    </row>
    <row r="462" customFormat="false" ht="14.25" hidden="true" customHeight="true" outlineLevel="0" collapsed="false">
      <c r="A462" s="263"/>
      <c r="B462" s="259"/>
      <c r="C462" s="259" t="s">
        <v>748</v>
      </c>
      <c r="D462" s="117" t="n">
        <v>300.76</v>
      </c>
      <c r="E462" s="260" t="n">
        <v>1</v>
      </c>
    </row>
    <row r="463" customFormat="false" ht="14.25" hidden="true" customHeight="true" outlineLevel="0" collapsed="false">
      <c r="A463" s="263"/>
      <c r="B463" s="259"/>
      <c r="C463" s="259" t="s">
        <v>749</v>
      </c>
      <c r="D463" s="117" t="n">
        <v>300.76</v>
      </c>
      <c r="E463" s="260" t="n">
        <v>1</v>
      </c>
    </row>
    <row r="464" customFormat="false" ht="14.25" hidden="true" customHeight="true" outlineLevel="0" collapsed="false">
      <c r="A464" s="263"/>
      <c r="B464" s="259"/>
      <c r="C464" s="259" t="s">
        <v>750</v>
      </c>
      <c r="D464" s="117" t="n">
        <v>296.53</v>
      </c>
      <c r="E464" s="260" t="n">
        <v>2</v>
      </c>
    </row>
    <row r="465" customFormat="false" ht="14.25" hidden="true" customHeight="true" outlineLevel="0" collapsed="false">
      <c r="A465" s="263"/>
      <c r="B465" s="259"/>
      <c r="C465" s="259" t="s">
        <v>751</v>
      </c>
      <c r="D465" s="117" t="n">
        <v>296.53</v>
      </c>
      <c r="E465" s="260" t="n">
        <v>2</v>
      </c>
    </row>
    <row r="466" customFormat="false" ht="14.25" hidden="true" customHeight="true" outlineLevel="0" collapsed="false">
      <c r="A466" s="263"/>
      <c r="B466" s="259"/>
      <c r="C466" s="259" t="s">
        <v>752</v>
      </c>
      <c r="D466" s="117" t="n">
        <v>296.53</v>
      </c>
      <c r="E466" s="260" t="n">
        <v>2</v>
      </c>
    </row>
    <row r="467" customFormat="false" ht="14.25" hidden="true" customHeight="true" outlineLevel="0" collapsed="false">
      <c r="A467" s="263"/>
      <c r="B467" s="259"/>
      <c r="C467" s="259" t="s">
        <v>753</v>
      </c>
      <c r="D467" s="117" t="n">
        <v>296.53</v>
      </c>
      <c r="E467" s="260" t="n">
        <v>2</v>
      </c>
    </row>
    <row r="468" customFormat="false" ht="14.25" hidden="true" customHeight="true" outlineLevel="0" collapsed="false">
      <c r="A468" s="263"/>
      <c r="B468" s="259"/>
      <c r="C468" s="259" t="s">
        <v>754</v>
      </c>
      <c r="D468" s="117" t="n">
        <v>296.53</v>
      </c>
      <c r="E468" s="260" t="n">
        <v>1</v>
      </c>
    </row>
    <row r="469" customFormat="false" ht="14.25" hidden="true" customHeight="true" outlineLevel="0" collapsed="false">
      <c r="A469" s="263"/>
      <c r="B469" s="259"/>
      <c r="C469" s="259" t="s">
        <v>755</v>
      </c>
      <c r="D469" s="117" t="n">
        <v>296.53</v>
      </c>
      <c r="E469" s="260" t="n">
        <v>1</v>
      </c>
    </row>
    <row r="470" customFormat="false" ht="14.25" hidden="true" customHeight="true" outlineLevel="0" collapsed="false">
      <c r="A470" s="263"/>
      <c r="B470" s="259"/>
      <c r="C470" s="259" t="s">
        <v>756</v>
      </c>
      <c r="D470" s="117" t="n">
        <v>296.53</v>
      </c>
      <c r="E470" s="260" t="n">
        <v>2</v>
      </c>
    </row>
    <row r="471" customFormat="false" ht="14.25" hidden="true" customHeight="true" outlineLevel="0" collapsed="false">
      <c r="A471" s="263"/>
      <c r="B471" s="259"/>
      <c r="C471" s="259" t="s">
        <v>757</v>
      </c>
      <c r="D471" s="117" t="n">
        <v>296.53</v>
      </c>
      <c r="E471" s="260" t="n">
        <v>2</v>
      </c>
    </row>
    <row r="472" customFormat="false" ht="14.25" hidden="true" customHeight="true" outlineLevel="0" collapsed="false">
      <c r="A472" s="263"/>
      <c r="B472" s="259"/>
      <c r="C472" s="259" t="s">
        <v>758</v>
      </c>
      <c r="D472" s="117" t="n">
        <v>296.53</v>
      </c>
      <c r="E472" s="260" t="n">
        <v>1</v>
      </c>
    </row>
    <row r="473" customFormat="false" ht="14.25" hidden="true" customHeight="true" outlineLevel="0" collapsed="false">
      <c r="A473" s="263"/>
      <c r="B473" s="259"/>
      <c r="C473" s="259" t="s">
        <v>759</v>
      </c>
      <c r="D473" s="117" t="n">
        <v>296.53</v>
      </c>
      <c r="E473" s="260" t="n">
        <v>1</v>
      </c>
    </row>
    <row r="474" customFormat="false" ht="14.25" hidden="true" customHeight="true" outlineLevel="0" collapsed="false">
      <c r="A474" s="263"/>
      <c r="B474" s="259"/>
      <c r="C474" s="259" t="s">
        <v>760</v>
      </c>
      <c r="D474" s="117" t="n">
        <v>296.53</v>
      </c>
      <c r="E474" s="260" t="n">
        <v>2</v>
      </c>
    </row>
    <row r="475" customFormat="false" ht="14.25" hidden="true" customHeight="true" outlineLevel="0" collapsed="false">
      <c r="A475" s="263"/>
      <c r="B475" s="259"/>
      <c r="C475" s="259" t="s">
        <v>761</v>
      </c>
      <c r="D475" s="117" t="n">
        <v>296.53</v>
      </c>
      <c r="E475" s="260" t="n">
        <v>2</v>
      </c>
    </row>
    <row r="476" customFormat="false" ht="14.25" hidden="true" customHeight="true" outlineLevel="0" collapsed="false">
      <c r="A476" s="263"/>
      <c r="B476" s="259"/>
      <c r="C476" s="259" t="s">
        <v>762</v>
      </c>
      <c r="D476" s="117" t="n">
        <v>296.53</v>
      </c>
      <c r="E476" s="260" t="n">
        <v>2</v>
      </c>
    </row>
    <row r="477" customFormat="false" ht="14.25" hidden="true" customHeight="true" outlineLevel="0" collapsed="false">
      <c r="A477" s="263"/>
      <c r="B477" s="259"/>
      <c r="C477" s="259" t="s">
        <v>763</v>
      </c>
      <c r="D477" s="117" t="n">
        <v>296.53</v>
      </c>
      <c r="E477" s="260" t="n">
        <v>2</v>
      </c>
    </row>
    <row r="478" customFormat="false" ht="14.25" hidden="true" customHeight="true" outlineLevel="0" collapsed="false">
      <c r="A478" s="263"/>
      <c r="B478" s="259"/>
      <c r="C478" s="259" t="s">
        <v>764</v>
      </c>
      <c r="D478" s="117" t="n">
        <v>296.53</v>
      </c>
      <c r="E478" s="260" t="n">
        <v>2</v>
      </c>
    </row>
    <row r="479" customFormat="false" ht="14.25" hidden="true" customHeight="true" outlineLevel="0" collapsed="false">
      <c r="A479" s="263"/>
      <c r="B479" s="259"/>
      <c r="C479" s="259" t="s">
        <v>765</v>
      </c>
      <c r="D479" s="117" t="n">
        <v>296.53</v>
      </c>
      <c r="E479" s="260" t="n">
        <v>2</v>
      </c>
    </row>
    <row r="480" customFormat="false" ht="14.25" hidden="true" customHeight="true" outlineLevel="0" collapsed="false">
      <c r="A480" s="263"/>
      <c r="B480" s="259"/>
      <c r="C480" s="259" t="s">
        <v>766</v>
      </c>
      <c r="D480" s="117" t="n">
        <v>296.53</v>
      </c>
      <c r="E480" s="260" t="n">
        <v>2</v>
      </c>
    </row>
    <row r="481" customFormat="false" ht="14.25" hidden="true" customHeight="true" outlineLevel="0" collapsed="false">
      <c r="A481" s="263"/>
      <c r="B481" s="259"/>
      <c r="C481" s="259" t="s">
        <v>767</v>
      </c>
      <c r="D481" s="117" t="n">
        <v>296.53</v>
      </c>
      <c r="E481" s="260" t="n">
        <v>2</v>
      </c>
    </row>
    <row r="482" customFormat="false" ht="14.25" hidden="true" customHeight="true" outlineLevel="0" collapsed="false">
      <c r="A482" s="263"/>
      <c r="B482" s="259"/>
      <c r="C482" s="259" t="s">
        <v>768</v>
      </c>
      <c r="D482" s="117" t="n">
        <v>296.53</v>
      </c>
      <c r="E482" s="260" t="n">
        <v>2</v>
      </c>
    </row>
    <row r="483" customFormat="false" ht="14.25" hidden="true" customHeight="true" outlineLevel="0" collapsed="false">
      <c r="A483" s="263"/>
      <c r="B483" s="259"/>
      <c r="C483" s="259" t="s">
        <v>769</v>
      </c>
      <c r="D483" s="117" t="n">
        <v>296.53</v>
      </c>
      <c r="E483" s="260" t="n">
        <v>2</v>
      </c>
    </row>
    <row r="484" customFormat="false" ht="14.25" hidden="true" customHeight="true" outlineLevel="0" collapsed="false">
      <c r="A484" s="263"/>
      <c r="B484" s="259"/>
      <c r="C484" s="259" t="s">
        <v>770</v>
      </c>
      <c r="D484" s="117" t="n">
        <v>296.53</v>
      </c>
      <c r="E484" s="260" t="n">
        <v>2</v>
      </c>
    </row>
    <row r="485" customFormat="false" ht="14.25" hidden="true" customHeight="true" outlineLevel="0" collapsed="false">
      <c r="A485" s="263"/>
      <c r="B485" s="259"/>
      <c r="C485" s="259" t="s">
        <v>771</v>
      </c>
      <c r="D485" s="117" t="n">
        <v>296.53</v>
      </c>
      <c r="E485" s="260" t="n">
        <v>2</v>
      </c>
    </row>
    <row r="486" customFormat="false" ht="14.25" hidden="true" customHeight="true" outlineLevel="0" collapsed="false">
      <c r="A486" s="263"/>
      <c r="B486" s="259"/>
      <c r="C486" s="259" t="s">
        <v>772</v>
      </c>
      <c r="D486" s="117" t="n">
        <v>296.53</v>
      </c>
      <c r="E486" s="260" t="n">
        <v>2</v>
      </c>
    </row>
    <row r="487" customFormat="false" ht="14.25" hidden="true" customHeight="true" outlineLevel="0" collapsed="false">
      <c r="A487" s="263"/>
      <c r="B487" s="259"/>
      <c r="C487" s="259" t="s">
        <v>773</v>
      </c>
      <c r="D487" s="117" t="n">
        <v>296.53</v>
      </c>
      <c r="E487" s="260" t="n">
        <v>2</v>
      </c>
    </row>
    <row r="488" customFormat="false" ht="14.25" hidden="true" customHeight="true" outlineLevel="0" collapsed="false">
      <c r="A488" s="263"/>
      <c r="B488" s="259"/>
      <c r="C488" s="259" t="s">
        <v>774</v>
      </c>
      <c r="D488" s="117" t="n">
        <v>296.53</v>
      </c>
      <c r="E488" s="260" t="n">
        <v>2</v>
      </c>
    </row>
    <row r="489" customFormat="false" ht="14.25" hidden="true" customHeight="true" outlineLevel="0" collapsed="false">
      <c r="A489" s="263"/>
      <c r="B489" s="259"/>
      <c r="C489" s="259" t="s">
        <v>775</v>
      </c>
      <c r="D489" s="117" t="n">
        <v>296.53</v>
      </c>
      <c r="E489" s="260" t="n">
        <v>2</v>
      </c>
    </row>
    <row r="490" customFormat="false" ht="14.25" hidden="true" customHeight="true" outlineLevel="0" collapsed="false">
      <c r="A490" s="263"/>
      <c r="B490" s="259"/>
      <c r="C490" s="259" t="s">
        <v>776</v>
      </c>
      <c r="D490" s="117" t="n">
        <v>296.53</v>
      </c>
      <c r="E490" s="260" t="n">
        <v>2</v>
      </c>
    </row>
    <row r="491" customFormat="false" ht="14.25" hidden="true" customHeight="true" outlineLevel="0" collapsed="false">
      <c r="A491" s="263"/>
      <c r="B491" s="259"/>
      <c r="C491" s="259" t="s">
        <v>777</v>
      </c>
      <c r="D491" s="117" t="n">
        <v>296.53</v>
      </c>
      <c r="E491" s="260" t="n">
        <v>2</v>
      </c>
    </row>
    <row r="492" customFormat="false" ht="14.25" hidden="true" customHeight="true" outlineLevel="0" collapsed="false">
      <c r="A492" s="263"/>
      <c r="B492" s="259"/>
      <c r="C492" s="259" t="s">
        <v>778</v>
      </c>
      <c r="D492" s="117" t="n">
        <v>296.53</v>
      </c>
      <c r="E492" s="260" t="n">
        <v>3</v>
      </c>
    </row>
    <row r="493" customFormat="false" ht="14.25" hidden="true" customHeight="true" outlineLevel="0" collapsed="false">
      <c r="A493" s="263"/>
      <c r="B493" s="259"/>
      <c r="C493" s="259" t="s">
        <v>779</v>
      </c>
      <c r="D493" s="117" t="n">
        <v>296.53</v>
      </c>
      <c r="E493" s="260" t="n">
        <v>2</v>
      </c>
    </row>
    <row r="494" customFormat="false" ht="14.25" hidden="true" customHeight="true" outlineLevel="0" collapsed="false">
      <c r="A494" s="263"/>
      <c r="B494" s="259"/>
      <c r="C494" s="259" t="s">
        <v>780</v>
      </c>
      <c r="D494" s="117" t="n">
        <v>296.53</v>
      </c>
      <c r="E494" s="260" t="n">
        <v>2</v>
      </c>
    </row>
    <row r="495" customFormat="false" ht="14.25" hidden="true" customHeight="true" outlineLevel="0" collapsed="false">
      <c r="A495" s="263"/>
      <c r="B495" s="259"/>
      <c r="C495" s="259" t="s">
        <v>781</v>
      </c>
      <c r="D495" s="117" t="n">
        <v>296.53</v>
      </c>
      <c r="E495" s="260" t="n">
        <v>2</v>
      </c>
    </row>
    <row r="496" customFormat="false" ht="14.25" hidden="true" customHeight="true" outlineLevel="0" collapsed="false">
      <c r="A496" s="263"/>
      <c r="B496" s="259"/>
      <c r="C496" s="259" t="s">
        <v>782</v>
      </c>
      <c r="D496" s="117" t="n">
        <v>296.53</v>
      </c>
      <c r="E496" s="260" t="n">
        <v>2</v>
      </c>
    </row>
    <row r="497" customFormat="false" ht="14.25" hidden="true" customHeight="true" outlineLevel="0" collapsed="false">
      <c r="A497" s="263"/>
      <c r="B497" s="259"/>
      <c r="C497" s="259" t="s">
        <v>783</v>
      </c>
      <c r="D497" s="117" t="n">
        <v>296.53</v>
      </c>
      <c r="E497" s="260" t="n">
        <v>1</v>
      </c>
    </row>
    <row r="498" customFormat="false" ht="14.25" hidden="true" customHeight="true" outlineLevel="0" collapsed="false">
      <c r="A498" s="263"/>
      <c r="B498" s="259"/>
      <c r="C498" s="259" t="s">
        <v>784</v>
      </c>
      <c r="D498" s="117" t="n">
        <v>296.53</v>
      </c>
      <c r="E498" s="260" t="n">
        <v>3</v>
      </c>
    </row>
    <row r="499" customFormat="false" ht="14.25" hidden="true" customHeight="true" outlineLevel="0" collapsed="false">
      <c r="A499" s="263"/>
      <c r="B499" s="259"/>
      <c r="C499" s="259" t="s">
        <v>785</v>
      </c>
      <c r="D499" s="117" t="n">
        <v>296.53</v>
      </c>
      <c r="E499" s="260" t="n">
        <v>2</v>
      </c>
    </row>
    <row r="500" customFormat="false" ht="14.25" hidden="true" customHeight="true" outlineLevel="0" collapsed="false">
      <c r="A500" s="263"/>
      <c r="B500" s="259"/>
      <c r="C500" s="259" t="s">
        <v>786</v>
      </c>
      <c r="D500" s="117" t="n">
        <v>296.53</v>
      </c>
      <c r="E500" s="260" t="n">
        <v>2</v>
      </c>
    </row>
    <row r="501" customFormat="false" ht="14.25" hidden="true" customHeight="true" outlineLevel="0" collapsed="false">
      <c r="A501" s="263"/>
      <c r="B501" s="259"/>
      <c r="C501" s="259" t="s">
        <v>787</v>
      </c>
      <c r="D501" s="117" t="n">
        <v>296.53</v>
      </c>
      <c r="E501" s="260" t="n">
        <v>2</v>
      </c>
    </row>
    <row r="502" customFormat="false" ht="14.25" hidden="true" customHeight="true" outlineLevel="0" collapsed="false">
      <c r="A502" s="263"/>
      <c r="B502" s="259"/>
      <c r="C502" s="259" t="s">
        <v>788</v>
      </c>
      <c r="D502" s="117" t="n">
        <v>296.53</v>
      </c>
      <c r="E502" s="260" t="n">
        <v>1</v>
      </c>
    </row>
    <row r="503" customFormat="false" ht="14.25" hidden="true" customHeight="true" outlineLevel="0" collapsed="false">
      <c r="A503" s="263"/>
      <c r="B503" s="259"/>
      <c r="C503" s="259" t="s">
        <v>789</v>
      </c>
      <c r="D503" s="117" t="n">
        <v>296.53</v>
      </c>
      <c r="E503" s="260" t="n">
        <v>2</v>
      </c>
    </row>
    <row r="504" customFormat="false" ht="14.25" hidden="true" customHeight="true" outlineLevel="0" collapsed="false">
      <c r="A504" s="263"/>
      <c r="B504" s="259"/>
      <c r="C504" s="259" t="s">
        <v>790</v>
      </c>
      <c r="D504" s="117" t="n">
        <v>296.53</v>
      </c>
      <c r="E504" s="260" t="n">
        <v>2</v>
      </c>
    </row>
    <row r="505" customFormat="false" ht="14.25" hidden="true" customHeight="true" outlineLevel="0" collapsed="false">
      <c r="A505" s="263"/>
      <c r="B505" s="259"/>
      <c r="C505" s="259" t="s">
        <v>791</v>
      </c>
      <c r="D505" s="117" t="n">
        <v>296.53</v>
      </c>
      <c r="E505" s="260" t="n">
        <v>2</v>
      </c>
    </row>
    <row r="506" customFormat="false" ht="14.25" hidden="true" customHeight="true" outlineLevel="0" collapsed="false">
      <c r="A506" s="263"/>
      <c r="B506" s="259"/>
      <c r="C506" s="259" t="s">
        <v>792</v>
      </c>
      <c r="D506" s="117" t="n">
        <v>296.53</v>
      </c>
      <c r="E506" s="260" t="n">
        <v>2</v>
      </c>
    </row>
    <row r="507" customFormat="false" ht="14.25" hidden="true" customHeight="true" outlineLevel="0" collapsed="false">
      <c r="A507" s="263"/>
      <c r="B507" s="259"/>
      <c r="C507" s="259" t="s">
        <v>793</v>
      </c>
      <c r="D507" s="117" t="n">
        <v>296.53</v>
      </c>
      <c r="E507" s="260" t="n">
        <v>2</v>
      </c>
    </row>
    <row r="508" customFormat="false" ht="14.25" hidden="true" customHeight="true" outlineLevel="0" collapsed="false">
      <c r="A508" s="263"/>
      <c r="B508" s="259"/>
      <c r="C508" s="259" t="s">
        <v>794</v>
      </c>
      <c r="D508" s="117" t="n">
        <v>296.53</v>
      </c>
      <c r="E508" s="260" t="n">
        <v>2</v>
      </c>
    </row>
    <row r="509" customFormat="false" ht="14.25" hidden="true" customHeight="true" outlineLevel="0" collapsed="false">
      <c r="A509" s="263"/>
      <c r="B509" s="259"/>
      <c r="C509" s="259" t="s">
        <v>795</v>
      </c>
      <c r="D509" s="117" t="n">
        <v>296.53</v>
      </c>
      <c r="E509" s="260" t="n">
        <v>2</v>
      </c>
    </row>
    <row r="510" customFormat="false" ht="14.25" hidden="true" customHeight="true" outlineLevel="0" collapsed="false">
      <c r="A510" s="263"/>
      <c r="B510" s="259"/>
      <c r="C510" s="259" t="s">
        <v>796</v>
      </c>
      <c r="D510" s="117" t="n">
        <v>296.53</v>
      </c>
      <c r="E510" s="260" t="n">
        <v>1</v>
      </c>
    </row>
    <row r="511" customFormat="false" ht="14.25" hidden="true" customHeight="true" outlineLevel="0" collapsed="false">
      <c r="A511" s="263"/>
      <c r="B511" s="259"/>
      <c r="C511" s="259" t="s">
        <v>797</v>
      </c>
      <c r="D511" s="117" t="n">
        <v>296.53</v>
      </c>
      <c r="E511" s="260" t="n">
        <v>1</v>
      </c>
    </row>
    <row r="512" customFormat="false" ht="14.25" hidden="true" customHeight="true" outlineLevel="0" collapsed="false">
      <c r="A512" s="263"/>
      <c r="B512" s="259"/>
      <c r="C512" s="259" t="s">
        <v>798</v>
      </c>
      <c r="D512" s="117" t="n">
        <v>296.53</v>
      </c>
      <c r="E512" s="260" t="n">
        <v>2</v>
      </c>
    </row>
    <row r="513" customFormat="false" ht="14.25" hidden="true" customHeight="true" outlineLevel="0" collapsed="false">
      <c r="A513" s="263"/>
      <c r="B513" s="259"/>
      <c r="C513" s="259" t="s">
        <v>799</v>
      </c>
      <c r="D513" s="117" t="n">
        <v>296.53</v>
      </c>
      <c r="E513" s="260" t="n">
        <v>2</v>
      </c>
    </row>
    <row r="514" customFormat="false" ht="14.25" hidden="true" customHeight="true" outlineLevel="0" collapsed="false">
      <c r="A514" s="263"/>
      <c r="B514" s="259"/>
      <c r="C514" s="259" t="s">
        <v>800</v>
      </c>
      <c r="D514" s="117" t="n">
        <v>296.53</v>
      </c>
      <c r="E514" s="260" t="n">
        <v>2</v>
      </c>
    </row>
    <row r="515" customFormat="false" ht="14.25" hidden="true" customHeight="true" outlineLevel="0" collapsed="false">
      <c r="A515" s="263"/>
      <c r="B515" s="259"/>
      <c r="C515" s="259" t="s">
        <v>801</v>
      </c>
      <c r="D515" s="117" t="n">
        <v>296.53</v>
      </c>
      <c r="E515" s="260" t="n">
        <v>3</v>
      </c>
    </row>
    <row r="516" customFormat="false" ht="14.25" hidden="true" customHeight="true" outlineLevel="0" collapsed="false">
      <c r="A516" s="263"/>
      <c r="B516" s="259"/>
      <c r="C516" s="259" t="s">
        <v>802</v>
      </c>
      <c r="D516" s="117" t="n">
        <v>296.53</v>
      </c>
      <c r="E516" s="260" t="n">
        <v>2</v>
      </c>
    </row>
    <row r="517" customFormat="false" ht="14.25" hidden="true" customHeight="true" outlineLevel="0" collapsed="false">
      <c r="A517" s="263"/>
      <c r="B517" s="259"/>
      <c r="C517" s="259" t="s">
        <v>803</v>
      </c>
      <c r="D517" s="117" t="n">
        <v>296.53</v>
      </c>
      <c r="E517" s="260" t="n">
        <v>2</v>
      </c>
    </row>
    <row r="518" customFormat="false" ht="14.25" hidden="true" customHeight="true" outlineLevel="0" collapsed="false">
      <c r="A518" s="263"/>
      <c r="B518" s="259"/>
      <c r="C518" s="259" t="s">
        <v>804</v>
      </c>
      <c r="D518" s="117" t="n">
        <v>296.53</v>
      </c>
      <c r="E518" s="260" t="n">
        <v>2</v>
      </c>
    </row>
    <row r="519" customFormat="false" ht="14.25" hidden="true" customHeight="true" outlineLevel="0" collapsed="false">
      <c r="A519" s="263"/>
      <c r="B519" s="259"/>
      <c r="C519" s="259" t="s">
        <v>805</v>
      </c>
      <c r="D519" s="117" t="n">
        <v>296.53</v>
      </c>
      <c r="E519" s="260" t="n">
        <v>2</v>
      </c>
    </row>
    <row r="520" customFormat="false" ht="14.25" hidden="true" customHeight="true" outlineLevel="0" collapsed="false">
      <c r="A520" s="263"/>
      <c r="B520" s="259"/>
      <c r="C520" s="259" t="s">
        <v>806</v>
      </c>
      <c r="D520" s="117" t="n">
        <v>296.53</v>
      </c>
      <c r="E520" s="260" t="n">
        <v>2</v>
      </c>
    </row>
    <row r="521" customFormat="false" ht="14.25" hidden="true" customHeight="true" outlineLevel="0" collapsed="false">
      <c r="A521" s="263"/>
      <c r="B521" s="259"/>
      <c r="C521" s="259" t="s">
        <v>807</v>
      </c>
      <c r="D521" s="117" t="n">
        <v>296.53</v>
      </c>
      <c r="E521" s="260" t="n">
        <v>1</v>
      </c>
    </row>
    <row r="522" customFormat="false" ht="14.25" hidden="true" customHeight="true" outlineLevel="0" collapsed="false">
      <c r="A522" s="263"/>
      <c r="B522" s="259"/>
      <c r="C522" s="259" t="s">
        <v>808</v>
      </c>
      <c r="D522" s="117" t="n">
        <v>296.53</v>
      </c>
      <c r="E522" s="260" t="n">
        <v>2</v>
      </c>
    </row>
    <row r="523" customFormat="false" ht="14.25" hidden="true" customHeight="true" outlineLevel="0" collapsed="false">
      <c r="A523" s="263"/>
      <c r="B523" s="259"/>
      <c r="C523" s="259" t="s">
        <v>809</v>
      </c>
      <c r="D523" s="117" t="n">
        <v>296.53</v>
      </c>
      <c r="E523" s="260" t="n">
        <v>2</v>
      </c>
    </row>
    <row r="524" customFormat="false" ht="14.25" hidden="true" customHeight="true" outlineLevel="0" collapsed="false">
      <c r="A524" s="263"/>
      <c r="B524" s="259"/>
      <c r="C524" s="259" t="s">
        <v>810</v>
      </c>
      <c r="D524" s="117" t="n">
        <v>296.53</v>
      </c>
      <c r="E524" s="260" t="n">
        <v>1</v>
      </c>
    </row>
    <row r="525" customFormat="false" ht="14.25" hidden="true" customHeight="true" outlineLevel="0" collapsed="false">
      <c r="A525" s="263"/>
      <c r="B525" s="259"/>
      <c r="C525" s="259" t="s">
        <v>811</v>
      </c>
      <c r="D525" s="117" t="n">
        <v>296.53</v>
      </c>
      <c r="E525" s="260" t="n">
        <v>1</v>
      </c>
    </row>
    <row r="526" customFormat="false" ht="14.25" hidden="true" customHeight="true" outlineLevel="0" collapsed="false">
      <c r="A526" s="263"/>
      <c r="B526" s="259"/>
      <c r="C526" s="259" t="s">
        <v>812</v>
      </c>
      <c r="D526" s="117" t="n">
        <v>296.53</v>
      </c>
      <c r="E526" s="260" t="n">
        <v>3</v>
      </c>
    </row>
    <row r="527" customFormat="false" ht="14.25" hidden="true" customHeight="true" outlineLevel="0" collapsed="false">
      <c r="A527" s="263"/>
      <c r="B527" s="259"/>
      <c r="C527" s="259" t="s">
        <v>813</v>
      </c>
      <c r="D527" s="117" t="n">
        <v>296.53</v>
      </c>
      <c r="E527" s="260" t="n">
        <v>2</v>
      </c>
    </row>
    <row r="528" customFormat="false" ht="14.25" hidden="true" customHeight="true" outlineLevel="0" collapsed="false">
      <c r="A528" s="263"/>
      <c r="B528" s="259"/>
      <c r="C528" s="259" t="s">
        <v>814</v>
      </c>
      <c r="D528" s="117" t="n">
        <v>296.53</v>
      </c>
      <c r="E528" s="260" t="n">
        <v>2</v>
      </c>
    </row>
    <row r="529" customFormat="false" ht="14.25" hidden="true" customHeight="true" outlineLevel="0" collapsed="false">
      <c r="A529" s="263"/>
      <c r="B529" s="259"/>
      <c r="C529" s="259" t="s">
        <v>815</v>
      </c>
      <c r="D529" s="117" t="n">
        <v>296.53</v>
      </c>
      <c r="E529" s="260" t="n">
        <v>2</v>
      </c>
    </row>
    <row r="530" customFormat="false" ht="14.25" hidden="true" customHeight="true" outlineLevel="0" collapsed="false">
      <c r="A530" s="263"/>
      <c r="B530" s="259"/>
      <c r="C530" s="259" t="s">
        <v>816</v>
      </c>
      <c r="D530" s="117" t="n">
        <v>296.53</v>
      </c>
      <c r="E530" s="260" t="n">
        <v>3</v>
      </c>
    </row>
    <row r="531" customFormat="false" ht="14.25" hidden="true" customHeight="true" outlineLevel="0" collapsed="false">
      <c r="A531" s="263"/>
      <c r="B531" s="259"/>
      <c r="C531" s="259" t="s">
        <v>817</v>
      </c>
      <c r="D531" s="117" t="n">
        <v>296.53</v>
      </c>
      <c r="E531" s="260" t="n">
        <v>2</v>
      </c>
    </row>
    <row r="532" customFormat="false" ht="14.25" hidden="true" customHeight="true" outlineLevel="0" collapsed="false">
      <c r="A532" s="263"/>
      <c r="B532" s="259"/>
      <c r="C532" s="259" t="s">
        <v>818</v>
      </c>
      <c r="D532" s="117" t="n">
        <v>296.53</v>
      </c>
      <c r="E532" s="260" t="n">
        <v>2</v>
      </c>
    </row>
    <row r="533" customFormat="false" ht="14.25" hidden="true" customHeight="true" outlineLevel="0" collapsed="false">
      <c r="A533" s="263"/>
      <c r="B533" s="259"/>
      <c r="C533" s="259" t="s">
        <v>819</v>
      </c>
      <c r="D533" s="117" t="n">
        <v>296.53</v>
      </c>
      <c r="E533" s="260" t="n">
        <v>2</v>
      </c>
    </row>
    <row r="534" customFormat="false" ht="14.25" hidden="true" customHeight="true" outlineLevel="0" collapsed="false">
      <c r="A534" s="263"/>
      <c r="B534" s="259"/>
      <c r="C534" s="259" t="s">
        <v>820</v>
      </c>
      <c r="D534" s="117" t="n">
        <v>296.53</v>
      </c>
      <c r="E534" s="260" t="n">
        <v>2</v>
      </c>
    </row>
    <row r="535" customFormat="false" ht="14.25" hidden="true" customHeight="true" outlineLevel="0" collapsed="false">
      <c r="A535" s="263"/>
      <c r="B535" s="259"/>
      <c r="C535" s="259" t="s">
        <v>821</v>
      </c>
      <c r="D535" s="117" t="n">
        <v>296.53</v>
      </c>
      <c r="E535" s="260" t="n">
        <v>2</v>
      </c>
    </row>
    <row r="536" customFormat="false" ht="14.25" hidden="true" customHeight="true" outlineLevel="0" collapsed="false">
      <c r="A536" s="263"/>
      <c r="B536" s="259"/>
      <c r="C536" s="259" t="s">
        <v>822</v>
      </c>
      <c r="D536" s="117" t="n">
        <v>296.53</v>
      </c>
      <c r="E536" s="260" t="n">
        <v>2</v>
      </c>
    </row>
    <row r="537" customFormat="false" ht="14.25" hidden="true" customHeight="true" outlineLevel="0" collapsed="false">
      <c r="A537" s="263"/>
      <c r="B537" s="259"/>
      <c r="C537" s="259" t="s">
        <v>823</v>
      </c>
      <c r="D537" s="117" t="n">
        <v>296.53</v>
      </c>
      <c r="E537" s="260" t="n">
        <v>2</v>
      </c>
    </row>
    <row r="538" customFormat="false" ht="14.25" hidden="true" customHeight="true" outlineLevel="0" collapsed="false">
      <c r="A538" s="263"/>
      <c r="B538" s="259"/>
      <c r="C538" s="259" t="s">
        <v>824</v>
      </c>
      <c r="D538" s="117" t="n">
        <v>296.53</v>
      </c>
      <c r="E538" s="260" t="n">
        <v>2</v>
      </c>
    </row>
    <row r="539" customFormat="false" ht="14.25" hidden="true" customHeight="true" outlineLevel="0" collapsed="false">
      <c r="A539" s="263"/>
      <c r="B539" s="259"/>
      <c r="C539" s="259" t="s">
        <v>825</v>
      </c>
      <c r="D539" s="117" t="n">
        <v>296.53</v>
      </c>
      <c r="E539" s="260" t="n">
        <v>2</v>
      </c>
    </row>
    <row r="540" customFormat="false" ht="14.25" hidden="true" customHeight="true" outlineLevel="0" collapsed="false">
      <c r="A540" s="263"/>
      <c r="B540" s="259"/>
      <c r="C540" s="259" t="s">
        <v>826</v>
      </c>
      <c r="D540" s="117" t="n">
        <v>296.53</v>
      </c>
      <c r="E540" s="260" t="n">
        <v>2</v>
      </c>
    </row>
    <row r="541" customFormat="false" ht="14.25" hidden="true" customHeight="true" outlineLevel="0" collapsed="false">
      <c r="A541" s="263"/>
      <c r="B541" s="259"/>
      <c r="C541" s="259" t="s">
        <v>827</v>
      </c>
      <c r="D541" s="117" t="n">
        <v>296.53</v>
      </c>
      <c r="E541" s="260" t="n">
        <v>1</v>
      </c>
    </row>
    <row r="542" customFormat="false" ht="14.25" hidden="true" customHeight="true" outlineLevel="0" collapsed="false">
      <c r="A542" s="263"/>
      <c r="B542" s="259"/>
      <c r="C542" s="259" t="s">
        <v>828</v>
      </c>
      <c r="D542" s="117" t="n">
        <v>296.52</v>
      </c>
      <c r="E542" s="260" t="n">
        <v>3</v>
      </c>
    </row>
    <row r="543" customFormat="false" ht="14.25" hidden="true" customHeight="true" outlineLevel="0" collapsed="false">
      <c r="A543" s="263"/>
      <c r="B543" s="259"/>
      <c r="C543" s="259" t="s">
        <v>829</v>
      </c>
      <c r="D543" s="117" t="n">
        <v>296.52</v>
      </c>
      <c r="E543" s="260" t="n">
        <v>2</v>
      </c>
    </row>
    <row r="544" customFormat="false" ht="14.25" hidden="true" customHeight="true" outlineLevel="0" collapsed="false">
      <c r="A544" s="263"/>
      <c r="B544" s="259"/>
      <c r="C544" s="259" t="s">
        <v>830</v>
      </c>
      <c r="D544" s="117" t="n">
        <v>296.52</v>
      </c>
      <c r="E544" s="260" t="n">
        <v>2</v>
      </c>
    </row>
    <row r="545" customFormat="false" ht="14.25" hidden="true" customHeight="true" outlineLevel="0" collapsed="false">
      <c r="A545" s="263"/>
      <c r="B545" s="259"/>
      <c r="C545" s="259" t="s">
        <v>831</v>
      </c>
      <c r="D545" s="117" t="n">
        <v>296.52</v>
      </c>
      <c r="E545" s="260" t="n">
        <v>2</v>
      </c>
    </row>
    <row r="546" customFormat="false" ht="14.25" hidden="true" customHeight="true" outlineLevel="0" collapsed="false">
      <c r="A546" s="263"/>
      <c r="B546" s="259"/>
      <c r="C546" s="259" t="s">
        <v>832</v>
      </c>
      <c r="D546" s="117" t="n">
        <v>296.52</v>
      </c>
      <c r="E546" s="260" t="n">
        <v>2</v>
      </c>
    </row>
    <row r="547" customFormat="false" ht="14.25" hidden="true" customHeight="true" outlineLevel="0" collapsed="false">
      <c r="A547" s="263"/>
      <c r="B547" s="259"/>
      <c r="C547" s="259" t="s">
        <v>833</v>
      </c>
      <c r="D547" s="117" t="n">
        <v>296.52</v>
      </c>
      <c r="E547" s="260" t="n">
        <v>2</v>
      </c>
    </row>
    <row r="548" customFormat="false" ht="14.25" hidden="true" customHeight="true" outlineLevel="0" collapsed="false">
      <c r="A548" s="263"/>
      <c r="B548" s="259"/>
      <c r="C548" s="259" t="s">
        <v>834</v>
      </c>
      <c r="D548" s="117" t="n">
        <v>296.52</v>
      </c>
      <c r="E548" s="260" t="n">
        <v>2</v>
      </c>
    </row>
    <row r="549" customFormat="false" ht="14.25" hidden="true" customHeight="true" outlineLevel="0" collapsed="false">
      <c r="A549" s="263"/>
      <c r="B549" s="259"/>
      <c r="C549" s="259" t="s">
        <v>835</v>
      </c>
      <c r="D549" s="117" t="n">
        <v>296.52</v>
      </c>
      <c r="E549" s="260" t="n">
        <v>2</v>
      </c>
    </row>
    <row r="550" customFormat="false" ht="14.25" hidden="true" customHeight="true" outlineLevel="0" collapsed="false">
      <c r="A550" s="263"/>
      <c r="B550" s="259"/>
      <c r="C550" s="259" t="s">
        <v>836</v>
      </c>
      <c r="D550" s="117" t="n">
        <v>296.52</v>
      </c>
      <c r="E550" s="260" t="n">
        <v>2</v>
      </c>
    </row>
    <row r="551" customFormat="false" ht="14.25" hidden="true" customHeight="true" outlineLevel="0" collapsed="false">
      <c r="A551" s="263"/>
      <c r="B551" s="259"/>
      <c r="C551" s="259" t="s">
        <v>837</v>
      </c>
      <c r="D551" s="117" t="n">
        <v>296.52</v>
      </c>
      <c r="E551" s="260" t="n">
        <v>2</v>
      </c>
    </row>
    <row r="552" customFormat="false" ht="14.25" hidden="true" customHeight="true" outlineLevel="0" collapsed="false">
      <c r="A552" s="263"/>
      <c r="B552" s="259"/>
      <c r="C552" s="259" t="s">
        <v>838</v>
      </c>
      <c r="D552" s="117" t="n">
        <v>296.52</v>
      </c>
      <c r="E552" s="260" t="n">
        <v>2</v>
      </c>
    </row>
    <row r="553" customFormat="false" ht="14.25" hidden="true" customHeight="true" outlineLevel="0" collapsed="false">
      <c r="A553" s="263"/>
      <c r="B553" s="259"/>
      <c r="C553" s="259" t="s">
        <v>839</v>
      </c>
      <c r="D553" s="117" t="n">
        <v>296.52</v>
      </c>
      <c r="E553" s="260" t="n">
        <v>1</v>
      </c>
    </row>
    <row r="554" customFormat="false" ht="14.25" hidden="true" customHeight="true" outlineLevel="0" collapsed="false">
      <c r="A554" s="263"/>
      <c r="B554" s="259"/>
      <c r="C554" s="259" t="s">
        <v>840</v>
      </c>
      <c r="D554" s="117" t="n">
        <v>296.52</v>
      </c>
      <c r="E554" s="260" t="n">
        <v>2</v>
      </c>
    </row>
    <row r="555" customFormat="false" ht="14.25" hidden="true" customHeight="true" outlineLevel="0" collapsed="false">
      <c r="A555" s="263"/>
      <c r="B555" s="259"/>
      <c r="C555" s="259" t="s">
        <v>841</v>
      </c>
      <c r="D555" s="117" t="n">
        <v>296.52</v>
      </c>
      <c r="E555" s="260" t="n">
        <v>2</v>
      </c>
    </row>
    <row r="556" customFormat="false" ht="14.25" hidden="true" customHeight="true" outlineLevel="0" collapsed="false">
      <c r="A556" s="263"/>
      <c r="B556" s="259"/>
      <c r="C556" s="259" t="s">
        <v>842</v>
      </c>
      <c r="D556" s="117" t="n">
        <v>296.52</v>
      </c>
      <c r="E556" s="260" t="n">
        <v>2</v>
      </c>
    </row>
    <row r="557" customFormat="false" ht="14.25" hidden="true" customHeight="true" outlineLevel="0" collapsed="false">
      <c r="A557" s="263"/>
      <c r="B557" s="259"/>
      <c r="C557" s="259" t="s">
        <v>843</v>
      </c>
      <c r="D557" s="117" t="n">
        <v>296.52</v>
      </c>
      <c r="E557" s="260" t="n">
        <v>2</v>
      </c>
    </row>
    <row r="558" customFormat="false" ht="14.25" hidden="true" customHeight="true" outlineLevel="0" collapsed="false">
      <c r="A558" s="263"/>
      <c r="B558" s="259"/>
      <c r="C558" s="259" t="s">
        <v>844</v>
      </c>
      <c r="D558" s="117" t="n">
        <v>296.52</v>
      </c>
      <c r="E558" s="260" t="n">
        <v>2</v>
      </c>
    </row>
    <row r="559" customFormat="false" ht="14.25" hidden="true" customHeight="true" outlineLevel="0" collapsed="false">
      <c r="A559" s="263"/>
      <c r="B559" s="259"/>
      <c r="C559" s="259" t="s">
        <v>845</v>
      </c>
      <c r="D559" s="117" t="n">
        <v>296.52</v>
      </c>
      <c r="E559" s="260" t="n">
        <v>2</v>
      </c>
    </row>
    <row r="560" customFormat="false" ht="14.25" hidden="true" customHeight="true" outlineLevel="0" collapsed="false">
      <c r="A560" s="263"/>
      <c r="B560" s="259"/>
      <c r="C560" s="259" t="s">
        <v>846</v>
      </c>
      <c r="D560" s="117" t="n">
        <v>296.52</v>
      </c>
      <c r="E560" s="260" t="n">
        <v>2</v>
      </c>
    </row>
    <row r="561" customFormat="false" ht="14.25" hidden="true" customHeight="true" outlineLevel="0" collapsed="false">
      <c r="A561" s="263"/>
      <c r="B561" s="259"/>
      <c r="C561" s="259" t="s">
        <v>847</v>
      </c>
      <c r="D561" s="117" t="n">
        <v>296.52</v>
      </c>
      <c r="E561" s="260" t="n">
        <v>2</v>
      </c>
    </row>
    <row r="562" customFormat="false" ht="14.25" hidden="true" customHeight="true" outlineLevel="0" collapsed="false">
      <c r="A562" s="263"/>
      <c r="B562" s="259"/>
      <c r="C562" s="259" t="s">
        <v>848</v>
      </c>
      <c r="D562" s="117" t="n">
        <v>296.52</v>
      </c>
      <c r="E562" s="260" t="n">
        <v>2</v>
      </c>
    </row>
    <row r="563" customFormat="false" ht="14.25" hidden="true" customHeight="true" outlineLevel="0" collapsed="false">
      <c r="A563" s="263"/>
      <c r="B563" s="259"/>
      <c r="C563" s="259" t="s">
        <v>849</v>
      </c>
      <c r="D563" s="117" t="n">
        <v>296.52</v>
      </c>
      <c r="E563" s="260" t="n">
        <v>1</v>
      </c>
    </row>
    <row r="564" customFormat="false" ht="14.25" hidden="true" customHeight="true" outlineLevel="0" collapsed="false">
      <c r="A564" s="263"/>
      <c r="B564" s="259"/>
      <c r="C564" s="259" t="s">
        <v>850</v>
      </c>
      <c r="D564" s="117" t="n">
        <v>296.52</v>
      </c>
      <c r="E564" s="260" t="n">
        <v>1</v>
      </c>
    </row>
    <row r="565" customFormat="false" ht="14.25" hidden="true" customHeight="true" outlineLevel="0" collapsed="false">
      <c r="A565" s="263"/>
      <c r="B565" s="259"/>
      <c r="C565" s="259" t="s">
        <v>851</v>
      </c>
      <c r="D565" s="117" t="n">
        <v>296.52</v>
      </c>
      <c r="E565" s="260" t="n">
        <v>2</v>
      </c>
    </row>
    <row r="566" customFormat="false" ht="14.25" hidden="true" customHeight="true" outlineLevel="0" collapsed="false">
      <c r="A566" s="263"/>
      <c r="B566" s="259"/>
      <c r="C566" s="259" t="s">
        <v>852</v>
      </c>
      <c r="D566" s="117" t="n">
        <v>296.52</v>
      </c>
      <c r="E566" s="260" t="n">
        <v>2</v>
      </c>
    </row>
    <row r="567" customFormat="false" ht="14.25" hidden="true" customHeight="true" outlineLevel="0" collapsed="false">
      <c r="A567" s="263"/>
      <c r="B567" s="259"/>
      <c r="C567" s="259" t="s">
        <v>853</v>
      </c>
      <c r="D567" s="117" t="n">
        <v>296.52</v>
      </c>
      <c r="E567" s="260" t="n">
        <v>2</v>
      </c>
    </row>
    <row r="568" customFormat="false" ht="14.25" hidden="true" customHeight="true" outlineLevel="0" collapsed="false">
      <c r="A568" s="263"/>
      <c r="B568" s="259"/>
      <c r="C568" s="259" t="s">
        <v>854</v>
      </c>
      <c r="D568" s="117" t="n">
        <v>296.52</v>
      </c>
      <c r="E568" s="260" t="n">
        <v>2</v>
      </c>
    </row>
    <row r="569" customFormat="false" ht="14.25" hidden="true" customHeight="true" outlineLevel="0" collapsed="false">
      <c r="A569" s="263"/>
      <c r="B569" s="259"/>
      <c r="C569" s="259" t="s">
        <v>855</v>
      </c>
      <c r="D569" s="117" t="n">
        <v>296.52</v>
      </c>
      <c r="E569" s="260" t="n">
        <v>1</v>
      </c>
    </row>
    <row r="570" customFormat="false" ht="14.25" hidden="true" customHeight="true" outlineLevel="0" collapsed="false">
      <c r="A570" s="263"/>
      <c r="B570" s="259"/>
      <c r="C570" s="259" t="s">
        <v>856</v>
      </c>
      <c r="D570" s="117" t="n">
        <v>296.52</v>
      </c>
      <c r="E570" s="260" t="n">
        <v>2</v>
      </c>
    </row>
    <row r="571" customFormat="false" ht="14.25" hidden="true" customHeight="true" outlineLevel="0" collapsed="false">
      <c r="A571" s="263"/>
      <c r="B571" s="259"/>
      <c r="C571" s="259" t="s">
        <v>857</v>
      </c>
      <c r="D571" s="117" t="n">
        <v>296.52</v>
      </c>
      <c r="E571" s="260" t="n">
        <v>3</v>
      </c>
    </row>
    <row r="572" customFormat="false" ht="14.25" hidden="true" customHeight="true" outlineLevel="0" collapsed="false">
      <c r="A572" s="263"/>
      <c r="B572" s="259"/>
      <c r="C572" s="259" t="s">
        <v>858</v>
      </c>
      <c r="D572" s="117" t="n">
        <v>296.52</v>
      </c>
      <c r="E572" s="260" t="n">
        <v>1</v>
      </c>
    </row>
    <row r="573" customFormat="false" ht="14.25" hidden="true" customHeight="true" outlineLevel="0" collapsed="false">
      <c r="A573" s="263"/>
      <c r="B573" s="259"/>
      <c r="C573" s="259" t="s">
        <v>859</v>
      </c>
      <c r="D573" s="117" t="n">
        <v>296.52</v>
      </c>
      <c r="E573" s="260" t="n">
        <v>2</v>
      </c>
    </row>
    <row r="574" customFormat="false" ht="14.25" hidden="true" customHeight="true" outlineLevel="0" collapsed="false">
      <c r="A574" s="263"/>
      <c r="B574" s="259"/>
      <c r="C574" s="259" t="s">
        <v>860</v>
      </c>
      <c r="D574" s="117" t="n">
        <v>296.52</v>
      </c>
      <c r="E574" s="260" t="n">
        <v>2</v>
      </c>
    </row>
    <row r="575" customFormat="false" ht="14.25" hidden="true" customHeight="true" outlineLevel="0" collapsed="false">
      <c r="A575" s="263"/>
      <c r="B575" s="259"/>
      <c r="C575" s="259" t="s">
        <v>861</v>
      </c>
      <c r="D575" s="117" t="n">
        <v>296.52</v>
      </c>
      <c r="E575" s="260" t="n">
        <v>2</v>
      </c>
    </row>
    <row r="576" customFormat="false" ht="14.25" hidden="true" customHeight="true" outlineLevel="0" collapsed="false">
      <c r="A576" s="263"/>
      <c r="B576" s="259"/>
      <c r="C576" s="259" t="s">
        <v>862</v>
      </c>
      <c r="D576" s="117" t="n">
        <v>296.52</v>
      </c>
      <c r="E576" s="260" t="n">
        <v>1</v>
      </c>
    </row>
    <row r="577" customFormat="false" ht="14.25" hidden="true" customHeight="true" outlineLevel="0" collapsed="false">
      <c r="A577" s="263"/>
      <c r="B577" s="259"/>
      <c r="C577" s="259" t="s">
        <v>863</v>
      </c>
      <c r="D577" s="117" t="n">
        <v>296.52</v>
      </c>
      <c r="E577" s="260" t="n">
        <v>4</v>
      </c>
    </row>
    <row r="578" customFormat="false" ht="14.25" hidden="true" customHeight="true" outlineLevel="0" collapsed="false">
      <c r="A578" s="263"/>
      <c r="B578" s="259"/>
      <c r="C578" s="259" t="s">
        <v>864</v>
      </c>
      <c r="D578" s="117" t="n">
        <v>296.52</v>
      </c>
      <c r="E578" s="260" t="n">
        <v>3</v>
      </c>
    </row>
    <row r="579" customFormat="false" ht="14.25" hidden="true" customHeight="true" outlineLevel="0" collapsed="false">
      <c r="A579" s="263"/>
      <c r="B579" s="259"/>
      <c r="C579" s="259" t="s">
        <v>865</v>
      </c>
      <c r="D579" s="117" t="n">
        <v>296.52</v>
      </c>
      <c r="E579" s="260" t="n">
        <v>2</v>
      </c>
    </row>
    <row r="580" customFormat="false" ht="14.25" hidden="true" customHeight="true" outlineLevel="0" collapsed="false">
      <c r="A580" s="263"/>
      <c r="B580" s="259"/>
      <c r="C580" s="259" t="s">
        <v>866</v>
      </c>
      <c r="D580" s="117" t="n">
        <v>296.52</v>
      </c>
      <c r="E580" s="260" t="n">
        <v>2</v>
      </c>
    </row>
    <row r="581" customFormat="false" ht="14.25" hidden="true" customHeight="true" outlineLevel="0" collapsed="false">
      <c r="A581" s="263"/>
      <c r="B581" s="259"/>
      <c r="C581" s="259" t="s">
        <v>867</v>
      </c>
      <c r="D581" s="117" t="n">
        <v>296.52</v>
      </c>
      <c r="E581" s="260" t="n">
        <v>1</v>
      </c>
    </row>
    <row r="582" customFormat="false" ht="14.25" hidden="true" customHeight="true" outlineLevel="0" collapsed="false">
      <c r="A582" s="263"/>
      <c r="B582" s="259"/>
      <c r="C582" s="259" t="s">
        <v>868</v>
      </c>
      <c r="D582" s="117" t="n">
        <v>296.52</v>
      </c>
      <c r="E582" s="260" t="n">
        <v>1</v>
      </c>
    </row>
    <row r="583" customFormat="false" ht="14.25" hidden="true" customHeight="true" outlineLevel="0" collapsed="false">
      <c r="A583" s="263"/>
      <c r="B583" s="259"/>
      <c r="C583" s="259" t="s">
        <v>869</v>
      </c>
      <c r="D583" s="117" t="n">
        <v>296.52</v>
      </c>
      <c r="E583" s="260" t="n">
        <v>2</v>
      </c>
    </row>
    <row r="584" customFormat="false" ht="14.25" hidden="true" customHeight="true" outlineLevel="0" collapsed="false">
      <c r="A584" s="263"/>
      <c r="B584" s="259"/>
      <c r="C584" s="259" t="s">
        <v>870</v>
      </c>
      <c r="D584" s="117" t="n">
        <v>296.52</v>
      </c>
      <c r="E584" s="260" t="n">
        <v>1</v>
      </c>
    </row>
    <row r="585" customFormat="false" ht="14.25" hidden="true" customHeight="true" outlineLevel="0" collapsed="false">
      <c r="A585" s="263"/>
      <c r="B585" s="259"/>
      <c r="C585" s="259" t="s">
        <v>871</v>
      </c>
      <c r="D585" s="117" t="n">
        <v>296.52</v>
      </c>
      <c r="E585" s="260" t="n">
        <v>2</v>
      </c>
    </row>
    <row r="586" customFormat="false" ht="14.25" hidden="true" customHeight="true" outlineLevel="0" collapsed="false">
      <c r="A586" s="263"/>
      <c r="B586" s="259"/>
      <c r="C586" s="259" t="s">
        <v>872</v>
      </c>
      <c r="D586" s="117" t="n">
        <v>296.52</v>
      </c>
      <c r="E586" s="260" t="n">
        <v>2</v>
      </c>
    </row>
    <row r="587" customFormat="false" ht="14.25" hidden="true" customHeight="true" outlineLevel="0" collapsed="false">
      <c r="A587" s="263"/>
      <c r="B587" s="259"/>
      <c r="C587" s="259" t="s">
        <v>873</v>
      </c>
      <c r="D587" s="117" t="n">
        <v>294.25</v>
      </c>
      <c r="E587" s="260" t="n">
        <v>2</v>
      </c>
    </row>
    <row r="588" customFormat="false" ht="14.25" hidden="true" customHeight="true" outlineLevel="0" collapsed="false">
      <c r="A588" s="263"/>
      <c r="B588" s="259"/>
      <c r="C588" s="259" t="s">
        <v>874</v>
      </c>
      <c r="D588" s="117" t="n">
        <v>291.53</v>
      </c>
      <c r="E588" s="260" t="n">
        <v>3</v>
      </c>
    </row>
    <row r="589" customFormat="false" ht="14.25" hidden="true" customHeight="true" outlineLevel="0" collapsed="false">
      <c r="A589" s="263"/>
      <c r="B589" s="259"/>
      <c r="C589" s="259" t="s">
        <v>875</v>
      </c>
      <c r="D589" s="117" t="n">
        <v>291.53</v>
      </c>
      <c r="E589" s="260" t="n">
        <v>3</v>
      </c>
    </row>
    <row r="590" customFormat="false" ht="14.25" hidden="true" customHeight="true" outlineLevel="0" collapsed="false">
      <c r="A590" s="263"/>
      <c r="B590" s="259"/>
      <c r="C590" s="259" t="s">
        <v>876</v>
      </c>
      <c r="D590" s="117" t="n">
        <v>291.53</v>
      </c>
      <c r="E590" s="260" t="n">
        <v>3</v>
      </c>
    </row>
    <row r="591" customFormat="false" ht="14.25" hidden="true" customHeight="true" outlineLevel="0" collapsed="false">
      <c r="A591" s="263"/>
      <c r="B591" s="259"/>
      <c r="C591" s="259" t="s">
        <v>877</v>
      </c>
      <c r="D591" s="117" t="n">
        <v>291.53</v>
      </c>
      <c r="E591" s="260" t="n">
        <v>3</v>
      </c>
    </row>
    <row r="592" customFormat="false" ht="14.25" hidden="true" customHeight="true" outlineLevel="0" collapsed="false">
      <c r="A592" s="263"/>
      <c r="B592" s="259"/>
      <c r="C592" s="259" t="s">
        <v>878</v>
      </c>
      <c r="D592" s="117" t="n">
        <v>291.53</v>
      </c>
      <c r="E592" s="260" t="n">
        <v>3</v>
      </c>
    </row>
    <row r="593" customFormat="false" ht="14.25" hidden="true" customHeight="true" outlineLevel="0" collapsed="false">
      <c r="A593" s="263"/>
      <c r="B593" s="259"/>
      <c r="C593" s="259" t="s">
        <v>879</v>
      </c>
      <c r="D593" s="117" t="n">
        <v>291.53</v>
      </c>
      <c r="E593" s="260" t="n">
        <v>3</v>
      </c>
    </row>
    <row r="594" customFormat="false" ht="14.25" hidden="true" customHeight="true" outlineLevel="0" collapsed="false">
      <c r="A594" s="263"/>
      <c r="B594" s="259"/>
      <c r="C594" s="259" t="s">
        <v>880</v>
      </c>
      <c r="D594" s="117" t="n">
        <v>291.53</v>
      </c>
      <c r="E594" s="260" t="n">
        <v>3</v>
      </c>
    </row>
    <row r="595" customFormat="false" ht="14.25" hidden="true" customHeight="true" outlineLevel="0" collapsed="false">
      <c r="A595" s="263"/>
      <c r="B595" s="259"/>
      <c r="C595" s="259" t="s">
        <v>881</v>
      </c>
      <c r="D595" s="117" t="n">
        <v>291.53</v>
      </c>
      <c r="E595" s="260" t="n">
        <v>3</v>
      </c>
    </row>
    <row r="596" customFormat="false" ht="14.25" hidden="true" customHeight="true" outlineLevel="0" collapsed="false">
      <c r="A596" s="263"/>
      <c r="B596" s="259"/>
      <c r="C596" s="259" t="s">
        <v>882</v>
      </c>
      <c r="D596" s="117" t="n">
        <v>291.53</v>
      </c>
      <c r="E596" s="260" t="n">
        <v>3</v>
      </c>
    </row>
    <row r="597" customFormat="false" ht="14.25" hidden="true" customHeight="true" outlineLevel="0" collapsed="false">
      <c r="A597" s="263"/>
      <c r="B597" s="259"/>
      <c r="C597" s="259" t="s">
        <v>883</v>
      </c>
      <c r="D597" s="117" t="n">
        <v>291.53</v>
      </c>
      <c r="E597" s="260" t="n">
        <v>3</v>
      </c>
    </row>
    <row r="598" customFormat="false" ht="14.25" hidden="true" customHeight="true" outlineLevel="0" collapsed="false">
      <c r="A598" s="263"/>
      <c r="B598" s="259"/>
      <c r="C598" s="259" t="s">
        <v>884</v>
      </c>
      <c r="D598" s="117" t="n">
        <v>291.53</v>
      </c>
      <c r="E598" s="260" t="n">
        <v>3</v>
      </c>
    </row>
    <row r="599" customFormat="false" ht="14.25" hidden="true" customHeight="true" outlineLevel="0" collapsed="false">
      <c r="A599" s="263"/>
      <c r="B599" s="259"/>
      <c r="C599" s="259" t="s">
        <v>885</v>
      </c>
      <c r="D599" s="117" t="n">
        <v>291.53</v>
      </c>
      <c r="E599" s="260" t="n">
        <v>3</v>
      </c>
    </row>
    <row r="600" customFormat="false" ht="14.25" hidden="true" customHeight="true" outlineLevel="0" collapsed="false">
      <c r="A600" s="263"/>
      <c r="B600" s="259"/>
      <c r="C600" s="259" t="s">
        <v>886</v>
      </c>
      <c r="D600" s="117" t="n">
        <v>291.53</v>
      </c>
      <c r="E600" s="260" t="n">
        <v>3</v>
      </c>
    </row>
    <row r="601" customFormat="false" ht="14.25" hidden="true" customHeight="true" outlineLevel="0" collapsed="false">
      <c r="A601" s="263"/>
      <c r="B601" s="259"/>
      <c r="C601" s="259" t="s">
        <v>887</v>
      </c>
      <c r="D601" s="117" t="n">
        <v>287.97</v>
      </c>
      <c r="E601" s="260" t="n">
        <v>2</v>
      </c>
    </row>
    <row r="602" customFormat="false" ht="14.25" hidden="true" customHeight="true" outlineLevel="0" collapsed="false">
      <c r="A602" s="263"/>
      <c r="B602" s="259"/>
      <c r="C602" s="259" t="s">
        <v>888</v>
      </c>
      <c r="D602" s="117" t="n">
        <v>287.97</v>
      </c>
      <c r="E602" s="260" t="n">
        <v>2</v>
      </c>
    </row>
    <row r="603" customFormat="false" ht="14.25" hidden="true" customHeight="true" outlineLevel="0" collapsed="false">
      <c r="A603" s="263"/>
      <c r="B603" s="259"/>
      <c r="C603" s="259" t="s">
        <v>889</v>
      </c>
      <c r="D603" s="117" t="n">
        <v>287.97</v>
      </c>
      <c r="E603" s="260" t="n">
        <v>2</v>
      </c>
    </row>
    <row r="604" customFormat="false" ht="14.25" hidden="true" customHeight="true" outlineLevel="0" collapsed="false">
      <c r="A604" s="263"/>
      <c r="B604" s="259"/>
      <c r="C604" s="259" t="s">
        <v>890</v>
      </c>
      <c r="D604" s="117" t="n">
        <v>287.97</v>
      </c>
      <c r="E604" s="260" t="n">
        <v>2</v>
      </c>
    </row>
    <row r="605" customFormat="false" ht="14.25" hidden="true" customHeight="true" outlineLevel="0" collapsed="false">
      <c r="A605" s="263"/>
      <c r="B605" s="259"/>
      <c r="C605" s="259" t="s">
        <v>891</v>
      </c>
      <c r="D605" s="117" t="n">
        <v>287.97</v>
      </c>
      <c r="E605" s="260" t="n">
        <v>2</v>
      </c>
    </row>
    <row r="606" customFormat="false" ht="14.25" hidden="true" customHeight="true" outlineLevel="0" collapsed="false">
      <c r="A606" s="263"/>
      <c r="B606" s="259"/>
      <c r="C606" s="259" t="s">
        <v>892</v>
      </c>
      <c r="D606" s="117" t="n">
        <v>287.97</v>
      </c>
      <c r="E606" s="260" t="n">
        <v>2</v>
      </c>
    </row>
    <row r="607" customFormat="false" ht="14.25" hidden="true" customHeight="true" outlineLevel="0" collapsed="false">
      <c r="A607" s="263"/>
      <c r="B607" s="259"/>
      <c r="C607" s="259" t="s">
        <v>893</v>
      </c>
      <c r="D607" s="117" t="n">
        <v>287.97</v>
      </c>
      <c r="E607" s="260" t="n">
        <v>2</v>
      </c>
    </row>
    <row r="608" customFormat="false" ht="14.25" hidden="true" customHeight="true" outlineLevel="0" collapsed="false">
      <c r="A608" s="263"/>
      <c r="B608" s="259"/>
      <c r="C608" s="259" t="s">
        <v>894</v>
      </c>
      <c r="D608" s="117" t="n">
        <v>287.97</v>
      </c>
      <c r="E608" s="260" t="n">
        <v>2</v>
      </c>
    </row>
    <row r="609" customFormat="false" ht="14.25" hidden="true" customHeight="true" outlineLevel="0" collapsed="false">
      <c r="A609" s="263"/>
      <c r="B609" s="259"/>
      <c r="C609" s="259" t="s">
        <v>895</v>
      </c>
      <c r="D609" s="117" t="n">
        <v>287.97</v>
      </c>
      <c r="E609" s="260" t="n">
        <v>2</v>
      </c>
    </row>
    <row r="610" customFormat="false" ht="14.25" hidden="true" customHeight="true" outlineLevel="0" collapsed="false">
      <c r="A610" s="263"/>
      <c r="B610" s="259"/>
      <c r="C610" s="259" t="s">
        <v>896</v>
      </c>
      <c r="D610" s="117" t="n">
        <v>287.96</v>
      </c>
      <c r="E610" s="260" t="n">
        <v>2</v>
      </c>
    </row>
    <row r="611" customFormat="false" ht="14.25" hidden="true" customHeight="true" outlineLevel="0" collapsed="false">
      <c r="A611" s="263"/>
      <c r="B611" s="259"/>
      <c r="C611" s="259" t="s">
        <v>897</v>
      </c>
      <c r="D611" s="117" t="n">
        <v>287.96</v>
      </c>
      <c r="E611" s="260" t="n">
        <v>2</v>
      </c>
    </row>
    <row r="612" customFormat="false" ht="14.25" hidden="true" customHeight="true" outlineLevel="0" collapsed="false">
      <c r="A612" s="263"/>
      <c r="B612" s="259"/>
      <c r="C612" s="259" t="s">
        <v>898</v>
      </c>
      <c r="D612" s="117" t="n">
        <v>287.96</v>
      </c>
      <c r="E612" s="260" t="n">
        <v>2</v>
      </c>
    </row>
    <row r="613" customFormat="false" ht="14.25" hidden="true" customHeight="true" outlineLevel="0" collapsed="false">
      <c r="A613" s="263"/>
      <c r="B613" s="259"/>
      <c r="C613" s="259" t="s">
        <v>899</v>
      </c>
      <c r="D613" s="117" t="n">
        <v>287.96</v>
      </c>
      <c r="E613" s="260" t="n">
        <v>2</v>
      </c>
    </row>
    <row r="614" customFormat="false" ht="14.25" hidden="true" customHeight="true" outlineLevel="0" collapsed="false">
      <c r="A614" s="263"/>
      <c r="B614" s="259"/>
      <c r="C614" s="259" t="s">
        <v>900</v>
      </c>
      <c r="D614" s="117" t="n">
        <v>287.96</v>
      </c>
      <c r="E614" s="260" t="n">
        <v>2</v>
      </c>
    </row>
    <row r="615" customFormat="false" ht="14.25" hidden="true" customHeight="true" outlineLevel="0" collapsed="false">
      <c r="A615" s="263"/>
      <c r="B615" s="259"/>
      <c r="C615" s="259" t="s">
        <v>901</v>
      </c>
      <c r="D615" s="117" t="n">
        <v>287.96</v>
      </c>
      <c r="E615" s="260" t="n">
        <v>2</v>
      </c>
    </row>
    <row r="616" customFormat="false" ht="14.25" hidden="true" customHeight="true" outlineLevel="0" collapsed="false">
      <c r="A616" s="263"/>
      <c r="B616" s="259"/>
      <c r="C616" s="259" t="s">
        <v>902</v>
      </c>
      <c r="D616" s="117" t="n">
        <v>287.96</v>
      </c>
      <c r="E616" s="260" t="n">
        <v>2</v>
      </c>
    </row>
    <row r="617" customFormat="false" ht="14.25" hidden="true" customHeight="true" outlineLevel="0" collapsed="false">
      <c r="A617" s="263"/>
      <c r="B617" s="259"/>
      <c r="C617" s="259" t="s">
        <v>903</v>
      </c>
      <c r="D617" s="117" t="n">
        <v>287.96</v>
      </c>
      <c r="E617" s="260" t="n">
        <v>2</v>
      </c>
    </row>
    <row r="618" customFormat="false" ht="14.25" hidden="true" customHeight="true" outlineLevel="0" collapsed="false">
      <c r="A618" s="263"/>
      <c r="B618" s="259"/>
      <c r="C618" s="259" t="s">
        <v>904</v>
      </c>
      <c r="D618" s="117" t="n">
        <v>287.88</v>
      </c>
      <c r="E618" s="260" t="n">
        <v>3</v>
      </c>
    </row>
    <row r="619" customFormat="false" ht="14.25" hidden="true" customHeight="true" outlineLevel="0" collapsed="false">
      <c r="A619" s="263"/>
      <c r="B619" s="259"/>
      <c r="C619" s="259" t="s">
        <v>905</v>
      </c>
      <c r="D619" s="117" t="n">
        <v>285.71</v>
      </c>
      <c r="E619" s="260" t="n">
        <v>4</v>
      </c>
    </row>
    <row r="620" customFormat="false" ht="14.25" hidden="true" customHeight="true" outlineLevel="0" collapsed="false">
      <c r="A620" s="263"/>
      <c r="B620" s="259"/>
      <c r="C620" s="259" t="s">
        <v>906</v>
      </c>
      <c r="D620" s="117" t="n">
        <v>285.25</v>
      </c>
      <c r="E620" s="260" t="n">
        <v>4</v>
      </c>
    </row>
    <row r="621" customFormat="false" ht="14.25" hidden="true" customHeight="true" outlineLevel="0" collapsed="false">
      <c r="A621" s="263"/>
      <c r="B621" s="259"/>
      <c r="C621" s="259" t="s">
        <v>907</v>
      </c>
      <c r="D621" s="117" t="n">
        <v>284.59</v>
      </c>
      <c r="E621" s="260" t="n">
        <v>2</v>
      </c>
    </row>
    <row r="622" customFormat="false" ht="14.25" hidden="true" customHeight="true" outlineLevel="0" collapsed="false">
      <c r="A622" s="263"/>
      <c r="B622" s="259"/>
      <c r="C622" s="259" t="s">
        <v>908</v>
      </c>
      <c r="D622" s="117" t="n">
        <v>283.98</v>
      </c>
      <c r="E622" s="260" t="n">
        <v>9</v>
      </c>
    </row>
    <row r="623" customFormat="false" ht="14.25" hidden="true" customHeight="true" outlineLevel="0" collapsed="false">
      <c r="A623" s="263"/>
      <c r="B623" s="259"/>
      <c r="C623" s="259" t="s">
        <v>909</v>
      </c>
      <c r="D623" s="117" t="n">
        <v>283.81</v>
      </c>
      <c r="E623" s="260" t="n">
        <v>1</v>
      </c>
    </row>
    <row r="624" customFormat="false" ht="14.25" hidden="true" customHeight="true" outlineLevel="0" collapsed="false">
      <c r="A624" s="263"/>
      <c r="B624" s="259"/>
      <c r="C624" s="259" t="s">
        <v>910</v>
      </c>
      <c r="D624" s="117" t="n">
        <v>283.81</v>
      </c>
      <c r="E624" s="260" t="n">
        <v>1</v>
      </c>
    </row>
    <row r="625" customFormat="false" ht="14.25" hidden="true" customHeight="true" outlineLevel="0" collapsed="false">
      <c r="A625" s="263"/>
      <c r="B625" s="259"/>
      <c r="C625" s="259" t="s">
        <v>911</v>
      </c>
      <c r="D625" s="117" t="n">
        <v>283.81</v>
      </c>
      <c r="E625" s="260" t="n">
        <v>1</v>
      </c>
    </row>
    <row r="626" customFormat="false" ht="14.25" hidden="true" customHeight="true" outlineLevel="0" collapsed="false">
      <c r="A626" s="263"/>
      <c r="B626" s="259"/>
      <c r="C626" s="259" t="s">
        <v>912</v>
      </c>
      <c r="D626" s="117" t="n">
        <v>283.81</v>
      </c>
      <c r="E626" s="260" t="n">
        <v>1</v>
      </c>
    </row>
    <row r="627" customFormat="false" ht="14.25" hidden="true" customHeight="true" outlineLevel="0" collapsed="false">
      <c r="A627" s="263"/>
      <c r="B627" s="259"/>
      <c r="C627" s="259" t="s">
        <v>913</v>
      </c>
      <c r="D627" s="117" t="n">
        <v>282.37</v>
      </c>
      <c r="E627" s="260" t="n">
        <v>8</v>
      </c>
    </row>
    <row r="628" customFormat="false" ht="14.25" hidden="true" customHeight="true" outlineLevel="0" collapsed="false">
      <c r="A628" s="263"/>
      <c r="B628" s="259"/>
      <c r="C628" s="259" t="s">
        <v>914</v>
      </c>
      <c r="D628" s="117" t="n">
        <v>282.05</v>
      </c>
      <c r="E628" s="260" t="n">
        <v>2</v>
      </c>
    </row>
    <row r="629" customFormat="false" ht="14.25" hidden="true" customHeight="true" outlineLevel="0" collapsed="false">
      <c r="A629" s="263"/>
      <c r="B629" s="259"/>
      <c r="C629" s="259" t="s">
        <v>915</v>
      </c>
      <c r="D629" s="117" t="n">
        <v>281.9</v>
      </c>
      <c r="E629" s="260" t="n">
        <v>4</v>
      </c>
    </row>
    <row r="630" customFormat="false" ht="14.25" hidden="true" customHeight="true" outlineLevel="0" collapsed="false">
      <c r="A630" s="263"/>
      <c r="B630" s="259"/>
      <c r="C630" s="259" t="s">
        <v>916</v>
      </c>
      <c r="D630" s="117" t="n">
        <v>281.7</v>
      </c>
      <c r="E630" s="260" t="n">
        <v>2</v>
      </c>
    </row>
    <row r="631" customFormat="false" ht="14.25" hidden="true" customHeight="true" outlineLevel="0" collapsed="false">
      <c r="A631" s="263"/>
      <c r="B631" s="259"/>
      <c r="C631" s="259" t="s">
        <v>917</v>
      </c>
      <c r="D631" s="117" t="n">
        <v>281.1</v>
      </c>
      <c r="E631" s="260" t="n">
        <v>3</v>
      </c>
    </row>
    <row r="632" customFormat="false" ht="14.25" hidden="true" customHeight="true" outlineLevel="0" collapsed="false">
      <c r="A632" s="263"/>
      <c r="B632" s="259"/>
      <c r="C632" s="259" t="s">
        <v>918</v>
      </c>
      <c r="D632" s="117" t="n">
        <v>279.51</v>
      </c>
      <c r="E632" s="260" t="n">
        <v>2</v>
      </c>
    </row>
    <row r="633" customFormat="false" ht="14.25" hidden="true" customHeight="true" outlineLevel="0" collapsed="false">
      <c r="A633" s="263"/>
      <c r="B633" s="259"/>
      <c r="C633" s="259" t="s">
        <v>919</v>
      </c>
      <c r="D633" s="117" t="n">
        <v>279.49</v>
      </c>
      <c r="E633" s="260" t="n">
        <v>2</v>
      </c>
    </row>
    <row r="634" customFormat="false" ht="14.25" hidden="true" customHeight="true" outlineLevel="0" collapsed="false">
      <c r="A634" s="263"/>
      <c r="B634" s="259"/>
      <c r="C634" s="259" t="s">
        <v>920</v>
      </c>
      <c r="D634" s="117" t="n">
        <v>277.4</v>
      </c>
      <c r="E634" s="260" t="n">
        <v>3</v>
      </c>
    </row>
    <row r="635" customFormat="false" ht="14.25" hidden="true" customHeight="true" outlineLevel="0" collapsed="false">
      <c r="A635" s="263"/>
      <c r="B635" s="259"/>
      <c r="C635" s="259" t="s">
        <v>921</v>
      </c>
      <c r="D635" s="117" t="n">
        <v>271.05</v>
      </c>
      <c r="E635" s="260" t="n">
        <v>2</v>
      </c>
    </row>
    <row r="636" customFormat="false" ht="14.25" hidden="true" customHeight="true" outlineLevel="0" collapsed="false">
      <c r="A636" s="263"/>
      <c r="B636" s="259"/>
      <c r="C636" s="259" t="s">
        <v>922</v>
      </c>
      <c r="D636" s="117" t="n">
        <v>271.05</v>
      </c>
      <c r="E636" s="260" t="n">
        <v>2</v>
      </c>
    </row>
    <row r="637" customFormat="false" ht="14.25" hidden="true" customHeight="true" outlineLevel="0" collapsed="false">
      <c r="A637" s="263"/>
      <c r="B637" s="259"/>
      <c r="C637" s="259" t="s">
        <v>923</v>
      </c>
      <c r="D637" s="117" t="n">
        <v>271.05</v>
      </c>
      <c r="E637" s="260" t="n">
        <v>2</v>
      </c>
    </row>
    <row r="638" customFormat="false" ht="14.25" hidden="true" customHeight="true" outlineLevel="0" collapsed="false">
      <c r="A638" s="263"/>
      <c r="B638" s="259"/>
      <c r="C638" s="259" t="s">
        <v>924</v>
      </c>
      <c r="D638" s="117" t="n">
        <v>271.05</v>
      </c>
      <c r="E638" s="260" t="n">
        <v>2</v>
      </c>
    </row>
    <row r="639" customFormat="false" ht="14.25" hidden="true" customHeight="true" outlineLevel="0" collapsed="false">
      <c r="A639" s="263"/>
      <c r="B639" s="259"/>
      <c r="C639" s="259" t="s">
        <v>925</v>
      </c>
      <c r="D639" s="117" t="n">
        <v>271.05</v>
      </c>
      <c r="E639" s="260" t="n">
        <v>2</v>
      </c>
    </row>
    <row r="640" customFormat="false" ht="14.25" hidden="true" customHeight="true" outlineLevel="0" collapsed="false">
      <c r="A640" s="263"/>
      <c r="B640" s="259"/>
      <c r="C640" s="259" t="s">
        <v>926</v>
      </c>
      <c r="D640" s="117" t="n">
        <v>270.84</v>
      </c>
      <c r="E640" s="260" t="n">
        <v>4</v>
      </c>
    </row>
    <row r="641" customFormat="false" ht="14.25" hidden="true" customHeight="true" outlineLevel="0" collapsed="false">
      <c r="A641" s="263"/>
      <c r="B641" s="259"/>
      <c r="C641" s="259" t="s">
        <v>927</v>
      </c>
      <c r="D641" s="117" t="n">
        <v>269.24</v>
      </c>
      <c r="E641" s="260" t="n">
        <v>3</v>
      </c>
    </row>
    <row r="642" customFormat="false" ht="14.25" hidden="true" customHeight="true" outlineLevel="0" collapsed="false">
      <c r="A642" s="263"/>
      <c r="B642" s="259"/>
      <c r="C642" s="259" t="s">
        <v>928</v>
      </c>
      <c r="D642" s="117" t="n">
        <v>268.17</v>
      </c>
      <c r="E642" s="260" t="n">
        <v>4</v>
      </c>
    </row>
    <row r="643" customFormat="false" ht="14.25" hidden="true" customHeight="true" outlineLevel="0" collapsed="false">
      <c r="A643" s="263"/>
      <c r="B643" s="259"/>
      <c r="C643" s="259" t="s">
        <v>929</v>
      </c>
      <c r="D643" s="117" t="n">
        <v>267.14</v>
      </c>
      <c r="E643" s="260" t="n">
        <v>4</v>
      </c>
    </row>
    <row r="644" customFormat="false" ht="14.25" hidden="true" customHeight="true" outlineLevel="0" collapsed="false">
      <c r="A644" s="263"/>
      <c r="B644" s="259"/>
      <c r="C644" s="259" t="s">
        <v>930</v>
      </c>
      <c r="D644" s="117" t="n">
        <v>266.87</v>
      </c>
      <c r="E644" s="260" t="n">
        <v>1</v>
      </c>
    </row>
    <row r="645" customFormat="false" ht="14.25" hidden="true" customHeight="true" outlineLevel="0" collapsed="false">
      <c r="A645" s="263"/>
      <c r="B645" s="259"/>
      <c r="C645" s="259" t="s">
        <v>931</v>
      </c>
      <c r="D645" s="117" t="n">
        <v>266.87</v>
      </c>
      <c r="E645" s="260" t="n">
        <v>2</v>
      </c>
    </row>
    <row r="646" customFormat="false" ht="14.25" hidden="true" customHeight="true" outlineLevel="0" collapsed="false">
      <c r="A646" s="263"/>
      <c r="B646" s="259"/>
      <c r="C646" s="259" t="s">
        <v>932</v>
      </c>
      <c r="D646" s="117" t="n">
        <v>266.87</v>
      </c>
      <c r="E646" s="260" t="n">
        <v>2</v>
      </c>
    </row>
    <row r="647" customFormat="false" ht="14.25" hidden="true" customHeight="true" outlineLevel="0" collapsed="false">
      <c r="A647" s="263"/>
      <c r="B647" s="259"/>
      <c r="C647" s="259" t="s">
        <v>933</v>
      </c>
      <c r="D647" s="117" t="n">
        <v>266.87</v>
      </c>
      <c r="E647" s="260" t="n">
        <v>2</v>
      </c>
    </row>
    <row r="648" customFormat="false" ht="14.25" hidden="true" customHeight="true" outlineLevel="0" collapsed="false">
      <c r="A648" s="263"/>
      <c r="B648" s="259"/>
      <c r="C648" s="259" t="s">
        <v>934</v>
      </c>
      <c r="D648" s="117" t="n">
        <v>266.87</v>
      </c>
      <c r="E648" s="260" t="n">
        <v>2</v>
      </c>
    </row>
    <row r="649" customFormat="false" ht="14.25" hidden="true" customHeight="true" outlineLevel="0" collapsed="false">
      <c r="A649" s="263"/>
      <c r="B649" s="259"/>
      <c r="C649" s="259" t="s">
        <v>935</v>
      </c>
      <c r="D649" s="117" t="n">
        <v>266.87</v>
      </c>
      <c r="E649" s="260" t="n">
        <v>2</v>
      </c>
    </row>
    <row r="650" customFormat="false" ht="14.25" hidden="true" customHeight="true" outlineLevel="0" collapsed="false">
      <c r="A650" s="263"/>
      <c r="B650" s="259"/>
      <c r="C650" s="259" t="s">
        <v>936</v>
      </c>
      <c r="D650" s="117" t="n">
        <v>266.87</v>
      </c>
      <c r="E650" s="260" t="n">
        <v>1</v>
      </c>
    </row>
    <row r="651" customFormat="false" ht="14.25" hidden="true" customHeight="true" outlineLevel="0" collapsed="false">
      <c r="A651" s="263"/>
      <c r="B651" s="259"/>
      <c r="C651" s="259" t="s">
        <v>937</v>
      </c>
      <c r="D651" s="117" t="n">
        <v>266.87</v>
      </c>
      <c r="E651" s="260" t="n">
        <v>2</v>
      </c>
    </row>
    <row r="652" customFormat="false" ht="14.25" hidden="true" customHeight="true" outlineLevel="0" collapsed="false">
      <c r="A652" s="263"/>
      <c r="B652" s="259"/>
      <c r="C652" s="259" t="s">
        <v>938</v>
      </c>
      <c r="D652" s="117" t="n">
        <v>266.87</v>
      </c>
      <c r="E652" s="260" t="n">
        <v>2</v>
      </c>
    </row>
    <row r="653" customFormat="false" ht="14.25" hidden="true" customHeight="true" outlineLevel="0" collapsed="false">
      <c r="A653" s="263"/>
      <c r="B653" s="259"/>
      <c r="C653" s="259" t="s">
        <v>939</v>
      </c>
      <c r="D653" s="117" t="n">
        <v>266.87</v>
      </c>
      <c r="E653" s="260" t="n">
        <v>2</v>
      </c>
    </row>
    <row r="654" customFormat="false" ht="14.25" hidden="true" customHeight="true" outlineLevel="0" collapsed="false">
      <c r="A654" s="263"/>
      <c r="B654" s="259"/>
      <c r="C654" s="259" t="s">
        <v>940</v>
      </c>
      <c r="D654" s="117" t="n">
        <v>266.87</v>
      </c>
      <c r="E654" s="260" t="n">
        <v>2</v>
      </c>
    </row>
    <row r="655" customFormat="false" ht="14.25" hidden="true" customHeight="true" outlineLevel="0" collapsed="false">
      <c r="A655" s="263"/>
      <c r="B655" s="259"/>
      <c r="C655" s="259" t="s">
        <v>941</v>
      </c>
      <c r="D655" s="117" t="n">
        <v>266.87</v>
      </c>
      <c r="E655" s="260" t="n">
        <v>2</v>
      </c>
    </row>
    <row r="656" customFormat="false" ht="14.25" hidden="true" customHeight="true" outlineLevel="0" collapsed="false">
      <c r="A656" s="263"/>
      <c r="B656" s="259"/>
      <c r="C656" s="259" t="s">
        <v>942</v>
      </c>
      <c r="D656" s="117" t="n">
        <v>266.87</v>
      </c>
      <c r="E656" s="260" t="n">
        <v>2</v>
      </c>
    </row>
    <row r="657" customFormat="false" ht="14.25" hidden="true" customHeight="true" outlineLevel="0" collapsed="false">
      <c r="A657" s="263"/>
      <c r="B657" s="259"/>
      <c r="C657" s="259" t="s">
        <v>943</v>
      </c>
      <c r="D657" s="117" t="n">
        <v>266.87</v>
      </c>
      <c r="E657" s="260" t="n">
        <v>2</v>
      </c>
    </row>
    <row r="658" customFormat="false" ht="14.25" hidden="true" customHeight="true" outlineLevel="0" collapsed="false">
      <c r="A658" s="263"/>
      <c r="B658" s="259"/>
      <c r="C658" s="259" t="s">
        <v>944</v>
      </c>
      <c r="D658" s="117" t="n">
        <v>266.87</v>
      </c>
      <c r="E658" s="260" t="n">
        <v>2</v>
      </c>
    </row>
    <row r="659" customFormat="false" ht="14.25" hidden="true" customHeight="true" outlineLevel="0" collapsed="false">
      <c r="A659" s="263"/>
      <c r="B659" s="259"/>
      <c r="C659" s="259" t="s">
        <v>945</v>
      </c>
      <c r="D659" s="117" t="n">
        <v>266.87</v>
      </c>
      <c r="E659" s="260" t="n">
        <v>2</v>
      </c>
    </row>
    <row r="660" customFormat="false" ht="14.25" hidden="true" customHeight="true" outlineLevel="0" collapsed="false">
      <c r="A660" s="263"/>
      <c r="B660" s="259"/>
      <c r="C660" s="259" t="s">
        <v>946</v>
      </c>
      <c r="D660" s="117" t="n">
        <v>266.87</v>
      </c>
      <c r="E660" s="260" t="n">
        <v>2</v>
      </c>
    </row>
    <row r="661" customFormat="false" ht="14.25" hidden="true" customHeight="true" outlineLevel="0" collapsed="false">
      <c r="A661" s="263"/>
      <c r="B661" s="259"/>
      <c r="C661" s="259" t="s">
        <v>947</v>
      </c>
      <c r="D661" s="117" t="n">
        <v>266.87</v>
      </c>
      <c r="E661" s="260" t="n">
        <v>2</v>
      </c>
    </row>
    <row r="662" customFormat="false" ht="14.25" hidden="true" customHeight="true" outlineLevel="0" collapsed="false">
      <c r="A662" s="263"/>
      <c r="B662" s="259"/>
      <c r="C662" s="259" t="s">
        <v>948</v>
      </c>
      <c r="D662" s="117" t="n">
        <v>266.87</v>
      </c>
      <c r="E662" s="260" t="n">
        <v>2</v>
      </c>
    </row>
    <row r="663" customFormat="false" ht="14.25" hidden="true" customHeight="true" outlineLevel="0" collapsed="false">
      <c r="A663" s="263"/>
      <c r="B663" s="259"/>
      <c r="C663" s="259" t="s">
        <v>949</v>
      </c>
      <c r="D663" s="117" t="n">
        <v>266.87</v>
      </c>
      <c r="E663" s="260" t="n">
        <v>2</v>
      </c>
    </row>
    <row r="664" customFormat="false" ht="14.25" hidden="true" customHeight="true" outlineLevel="0" collapsed="false">
      <c r="A664" s="263"/>
      <c r="B664" s="259"/>
      <c r="C664" s="259" t="s">
        <v>950</v>
      </c>
      <c r="D664" s="117" t="n">
        <v>266.87</v>
      </c>
      <c r="E664" s="260" t="n">
        <v>2</v>
      </c>
    </row>
    <row r="665" customFormat="false" ht="14.25" hidden="true" customHeight="true" outlineLevel="0" collapsed="false">
      <c r="A665" s="263"/>
      <c r="B665" s="259"/>
      <c r="C665" s="259" t="s">
        <v>951</v>
      </c>
      <c r="D665" s="117" t="n">
        <v>266.87</v>
      </c>
      <c r="E665" s="260" t="n">
        <v>2</v>
      </c>
    </row>
    <row r="666" customFormat="false" ht="14.25" hidden="true" customHeight="true" outlineLevel="0" collapsed="false">
      <c r="A666" s="263"/>
      <c r="B666" s="259"/>
      <c r="C666" s="259" t="s">
        <v>952</v>
      </c>
      <c r="D666" s="117" t="n">
        <v>266.87</v>
      </c>
      <c r="E666" s="260" t="n">
        <v>2</v>
      </c>
    </row>
    <row r="667" customFormat="false" ht="14.25" hidden="true" customHeight="true" outlineLevel="0" collapsed="false">
      <c r="A667" s="263"/>
      <c r="B667" s="259"/>
      <c r="C667" s="259" t="s">
        <v>953</v>
      </c>
      <c r="D667" s="117" t="n">
        <v>266.87</v>
      </c>
      <c r="E667" s="260" t="n">
        <v>2</v>
      </c>
    </row>
    <row r="668" customFormat="false" ht="14.25" hidden="true" customHeight="true" outlineLevel="0" collapsed="false">
      <c r="A668" s="263"/>
      <c r="B668" s="259"/>
      <c r="C668" s="259" t="s">
        <v>954</v>
      </c>
      <c r="D668" s="117" t="n">
        <v>266.87</v>
      </c>
      <c r="E668" s="260" t="n">
        <v>2</v>
      </c>
    </row>
    <row r="669" customFormat="false" ht="14.25" hidden="true" customHeight="true" outlineLevel="0" collapsed="false">
      <c r="A669" s="263"/>
      <c r="B669" s="259"/>
      <c r="C669" s="259" t="s">
        <v>955</v>
      </c>
      <c r="D669" s="117" t="n">
        <v>266.87</v>
      </c>
      <c r="E669" s="260" t="n">
        <v>2</v>
      </c>
    </row>
    <row r="670" customFormat="false" ht="14.25" hidden="true" customHeight="true" outlineLevel="0" collapsed="false">
      <c r="A670" s="263"/>
      <c r="B670" s="259"/>
      <c r="C670" s="259" t="s">
        <v>956</v>
      </c>
      <c r="D670" s="117" t="n">
        <v>266.87</v>
      </c>
      <c r="E670" s="260" t="n">
        <v>2</v>
      </c>
    </row>
    <row r="671" customFormat="false" ht="14.25" hidden="true" customHeight="true" outlineLevel="0" collapsed="false">
      <c r="A671" s="263"/>
      <c r="B671" s="259"/>
      <c r="C671" s="259" t="s">
        <v>957</v>
      </c>
      <c r="D671" s="117" t="n">
        <v>266.87</v>
      </c>
      <c r="E671" s="260" t="n">
        <v>1</v>
      </c>
    </row>
    <row r="672" customFormat="false" ht="14.25" hidden="true" customHeight="true" outlineLevel="0" collapsed="false">
      <c r="A672" s="263"/>
      <c r="B672" s="259"/>
      <c r="C672" s="259" t="s">
        <v>958</v>
      </c>
      <c r="D672" s="117" t="n">
        <v>266.87</v>
      </c>
      <c r="E672" s="260" t="n">
        <v>2</v>
      </c>
    </row>
    <row r="673" customFormat="false" ht="14.25" hidden="true" customHeight="true" outlineLevel="0" collapsed="false">
      <c r="A673" s="263"/>
      <c r="B673" s="259"/>
      <c r="C673" s="259" t="s">
        <v>959</v>
      </c>
      <c r="D673" s="117" t="n">
        <v>266.87</v>
      </c>
      <c r="E673" s="260" t="n">
        <v>2</v>
      </c>
    </row>
    <row r="674" customFormat="false" ht="14.25" hidden="true" customHeight="true" outlineLevel="0" collapsed="false">
      <c r="A674" s="263"/>
      <c r="B674" s="259"/>
      <c r="C674" s="259" t="s">
        <v>960</v>
      </c>
      <c r="D674" s="117" t="n">
        <v>266.87</v>
      </c>
      <c r="E674" s="260" t="n">
        <v>2</v>
      </c>
    </row>
    <row r="675" customFormat="false" ht="14.25" hidden="true" customHeight="true" outlineLevel="0" collapsed="false">
      <c r="A675" s="263"/>
      <c r="B675" s="259"/>
      <c r="C675" s="259" t="s">
        <v>961</v>
      </c>
      <c r="D675" s="117" t="n">
        <v>266.87</v>
      </c>
      <c r="E675" s="260" t="n">
        <v>2</v>
      </c>
    </row>
    <row r="676" customFormat="false" ht="14.25" hidden="true" customHeight="true" outlineLevel="0" collapsed="false">
      <c r="A676" s="263"/>
      <c r="B676" s="259"/>
      <c r="C676" s="259" t="s">
        <v>962</v>
      </c>
      <c r="D676" s="117" t="n">
        <v>266.87</v>
      </c>
      <c r="E676" s="260" t="n">
        <v>2</v>
      </c>
    </row>
    <row r="677" customFormat="false" ht="14.25" hidden="true" customHeight="true" outlineLevel="0" collapsed="false">
      <c r="A677" s="263"/>
      <c r="B677" s="259"/>
      <c r="C677" s="259" t="s">
        <v>963</v>
      </c>
      <c r="D677" s="117" t="n">
        <v>266.87</v>
      </c>
      <c r="E677" s="260" t="n">
        <v>2</v>
      </c>
    </row>
    <row r="678" customFormat="false" ht="14.25" hidden="true" customHeight="true" outlineLevel="0" collapsed="false">
      <c r="A678" s="263"/>
      <c r="B678" s="259"/>
      <c r="C678" s="259" t="s">
        <v>964</v>
      </c>
      <c r="D678" s="117" t="n">
        <v>266.87</v>
      </c>
      <c r="E678" s="260" t="n">
        <v>3</v>
      </c>
    </row>
    <row r="679" customFormat="false" ht="14.25" hidden="true" customHeight="true" outlineLevel="0" collapsed="false">
      <c r="A679" s="263"/>
      <c r="B679" s="259"/>
      <c r="C679" s="259" t="s">
        <v>965</v>
      </c>
      <c r="D679" s="117" t="n">
        <v>266.87</v>
      </c>
      <c r="E679" s="260" t="n">
        <v>2</v>
      </c>
    </row>
    <row r="680" customFormat="false" ht="14.25" hidden="true" customHeight="true" outlineLevel="0" collapsed="false">
      <c r="A680" s="263"/>
      <c r="B680" s="259"/>
      <c r="C680" s="259" t="s">
        <v>966</v>
      </c>
      <c r="D680" s="117" t="n">
        <v>266.87</v>
      </c>
      <c r="E680" s="260" t="n">
        <v>2</v>
      </c>
    </row>
    <row r="681" customFormat="false" ht="14.25" hidden="true" customHeight="true" outlineLevel="0" collapsed="false">
      <c r="A681" s="263"/>
      <c r="B681" s="259"/>
      <c r="C681" s="259" t="s">
        <v>967</v>
      </c>
      <c r="D681" s="117" t="n">
        <v>266.87</v>
      </c>
      <c r="E681" s="260" t="n">
        <v>2</v>
      </c>
    </row>
    <row r="682" customFormat="false" ht="14.25" hidden="true" customHeight="true" outlineLevel="0" collapsed="false">
      <c r="A682" s="263"/>
      <c r="B682" s="259"/>
      <c r="C682" s="259" t="s">
        <v>968</v>
      </c>
      <c r="D682" s="117" t="n">
        <v>266.87</v>
      </c>
      <c r="E682" s="260" t="n">
        <v>2</v>
      </c>
    </row>
    <row r="683" customFormat="false" ht="14.25" hidden="true" customHeight="true" outlineLevel="0" collapsed="false">
      <c r="A683" s="263"/>
      <c r="B683" s="259"/>
      <c r="C683" s="259" t="s">
        <v>969</v>
      </c>
      <c r="D683" s="117" t="n">
        <v>266.87</v>
      </c>
      <c r="E683" s="260" t="n">
        <v>2</v>
      </c>
    </row>
    <row r="684" customFormat="false" ht="14.25" hidden="true" customHeight="true" outlineLevel="0" collapsed="false">
      <c r="A684" s="263"/>
      <c r="B684" s="259"/>
      <c r="C684" s="259" t="s">
        <v>970</v>
      </c>
      <c r="D684" s="117" t="n">
        <v>266.87</v>
      </c>
      <c r="E684" s="260" t="n">
        <v>2</v>
      </c>
    </row>
    <row r="685" customFormat="false" ht="14.25" hidden="true" customHeight="true" outlineLevel="0" collapsed="false">
      <c r="A685" s="263"/>
      <c r="B685" s="259"/>
      <c r="C685" s="259" t="s">
        <v>971</v>
      </c>
      <c r="D685" s="117" t="n">
        <v>266.87</v>
      </c>
      <c r="E685" s="260" t="n">
        <v>2</v>
      </c>
    </row>
    <row r="686" customFormat="false" ht="14.25" hidden="true" customHeight="true" outlineLevel="0" collapsed="false">
      <c r="A686" s="263"/>
      <c r="B686" s="259"/>
      <c r="C686" s="259" t="s">
        <v>972</v>
      </c>
      <c r="D686" s="117" t="n">
        <v>266.87</v>
      </c>
      <c r="E686" s="260" t="n">
        <v>2</v>
      </c>
    </row>
    <row r="687" customFormat="false" ht="14.25" hidden="true" customHeight="true" outlineLevel="0" collapsed="false">
      <c r="A687" s="263"/>
      <c r="B687" s="259"/>
      <c r="C687" s="259" t="s">
        <v>973</v>
      </c>
      <c r="D687" s="117" t="n">
        <v>266.87</v>
      </c>
      <c r="E687" s="260" t="n">
        <v>2</v>
      </c>
    </row>
    <row r="688" customFormat="false" ht="14.25" hidden="true" customHeight="true" outlineLevel="0" collapsed="false">
      <c r="A688" s="263"/>
      <c r="B688" s="259"/>
      <c r="C688" s="259" t="s">
        <v>974</v>
      </c>
      <c r="D688" s="117" t="n">
        <v>266.87</v>
      </c>
      <c r="E688" s="260" t="n">
        <v>2</v>
      </c>
    </row>
    <row r="689" customFormat="false" ht="14.25" hidden="true" customHeight="true" outlineLevel="0" collapsed="false">
      <c r="A689" s="263"/>
      <c r="B689" s="259"/>
      <c r="C689" s="259" t="s">
        <v>975</v>
      </c>
      <c r="D689" s="117" t="n">
        <v>266.87</v>
      </c>
      <c r="E689" s="260" t="n">
        <v>2</v>
      </c>
    </row>
    <row r="690" customFormat="false" ht="14.25" hidden="true" customHeight="true" outlineLevel="0" collapsed="false">
      <c r="A690" s="263"/>
      <c r="B690" s="259"/>
      <c r="C690" s="259" t="s">
        <v>976</v>
      </c>
      <c r="D690" s="117" t="n">
        <v>266.87</v>
      </c>
      <c r="E690" s="260" t="n">
        <v>2</v>
      </c>
    </row>
    <row r="691" customFormat="false" ht="14.25" hidden="true" customHeight="true" outlineLevel="0" collapsed="false">
      <c r="A691" s="263"/>
      <c r="B691" s="259"/>
      <c r="C691" s="259" t="s">
        <v>977</v>
      </c>
      <c r="D691" s="117" t="n">
        <v>266.87</v>
      </c>
      <c r="E691" s="260" t="n">
        <v>2</v>
      </c>
    </row>
    <row r="692" customFormat="false" ht="14.25" hidden="true" customHeight="true" outlineLevel="0" collapsed="false">
      <c r="A692" s="263"/>
      <c r="B692" s="259"/>
      <c r="C692" s="259" t="s">
        <v>978</v>
      </c>
      <c r="D692" s="117" t="n">
        <v>266.87</v>
      </c>
      <c r="E692" s="260" t="n">
        <v>1</v>
      </c>
    </row>
    <row r="693" customFormat="false" ht="14.25" hidden="true" customHeight="true" outlineLevel="0" collapsed="false">
      <c r="A693" s="263"/>
      <c r="B693" s="259"/>
      <c r="C693" s="259" t="s">
        <v>979</v>
      </c>
      <c r="D693" s="117" t="n">
        <v>266.87</v>
      </c>
      <c r="E693" s="260" t="n">
        <v>2</v>
      </c>
    </row>
    <row r="694" customFormat="false" ht="14.25" hidden="true" customHeight="true" outlineLevel="0" collapsed="false">
      <c r="A694" s="263"/>
      <c r="B694" s="259"/>
      <c r="C694" s="259" t="s">
        <v>980</v>
      </c>
      <c r="D694" s="117" t="n">
        <v>266.87</v>
      </c>
      <c r="E694" s="260" t="n">
        <v>1</v>
      </c>
    </row>
    <row r="695" customFormat="false" ht="14.25" hidden="true" customHeight="true" outlineLevel="0" collapsed="false">
      <c r="A695" s="263"/>
      <c r="B695" s="259"/>
      <c r="C695" s="259" t="s">
        <v>981</v>
      </c>
      <c r="D695" s="117" t="n">
        <v>266.87</v>
      </c>
      <c r="E695" s="260" t="n">
        <v>2</v>
      </c>
    </row>
    <row r="696" customFormat="false" ht="14.25" hidden="true" customHeight="true" outlineLevel="0" collapsed="false">
      <c r="A696" s="263"/>
      <c r="B696" s="259"/>
      <c r="C696" s="259" t="s">
        <v>982</v>
      </c>
      <c r="D696" s="117" t="n">
        <v>266.87</v>
      </c>
      <c r="E696" s="260" t="n">
        <v>2</v>
      </c>
    </row>
    <row r="697" customFormat="false" ht="14.25" hidden="true" customHeight="true" outlineLevel="0" collapsed="false">
      <c r="A697" s="263"/>
      <c r="B697" s="259"/>
      <c r="C697" s="259" t="s">
        <v>983</v>
      </c>
      <c r="D697" s="117" t="n">
        <v>266.87</v>
      </c>
      <c r="E697" s="260" t="n">
        <v>2</v>
      </c>
    </row>
    <row r="698" customFormat="false" ht="14.25" hidden="true" customHeight="true" outlineLevel="0" collapsed="false">
      <c r="A698" s="263"/>
      <c r="B698" s="259"/>
      <c r="C698" s="259" t="s">
        <v>984</v>
      </c>
      <c r="D698" s="117" t="n">
        <v>266.87</v>
      </c>
      <c r="E698" s="260" t="n">
        <v>2</v>
      </c>
    </row>
    <row r="699" customFormat="false" ht="14.25" hidden="true" customHeight="true" outlineLevel="0" collapsed="false">
      <c r="A699" s="263"/>
      <c r="B699" s="259"/>
      <c r="C699" s="259" t="s">
        <v>985</v>
      </c>
      <c r="D699" s="117" t="n">
        <v>266.87</v>
      </c>
      <c r="E699" s="260" t="n">
        <v>2</v>
      </c>
    </row>
    <row r="700" customFormat="false" ht="14.25" hidden="true" customHeight="true" outlineLevel="0" collapsed="false">
      <c r="A700" s="263"/>
      <c r="B700" s="259"/>
      <c r="C700" s="259" t="s">
        <v>986</v>
      </c>
      <c r="D700" s="117" t="n">
        <v>266.87</v>
      </c>
      <c r="E700" s="260" t="n">
        <v>2</v>
      </c>
    </row>
    <row r="701" customFormat="false" ht="14.25" hidden="true" customHeight="true" outlineLevel="0" collapsed="false">
      <c r="A701" s="263"/>
      <c r="B701" s="259"/>
      <c r="C701" s="259" t="s">
        <v>987</v>
      </c>
      <c r="D701" s="117" t="n">
        <v>266.87</v>
      </c>
      <c r="E701" s="260" t="n">
        <v>2</v>
      </c>
    </row>
    <row r="702" customFormat="false" ht="14.25" hidden="true" customHeight="true" outlineLevel="0" collapsed="false">
      <c r="A702" s="263"/>
      <c r="B702" s="259"/>
      <c r="C702" s="259" t="s">
        <v>988</v>
      </c>
      <c r="D702" s="117" t="n">
        <v>266.87</v>
      </c>
      <c r="E702" s="260" t="n">
        <v>2</v>
      </c>
    </row>
    <row r="703" customFormat="false" ht="14.25" hidden="true" customHeight="true" outlineLevel="0" collapsed="false">
      <c r="A703" s="263"/>
      <c r="B703" s="259"/>
      <c r="C703" s="259" t="s">
        <v>989</v>
      </c>
      <c r="D703" s="117" t="n">
        <v>266.87</v>
      </c>
      <c r="E703" s="260" t="n">
        <v>1</v>
      </c>
    </row>
    <row r="704" customFormat="false" ht="14.25" hidden="true" customHeight="true" outlineLevel="0" collapsed="false">
      <c r="A704" s="263"/>
      <c r="B704" s="259"/>
      <c r="C704" s="259" t="s">
        <v>990</v>
      </c>
      <c r="D704" s="117" t="n">
        <v>266.87</v>
      </c>
      <c r="E704" s="260" t="n">
        <v>2</v>
      </c>
    </row>
    <row r="705" customFormat="false" ht="14.25" hidden="true" customHeight="true" outlineLevel="0" collapsed="false">
      <c r="A705" s="263"/>
      <c r="B705" s="259"/>
      <c r="C705" s="259" t="s">
        <v>991</v>
      </c>
      <c r="D705" s="117" t="n">
        <v>266.87</v>
      </c>
      <c r="E705" s="260" t="n">
        <v>3</v>
      </c>
    </row>
    <row r="706" customFormat="false" ht="14.25" hidden="true" customHeight="true" outlineLevel="0" collapsed="false">
      <c r="A706" s="263"/>
      <c r="B706" s="259"/>
      <c r="C706" s="259" t="s">
        <v>992</v>
      </c>
      <c r="D706" s="117" t="n">
        <v>266.87</v>
      </c>
      <c r="E706" s="260" t="n">
        <v>1</v>
      </c>
    </row>
    <row r="707" customFormat="false" ht="14.25" hidden="true" customHeight="true" outlineLevel="0" collapsed="false">
      <c r="A707" s="263"/>
      <c r="B707" s="259"/>
      <c r="C707" s="259" t="s">
        <v>993</v>
      </c>
      <c r="D707" s="117" t="n">
        <v>266.87</v>
      </c>
      <c r="E707" s="260" t="n">
        <v>2</v>
      </c>
    </row>
    <row r="708" customFormat="false" ht="14.25" hidden="true" customHeight="true" outlineLevel="0" collapsed="false">
      <c r="A708" s="263"/>
      <c r="B708" s="259"/>
      <c r="C708" s="259" t="s">
        <v>994</v>
      </c>
      <c r="D708" s="117" t="n">
        <v>266.87</v>
      </c>
      <c r="E708" s="260" t="n">
        <v>2</v>
      </c>
    </row>
    <row r="709" customFormat="false" ht="14.25" hidden="true" customHeight="true" outlineLevel="0" collapsed="false">
      <c r="A709" s="263"/>
      <c r="B709" s="259"/>
      <c r="C709" s="259" t="s">
        <v>995</v>
      </c>
      <c r="D709" s="117" t="n">
        <v>266.87</v>
      </c>
      <c r="E709" s="260" t="n">
        <v>1</v>
      </c>
    </row>
    <row r="710" customFormat="false" ht="14.25" hidden="true" customHeight="true" outlineLevel="0" collapsed="false">
      <c r="A710" s="263"/>
      <c r="B710" s="259"/>
      <c r="C710" s="259" t="s">
        <v>996</v>
      </c>
      <c r="D710" s="117" t="n">
        <v>266.87</v>
      </c>
      <c r="E710" s="260" t="n">
        <v>2</v>
      </c>
    </row>
    <row r="711" customFormat="false" ht="14.25" hidden="true" customHeight="true" outlineLevel="0" collapsed="false">
      <c r="A711" s="263"/>
      <c r="B711" s="259"/>
      <c r="C711" s="259" t="s">
        <v>997</v>
      </c>
      <c r="D711" s="117" t="n">
        <v>266.87</v>
      </c>
      <c r="E711" s="260" t="n">
        <v>2</v>
      </c>
    </row>
    <row r="712" customFormat="false" ht="14.25" hidden="true" customHeight="true" outlineLevel="0" collapsed="false">
      <c r="A712" s="263"/>
      <c r="B712" s="259"/>
      <c r="C712" s="259" t="s">
        <v>998</v>
      </c>
      <c r="D712" s="117" t="n">
        <v>266.87</v>
      </c>
      <c r="E712" s="260" t="n">
        <v>4</v>
      </c>
    </row>
    <row r="713" customFormat="false" ht="14.25" hidden="true" customHeight="true" outlineLevel="0" collapsed="false">
      <c r="A713" s="263"/>
      <c r="B713" s="259"/>
      <c r="C713" s="259" t="s">
        <v>999</v>
      </c>
      <c r="D713" s="117" t="n">
        <v>266.87</v>
      </c>
      <c r="E713" s="260" t="n">
        <v>2</v>
      </c>
    </row>
    <row r="714" customFormat="false" ht="14.25" hidden="true" customHeight="true" outlineLevel="0" collapsed="false">
      <c r="A714" s="263"/>
      <c r="B714" s="259"/>
      <c r="C714" s="259" t="s">
        <v>1000</v>
      </c>
      <c r="D714" s="117" t="n">
        <v>266.87</v>
      </c>
      <c r="E714" s="260" t="n">
        <v>2</v>
      </c>
    </row>
    <row r="715" customFormat="false" ht="14.25" hidden="true" customHeight="true" outlineLevel="0" collapsed="false">
      <c r="A715" s="263"/>
      <c r="B715" s="259"/>
      <c r="C715" s="259" t="s">
        <v>1001</v>
      </c>
      <c r="D715" s="117" t="n">
        <v>266.87</v>
      </c>
      <c r="E715" s="260" t="n">
        <v>2</v>
      </c>
    </row>
    <row r="716" customFormat="false" ht="14.25" hidden="true" customHeight="true" outlineLevel="0" collapsed="false">
      <c r="A716" s="263"/>
      <c r="B716" s="259"/>
      <c r="C716" s="259" t="s">
        <v>1002</v>
      </c>
      <c r="D716" s="117" t="n">
        <v>266.87</v>
      </c>
      <c r="E716" s="260" t="n">
        <v>2</v>
      </c>
    </row>
    <row r="717" customFormat="false" ht="14.25" hidden="true" customHeight="true" outlineLevel="0" collapsed="false">
      <c r="A717" s="263"/>
      <c r="B717" s="259"/>
      <c r="C717" s="259" t="s">
        <v>1003</v>
      </c>
      <c r="D717" s="117" t="n">
        <v>266.87</v>
      </c>
      <c r="E717" s="260" t="n">
        <v>1</v>
      </c>
    </row>
    <row r="718" customFormat="false" ht="14.25" hidden="true" customHeight="true" outlineLevel="0" collapsed="false">
      <c r="A718" s="263"/>
      <c r="B718" s="259"/>
      <c r="C718" s="259" t="s">
        <v>1004</v>
      </c>
      <c r="D718" s="117" t="n">
        <v>266.87</v>
      </c>
      <c r="E718" s="260" t="n">
        <v>1</v>
      </c>
    </row>
    <row r="719" customFormat="false" ht="14.25" hidden="true" customHeight="true" outlineLevel="0" collapsed="false">
      <c r="A719" s="263"/>
      <c r="B719" s="259"/>
      <c r="C719" s="259" t="s">
        <v>1005</v>
      </c>
      <c r="D719" s="117" t="n">
        <v>266.87</v>
      </c>
      <c r="E719" s="260" t="n">
        <v>2</v>
      </c>
    </row>
    <row r="720" customFormat="false" ht="14.25" hidden="true" customHeight="true" outlineLevel="0" collapsed="false">
      <c r="A720" s="263"/>
      <c r="B720" s="259"/>
      <c r="C720" s="259" t="s">
        <v>1006</v>
      </c>
      <c r="D720" s="117" t="n">
        <v>266.87</v>
      </c>
      <c r="E720" s="260" t="n">
        <v>2</v>
      </c>
    </row>
    <row r="721" customFormat="false" ht="14.25" hidden="true" customHeight="true" outlineLevel="0" collapsed="false">
      <c r="A721" s="263"/>
      <c r="B721" s="259"/>
      <c r="C721" s="259" t="s">
        <v>1007</v>
      </c>
      <c r="D721" s="117" t="n">
        <v>266.87</v>
      </c>
      <c r="E721" s="260" t="n">
        <v>3</v>
      </c>
    </row>
    <row r="722" customFormat="false" ht="14.25" hidden="true" customHeight="true" outlineLevel="0" collapsed="false">
      <c r="A722" s="263"/>
      <c r="B722" s="259"/>
      <c r="C722" s="259" t="s">
        <v>1008</v>
      </c>
      <c r="D722" s="117" t="n">
        <v>266.87</v>
      </c>
      <c r="E722" s="260" t="n">
        <v>2</v>
      </c>
    </row>
    <row r="723" customFormat="false" ht="14.25" hidden="true" customHeight="true" outlineLevel="0" collapsed="false">
      <c r="A723" s="263"/>
      <c r="B723" s="259"/>
      <c r="C723" s="259" t="s">
        <v>1009</v>
      </c>
      <c r="D723" s="117" t="n">
        <v>266.87</v>
      </c>
      <c r="E723" s="260" t="n">
        <v>2</v>
      </c>
    </row>
    <row r="724" customFormat="false" ht="14.25" hidden="true" customHeight="true" outlineLevel="0" collapsed="false">
      <c r="A724" s="263"/>
      <c r="B724" s="259"/>
      <c r="C724" s="259" t="s">
        <v>1010</v>
      </c>
      <c r="D724" s="117" t="n">
        <v>266.87</v>
      </c>
      <c r="E724" s="260" t="n">
        <v>2</v>
      </c>
    </row>
    <row r="725" customFormat="false" ht="14.25" hidden="true" customHeight="true" outlineLevel="0" collapsed="false">
      <c r="A725" s="263"/>
      <c r="B725" s="259"/>
      <c r="C725" s="259" t="s">
        <v>1011</v>
      </c>
      <c r="D725" s="117" t="n">
        <v>266.87</v>
      </c>
      <c r="E725" s="260" t="n">
        <v>2</v>
      </c>
    </row>
    <row r="726" customFormat="false" ht="14.25" hidden="true" customHeight="true" outlineLevel="0" collapsed="false">
      <c r="A726" s="263"/>
      <c r="B726" s="259"/>
      <c r="C726" s="259" t="s">
        <v>1012</v>
      </c>
      <c r="D726" s="117" t="n">
        <v>266.87</v>
      </c>
      <c r="E726" s="260" t="n">
        <v>2</v>
      </c>
    </row>
    <row r="727" customFormat="false" ht="14.25" hidden="true" customHeight="true" outlineLevel="0" collapsed="false">
      <c r="A727" s="263"/>
      <c r="B727" s="259"/>
      <c r="C727" s="259" t="s">
        <v>1013</v>
      </c>
      <c r="D727" s="117" t="n">
        <v>266.87</v>
      </c>
      <c r="E727" s="260" t="n">
        <v>2</v>
      </c>
    </row>
    <row r="728" customFormat="false" ht="14.25" hidden="true" customHeight="true" outlineLevel="0" collapsed="false">
      <c r="A728" s="263"/>
      <c r="B728" s="259"/>
      <c r="C728" s="259" t="s">
        <v>1014</v>
      </c>
      <c r="D728" s="117" t="n">
        <v>266.87</v>
      </c>
      <c r="E728" s="260" t="n">
        <v>2</v>
      </c>
    </row>
    <row r="729" customFormat="false" ht="14.25" hidden="true" customHeight="true" outlineLevel="0" collapsed="false">
      <c r="A729" s="263"/>
      <c r="B729" s="259"/>
      <c r="C729" s="259" t="s">
        <v>1015</v>
      </c>
      <c r="D729" s="117" t="n">
        <v>266.87</v>
      </c>
      <c r="E729" s="260" t="n">
        <v>2</v>
      </c>
    </row>
    <row r="730" customFormat="false" ht="14.25" hidden="true" customHeight="true" outlineLevel="0" collapsed="false">
      <c r="A730" s="263"/>
      <c r="B730" s="259"/>
      <c r="C730" s="259" t="s">
        <v>1016</v>
      </c>
      <c r="D730" s="117" t="n">
        <v>266.87</v>
      </c>
      <c r="E730" s="260" t="n">
        <v>2</v>
      </c>
    </row>
    <row r="731" customFormat="false" ht="14.25" hidden="true" customHeight="true" outlineLevel="0" collapsed="false">
      <c r="A731" s="263"/>
      <c r="B731" s="259"/>
      <c r="C731" s="259" t="s">
        <v>1017</v>
      </c>
      <c r="D731" s="117" t="n">
        <v>266.87</v>
      </c>
      <c r="E731" s="260" t="n">
        <v>2</v>
      </c>
    </row>
    <row r="732" customFormat="false" ht="14.25" hidden="true" customHeight="true" outlineLevel="0" collapsed="false">
      <c r="A732" s="263"/>
      <c r="B732" s="259"/>
      <c r="C732" s="259" t="s">
        <v>1018</v>
      </c>
      <c r="D732" s="117" t="n">
        <v>266.87</v>
      </c>
      <c r="E732" s="260" t="n">
        <v>2</v>
      </c>
    </row>
    <row r="733" customFormat="false" ht="14.25" hidden="true" customHeight="true" outlineLevel="0" collapsed="false">
      <c r="A733" s="263"/>
      <c r="B733" s="259"/>
      <c r="C733" s="259" t="s">
        <v>1019</v>
      </c>
      <c r="D733" s="117" t="n">
        <v>266.87</v>
      </c>
      <c r="E733" s="260" t="n">
        <v>2</v>
      </c>
    </row>
    <row r="734" customFormat="false" ht="14.25" hidden="true" customHeight="true" outlineLevel="0" collapsed="false">
      <c r="A734" s="263"/>
      <c r="B734" s="259"/>
      <c r="C734" s="259" t="s">
        <v>1020</v>
      </c>
      <c r="D734" s="117" t="n">
        <v>266.87</v>
      </c>
      <c r="E734" s="260" t="n">
        <v>2</v>
      </c>
    </row>
    <row r="735" customFormat="false" ht="14.25" hidden="true" customHeight="true" outlineLevel="0" collapsed="false">
      <c r="A735" s="263"/>
      <c r="B735" s="259"/>
      <c r="C735" s="259" t="s">
        <v>1021</v>
      </c>
      <c r="D735" s="117" t="n">
        <v>266.87</v>
      </c>
      <c r="E735" s="260" t="n">
        <v>2</v>
      </c>
    </row>
    <row r="736" customFormat="false" ht="14.25" hidden="true" customHeight="true" outlineLevel="0" collapsed="false">
      <c r="A736" s="263"/>
      <c r="B736" s="259"/>
      <c r="C736" s="259" t="s">
        <v>1022</v>
      </c>
      <c r="D736" s="117" t="n">
        <v>266.87</v>
      </c>
      <c r="E736" s="260" t="n">
        <v>3</v>
      </c>
    </row>
    <row r="737" customFormat="false" ht="14.25" hidden="true" customHeight="true" outlineLevel="0" collapsed="false">
      <c r="A737" s="263"/>
      <c r="B737" s="259"/>
      <c r="C737" s="259" t="s">
        <v>1023</v>
      </c>
      <c r="D737" s="117" t="n">
        <v>266.87</v>
      </c>
      <c r="E737" s="260" t="n">
        <v>2</v>
      </c>
    </row>
    <row r="738" customFormat="false" ht="14.25" hidden="true" customHeight="true" outlineLevel="0" collapsed="false">
      <c r="A738" s="263"/>
      <c r="B738" s="259"/>
      <c r="C738" s="259" t="s">
        <v>1024</v>
      </c>
      <c r="D738" s="117" t="n">
        <v>266.87</v>
      </c>
      <c r="E738" s="260" t="n">
        <v>2</v>
      </c>
    </row>
    <row r="739" customFormat="false" ht="14.25" hidden="true" customHeight="true" outlineLevel="0" collapsed="false">
      <c r="A739" s="263"/>
      <c r="B739" s="259"/>
      <c r="C739" s="259" t="s">
        <v>1025</v>
      </c>
      <c r="D739" s="117" t="n">
        <v>266.87</v>
      </c>
      <c r="E739" s="260" t="n">
        <v>2</v>
      </c>
    </row>
    <row r="740" customFormat="false" ht="14.25" hidden="true" customHeight="true" outlineLevel="0" collapsed="false">
      <c r="A740" s="263"/>
      <c r="B740" s="259"/>
      <c r="C740" s="259" t="s">
        <v>1026</v>
      </c>
      <c r="D740" s="117" t="n">
        <v>266.87</v>
      </c>
      <c r="E740" s="260" t="n">
        <v>2</v>
      </c>
    </row>
    <row r="741" customFormat="false" ht="14.25" hidden="true" customHeight="true" outlineLevel="0" collapsed="false">
      <c r="A741" s="263"/>
      <c r="B741" s="259"/>
      <c r="C741" s="259" t="s">
        <v>1027</v>
      </c>
      <c r="D741" s="117" t="n">
        <v>266.87</v>
      </c>
      <c r="E741" s="260" t="n">
        <v>3</v>
      </c>
    </row>
    <row r="742" customFormat="false" ht="14.25" hidden="true" customHeight="true" outlineLevel="0" collapsed="false">
      <c r="A742" s="263"/>
      <c r="B742" s="259"/>
      <c r="C742" s="259" t="s">
        <v>1028</v>
      </c>
      <c r="D742" s="117" t="n">
        <v>266.87</v>
      </c>
      <c r="E742" s="260" t="n">
        <v>2</v>
      </c>
    </row>
    <row r="743" customFormat="false" ht="14.25" hidden="true" customHeight="true" outlineLevel="0" collapsed="false">
      <c r="A743" s="263"/>
      <c r="B743" s="259"/>
      <c r="C743" s="259" t="s">
        <v>1029</v>
      </c>
      <c r="D743" s="117" t="n">
        <v>266.87</v>
      </c>
      <c r="E743" s="260" t="n">
        <v>2</v>
      </c>
    </row>
    <row r="744" customFormat="false" ht="14.25" hidden="true" customHeight="true" outlineLevel="0" collapsed="false">
      <c r="A744" s="263"/>
      <c r="B744" s="259"/>
      <c r="C744" s="259" t="s">
        <v>1030</v>
      </c>
      <c r="D744" s="117" t="n">
        <v>266.87</v>
      </c>
      <c r="E744" s="260" t="n">
        <v>2</v>
      </c>
    </row>
    <row r="745" customFormat="false" ht="14.25" hidden="true" customHeight="true" outlineLevel="0" collapsed="false">
      <c r="A745" s="263"/>
      <c r="B745" s="259"/>
      <c r="C745" s="259" t="s">
        <v>1031</v>
      </c>
      <c r="D745" s="117" t="n">
        <v>266.87</v>
      </c>
      <c r="E745" s="260" t="n">
        <v>2</v>
      </c>
    </row>
    <row r="746" customFormat="false" ht="14.25" hidden="true" customHeight="true" outlineLevel="0" collapsed="false">
      <c r="A746" s="263"/>
      <c r="B746" s="259"/>
      <c r="C746" s="259" t="s">
        <v>1032</v>
      </c>
      <c r="D746" s="117" t="n">
        <v>266.87</v>
      </c>
      <c r="E746" s="260" t="n">
        <v>2</v>
      </c>
    </row>
    <row r="747" customFormat="false" ht="14.25" hidden="true" customHeight="true" outlineLevel="0" collapsed="false">
      <c r="A747" s="263"/>
      <c r="B747" s="259"/>
      <c r="C747" s="259" t="s">
        <v>1033</v>
      </c>
      <c r="D747" s="117" t="n">
        <v>266.87</v>
      </c>
      <c r="E747" s="260" t="n">
        <v>2</v>
      </c>
    </row>
    <row r="748" customFormat="false" ht="14.25" hidden="true" customHeight="true" outlineLevel="0" collapsed="false">
      <c r="A748" s="263"/>
      <c r="B748" s="259"/>
      <c r="C748" s="259" t="s">
        <v>1034</v>
      </c>
      <c r="D748" s="117" t="n">
        <v>266.87</v>
      </c>
      <c r="E748" s="260" t="n">
        <v>2</v>
      </c>
    </row>
    <row r="749" customFormat="false" ht="14.25" hidden="true" customHeight="true" outlineLevel="0" collapsed="false">
      <c r="A749" s="263"/>
      <c r="B749" s="259"/>
      <c r="C749" s="259" t="s">
        <v>1035</v>
      </c>
      <c r="D749" s="117" t="n">
        <v>266.87</v>
      </c>
      <c r="E749" s="260" t="n">
        <v>2</v>
      </c>
    </row>
    <row r="750" customFormat="false" ht="14.25" hidden="true" customHeight="true" outlineLevel="0" collapsed="false">
      <c r="A750" s="263"/>
      <c r="B750" s="259"/>
      <c r="C750" s="259" t="s">
        <v>1036</v>
      </c>
      <c r="D750" s="117" t="n">
        <v>266.87</v>
      </c>
      <c r="E750" s="260" t="n">
        <v>2</v>
      </c>
    </row>
    <row r="751" customFormat="false" ht="14.25" hidden="true" customHeight="true" outlineLevel="0" collapsed="false">
      <c r="A751" s="263"/>
      <c r="B751" s="259"/>
      <c r="C751" s="259" t="s">
        <v>1037</v>
      </c>
      <c r="D751" s="117" t="n">
        <v>266.87</v>
      </c>
      <c r="E751" s="260" t="n">
        <v>2</v>
      </c>
    </row>
    <row r="752" customFormat="false" ht="14.25" hidden="true" customHeight="true" outlineLevel="0" collapsed="false">
      <c r="A752" s="263"/>
      <c r="B752" s="259"/>
      <c r="C752" s="259" t="s">
        <v>1038</v>
      </c>
      <c r="D752" s="117" t="n">
        <v>266.87</v>
      </c>
      <c r="E752" s="260" t="n">
        <v>2</v>
      </c>
    </row>
    <row r="753" customFormat="false" ht="14.25" hidden="true" customHeight="true" outlineLevel="0" collapsed="false">
      <c r="A753" s="263"/>
      <c r="B753" s="259"/>
      <c r="C753" s="259" t="s">
        <v>1039</v>
      </c>
      <c r="D753" s="117" t="n">
        <v>266.87</v>
      </c>
      <c r="E753" s="260" t="n">
        <v>2</v>
      </c>
    </row>
    <row r="754" customFormat="false" ht="14.25" hidden="true" customHeight="true" outlineLevel="0" collapsed="false">
      <c r="A754" s="263"/>
      <c r="B754" s="259"/>
      <c r="C754" s="259" t="s">
        <v>1040</v>
      </c>
      <c r="D754" s="117" t="n">
        <v>266.87</v>
      </c>
      <c r="E754" s="260" t="n">
        <v>2</v>
      </c>
    </row>
    <row r="755" customFormat="false" ht="14.25" hidden="true" customHeight="true" outlineLevel="0" collapsed="false">
      <c r="A755" s="263"/>
      <c r="B755" s="259"/>
      <c r="C755" s="259" t="s">
        <v>1041</v>
      </c>
      <c r="D755" s="117" t="n">
        <v>266.87</v>
      </c>
      <c r="E755" s="260" t="n">
        <v>2</v>
      </c>
    </row>
    <row r="756" customFormat="false" ht="14.25" hidden="true" customHeight="true" outlineLevel="0" collapsed="false">
      <c r="A756" s="263"/>
      <c r="B756" s="259"/>
      <c r="C756" s="259" t="s">
        <v>1042</v>
      </c>
      <c r="D756" s="117" t="n">
        <v>266.87</v>
      </c>
      <c r="E756" s="260" t="n">
        <v>2</v>
      </c>
    </row>
    <row r="757" customFormat="false" ht="14.25" hidden="true" customHeight="true" outlineLevel="0" collapsed="false">
      <c r="A757" s="263"/>
      <c r="B757" s="259"/>
      <c r="C757" s="259" t="s">
        <v>1043</v>
      </c>
      <c r="D757" s="117" t="n">
        <v>266.87</v>
      </c>
      <c r="E757" s="260" t="n">
        <v>2</v>
      </c>
    </row>
    <row r="758" customFormat="false" ht="14.25" hidden="true" customHeight="true" outlineLevel="0" collapsed="false">
      <c r="A758" s="263"/>
      <c r="B758" s="259"/>
      <c r="C758" s="259" t="s">
        <v>1044</v>
      </c>
      <c r="D758" s="117" t="n">
        <v>266.87</v>
      </c>
      <c r="E758" s="260" t="n">
        <v>2</v>
      </c>
    </row>
    <row r="759" customFormat="false" ht="14.25" hidden="true" customHeight="true" outlineLevel="0" collapsed="false">
      <c r="A759" s="263"/>
      <c r="B759" s="259"/>
      <c r="C759" s="259" t="s">
        <v>1045</v>
      </c>
      <c r="D759" s="117" t="n">
        <v>266.87</v>
      </c>
      <c r="E759" s="260" t="n">
        <v>2</v>
      </c>
    </row>
    <row r="760" customFormat="false" ht="14.25" hidden="true" customHeight="true" outlineLevel="0" collapsed="false">
      <c r="A760" s="263"/>
      <c r="B760" s="259"/>
      <c r="C760" s="259" t="s">
        <v>1046</v>
      </c>
      <c r="D760" s="117" t="n">
        <v>266.87</v>
      </c>
      <c r="E760" s="260" t="n">
        <v>2</v>
      </c>
    </row>
    <row r="761" customFormat="false" ht="14.25" hidden="true" customHeight="true" outlineLevel="0" collapsed="false">
      <c r="A761" s="263"/>
      <c r="B761" s="259"/>
      <c r="C761" s="259" t="s">
        <v>1047</v>
      </c>
      <c r="D761" s="117" t="n">
        <v>266.87</v>
      </c>
      <c r="E761" s="260" t="n">
        <v>2</v>
      </c>
    </row>
    <row r="762" customFormat="false" ht="14.25" hidden="true" customHeight="true" outlineLevel="0" collapsed="false">
      <c r="A762" s="263"/>
      <c r="B762" s="259"/>
      <c r="C762" s="259" t="s">
        <v>1048</v>
      </c>
      <c r="D762" s="117" t="n">
        <v>266.87</v>
      </c>
      <c r="E762" s="260" t="n">
        <v>2</v>
      </c>
    </row>
    <row r="763" customFormat="false" ht="14.25" hidden="true" customHeight="true" outlineLevel="0" collapsed="false">
      <c r="A763" s="263"/>
      <c r="B763" s="259"/>
      <c r="C763" s="259" t="s">
        <v>1049</v>
      </c>
      <c r="D763" s="117" t="n">
        <v>266.87</v>
      </c>
      <c r="E763" s="260" t="n">
        <v>1</v>
      </c>
    </row>
    <row r="764" customFormat="false" ht="14.25" hidden="true" customHeight="true" outlineLevel="0" collapsed="false">
      <c r="A764" s="263"/>
      <c r="B764" s="259"/>
      <c r="C764" s="259" t="s">
        <v>1050</v>
      </c>
      <c r="D764" s="117" t="n">
        <v>266.87</v>
      </c>
      <c r="E764" s="260" t="n">
        <v>2</v>
      </c>
    </row>
    <row r="765" customFormat="false" ht="14.25" hidden="true" customHeight="true" outlineLevel="0" collapsed="false">
      <c r="A765" s="263"/>
      <c r="B765" s="259"/>
      <c r="C765" s="259" t="s">
        <v>1051</v>
      </c>
      <c r="D765" s="117" t="n">
        <v>266.87</v>
      </c>
      <c r="E765" s="260" t="n">
        <v>2</v>
      </c>
    </row>
    <row r="766" customFormat="false" ht="14.25" hidden="true" customHeight="true" outlineLevel="0" collapsed="false">
      <c r="A766" s="263"/>
      <c r="B766" s="259"/>
      <c r="C766" s="259" t="s">
        <v>1052</v>
      </c>
      <c r="D766" s="117" t="n">
        <v>266.87</v>
      </c>
      <c r="E766" s="260" t="n">
        <v>2</v>
      </c>
    </row>
    <row r="767" customFormat="false" ht="14.25" hidden="true" customHeight="true" outlineLevel="0" collapsed="false">
      <c r="A767" s="263"/>
      <c r="B767" s="259"/>
      <c r="C767" s="259" t="s">
        <v>1053</v>
      </c>
      <c r="D767" s="117" t="n">
        <v>266.87</v>
      </c>
      <c r="E767" s="260" t="n">
        <v>2</v>
      </c>
    </row>
    <row r="768" customFormat="false" ht="14.25" hidden="true" customHeight="true" outlineLevel="0" collapsed="false">
      <c r="A768" s="263"/>
      <c r="B768" s="259"/>
      <c r="C768" s="259" t="s">
        <v>1054</v>
      </c>
      <c r="D768" s="117" t="n">
        <v>266.87</v>
      </c>
      <c r="E768" s="260" t="n">
        <v>2</v>
      </c>
    </row>
    <row r="769" customFormat="false" ht="14.25" hidden="true" customHeight="true" outlineLevel="0" collapsed="false">
      <c r="A769" s="263"/>
      <c r="B769" s="259"/>
      <c r="C769" s="259" t="s">
        <v>1055</v>
      </c>
      <c r="D769" s="117" t="n">
        <v>266.87</v>
      </c>
      <c r="E769" s="260" t="n">
        <v>1</v>
      </c>
    </row>
    <row r="770" customFormat="false" ht="14.25" hidden="true" customHeight="true" outlineLevel="0" collapsed="false">
      <c r="A770" s="263"/>
      <c r="B770" s="259"/>
      <c r="C770" s="259" t="s">
        <v>1056</v>
      </c>
      <c r="D770" s="117" t="n">
        <v>266.87</v>
      </c>
      <c r="E770" s="260" t="n">
        <v>2</v>
      </c>
    </row>
    <row r="771" customFormat="false" ht="14.25" hidden="true" customHeight="true" outlineLevel="0" collapsed="false">
      <c r="A771" s="263"/>
      <c r="B771" s="259"/>
      <c r="C771" s="259" t="s">
        <v>1057</v>
      </c>
      <c r="D771" s="117" t="n">
        <v>265.93</v>
      </c>
      <c r="E771" s="260" t="n">
        <v>2</v>
      </c>
    </row>
    <row r="772" customFormat="false" ht="14.25" hidden="true" customHeight="true" outlineLevel="0" collapsed="false">
      <c r="A772" s="263"/>
      <c r="B772" s="259"/>
      <c r="C772" s="259" t="s">
        <v>1058</v>
      </c>
      <c r="D772" s="117" t="n">
        <v>264.24</v>
      </c>
      <c r="E772" s="260" t="n">
        <v>2</v>
      </c>
    </row>
    <row r="773" customFormat="false" ht="14.25" hidden="true" customHeight="true" outlineLevel="0" collapsed="false">
      <c r="A773" s="263"/>
      <c r="B773" s="259"/>
      <c r="C773" s="259" t="s">
        <v>1059</v>
      </c>
      <c r="D773" s="117" t="n">
        <v>264.08</v>
      </c>
      <c r="E773" s="260" t="n">
        <v>4</v>
      </c>
    </row>
    <row r="774" customFormat="false" ht="14.25" hidden="true" customHeight="true" outlineLevel="0" collapsed="false">
      <c r="A774" s="263"/>
      <c r="B774" s="259"/>
      <c r="C774" s="259" t="s">
        <v>1060</v>
      </c>
      <c r="D774" s="117" t="n">
        <v>263.81</v>
      </c>
      <c r="E774" s="260" t="n">
        <v>8</v>
      </c>
    </row>
    <row r="775" customFormat="false" ht="14.25" hidden="true" customHeight="true" outlineLevel="0" collapsed="false">
      <c r="A775" s="263"/>
      <c r="B775" s="259"/>
      <c r="C775" s="259" t="s">
        <v>1061</v>
      </c>
      <c r="D775" s="117" t="n">
        <v>262.78</v>
      </c>
      <c r="E775" s="260" t="n">
        <v>3</v>
      </c>
    </row>
    <row r="776" customFormat="false" ht="14.25" hidden="true" customHeight="true" outlineLevel="0" collapsed="false">
      <c r="A776" s="263"/>
      <c r="B776" s="259"/>
      <c r="C776" s="259" t="s">
        <v>1062</v>
      </c>
      <c r="D776" s="117" t="n">
        <v>262.75</v>
      </c>
      <c r="E776" s="260" t="n">
        <v>5</v>
      </c>
    </row>
    <row r="777" customFormat="false" ht="14.25" hidden="true" customHeight="true" outlineLevel="0" collapsed="false">
      <c r="A777" s="263"/>
      <c r="B777" s="259"/>
      <c r="C777" s="259" t="s">
        <v>1063</v>
      </c>
      <c r="D777" s="117" t="n">
        <v>261.27</v>
      </c>
      <c r="E777" s="260" t="n">
        <v>6</v>
      </c>
    </row>
    <row r="778" customFormat="false" ht="14.25" hidden="true" customHeight="true" outlineLevel="0" collapsed="false">
      <c r="A778" s="263"/>
      <c r="B778" s="259"/>
      <c r="C778" s="259" t="s">
        <v>1064</v>
      </c>
      <c r="D778" s="117" t="n">
        <v>260.76</v>
      </c>
      <c r="E778" s="260" t="n">
        <v>3</v>
      </c>
    </row>
    <row r="779" customFormat="false" ht="14.25" hidden="true" customHeight="true" outlineLevel="0" collapsed="false">
      <c r="A779" s="263"/>
      <c r="B779" s="259"/>
      <c r="C779" s="259" t="s">
        <v>1065</v>
      </c>
      <c r="D779" s="117" t="n">
        <v>260.51</v>
      </c>
      <c r="E779" s="260" t="n">
        <v>6</v>
      </c>
    </row>
    <row r="780" customFormat="false" ht="14.25" hidden="true" customHeight="true" outlineLevel="0" collapsed="false">
      <c r="A780" s="263"/>
      <c r="B780" s="259"/>
      <c r="C780" s="259" t="s">
        <v>1066</v>
      </c>
      <c r="D780" s="117" t="n">
        <v>259.57</v>
      </c>
      <c r="E780" s="260" t="n">
        <v>7</v>
      </c>
    </row>
    <row r="781" customFormat="false" ht="14.25" hidden="true" customHeight="true" outlineLevel="0" collapsed="false">
      <c r="A781" s="263"/>
      <c r="B781" s="259"/>
      <c r="C781" s="259" t="s">
        <v>1067</v>
      </c>
      <c r="D781" s="117" t="n">
        <v>259.17</v>
      </c>
      <c r="E781" s="260" t="n">
        <v>2</v>
      </c>
    </row>
    <row r="782" customFormat="false" ht="14.25" hidden="true" customHeight="true" outlineLevel="0" collapsed="false">
      <c r="A782" s="263"/>
      <c r="B782" s="259"/>
      <c r="C782" s="259" t="s">
        <v>1068</v>
      </c>
      <c r="D782" s="117" t="n">
        <v>259.17</v>
      </c>
      <c r="E782" s="260" t="n">
        <v>2</v>
      </c>
    </row>
    <row r="783" customFormat="false" ht="14.25" hidden="true" customHeight="true" outlineLevel="0" collapsed="false">
      <c r="A783" s="263"/>
      <c r="B783" s="259"/>
      <c r="C783" s="259" t="s">
        <v>1069</v>
      </c>
      <c r="D783" s="117" t="n">
        <v>259.17</v>
      </c>
      <c r="E783" s="260" t="n">
        <v>2</v>
      </c>
    </row>
    <row r="784" customFormat="false" ht="14.25" hidden="true" customHeight="true" outlineLevel="0" collapsed="false">
      <c r="A784" s="263"/>
      <c r="B784" s="259"/>
      <c r="C784" s="259" t="s">
        <v>1070</v>
      </c>
      <c r="D784" s="117" t="n">
        <v>259.17</v>
      </c>
      <c r="E784" s="260" t="n">
        <v>2</v>
      </c>
    </row>
    <row r="785" customFormat="false" ht="14.25" hidden="true" customHeight="true" outlineLevel="0" collapsed="false">
      <c r="A785" s="263"/>
      <c r="B785" s="259"/>
      <c r="C785" s="259" t="s">
        <v>1071</v>
      </c>
      <c r="D785" s="117" t="n">
        <v>259.17</v>
      </c>
      <c r="E785" s="260" t="n">
        <v>2</v>
      </c>
    </row>
    <row r="786" customFormat="false" ht="14.25" hidden="true" customHeight="true" outlineLevel="0" collapsed="false">
      <c r="A786" s="263"/>
      <c r="B786" s="259"/>
      <c r="C786" s="259" t="s">
        <v>1072</v>
      </c>
      <c r="D786" s="117" t="n">
        <v>259.17</v>
      </c>
      <c r="E786" s="260" t="n">
        <v>2</v>
      </c>
    </row>
    <row r="787" customFormat="false" ht="14.25" hidden="true" customHeight="true" outlineLevel="0" collapsed="false">
      <c r="A787" s="263"/>
      <c r="B787" s="259"/>
      <c r="C787" s="259" t="s">
        <v>1073</v>
      </c>
      <c r="D787" s="117" t="n">
        <v>259.17</v>
      </c>
      <c r="E787" s="260" t="n">
        <v>2</v>
      </c>
    </row>
    <row r="788" customFormat="false" ht="14.25" hidden="true" customHeight="true" outlineLevel="0" collapsed="false">
      <c r="A788" s="263"/>
      <c r="B788" s="259"/>
      <c r="C788" s="259" t="s">
        <v>1074</v>
      </c>
      <c r="D788" s="117" t="n">
        <v>259.17</v>
      </c>
      <c r="E788" s="260" t="n">
        <v>2</v>
      </c>
    </row>
    <row r="789" customFormat="false" ht="14.25" hidden="true" customHeight="true" outlineLevel="0" collapsed="false">
      <c r="A789" s="263"/>
      <c r="B789" s="259"/>
      <c r="C789" s="259" t="s">
        <v>1075</v>
      </c>
      <c r="D789" s="117" t="n">
        <v>259.17</v>
      </c>
      <c r="E789" s="260" t="n">
        <v>2</v>
      </c>
    </row>
    <row r="790" customFormat="false" ht="14.25" hidden="true" customHeight="true" outlineLevel="0" collapsed="false">
      <c r="A790" s="263"/>
      <c r="B790" s="259"/>
      <c r="C790" s="259" t="s">
        <v>1076</v>
      </c>
      <c r="D790" s="117" t="n">
        <v>259.17</v>
      </c>
      <c r="E790" s="260" t="n">
        <v>2</v>
      </c>
    </row>
    <row r="791" customFormat="false" ht="14.25" hidden="true" customHeight="true" outlineLevel="0" collapsed="false">
      <c r="A791" s="263"/>
      <c r="B791" s="259"/>
      <c r="C791" s="259" t="s">
        <v>1077</v>
      </c>
      <c r="D791" s="117" t="n">
        <v>259.06</v>
      </c>
      <c r="E791" s="260" t="n">
        <v>3</v>
      </c>
    </row>
    <row r="792" customFormat="false" ht="14.25" hidden="true" customHeight="true" outlineLevel="0" collapsed="false">
      <c r="A792" s="263"/>
      <c r="B792" s="259"/>
      <c r="C792" s="259" t="s">
        <v>1078</v>
      </c>
      <c r="D792" s="117" t="n">
        <v>258.98</v>
      </c>
      <c r="E792" s="260" t="n">
        <v>4</v>
      </c>
    </row>
    <row r="793" customFormat="false" ht="14.25" hidden="true" customHeight="true" outlineLevel="0" collapsed="false">
      <c r="A793" s="263"/>
      <c r="B793" s="259"/>
      <c r="C793" s="259" t="s">
        <v>1079</v>
      </c>
      <c r="D793" s="117" t="n">
        <v>258.39</v>
      </c>
      <c r="E793" s="260" t="n">
        <v>4</v>
      </c>
    </row>
    <row r="794" customFormat="false" ht="14.25" hidden="true" customHeight="true" outlineLevel="0" collapsed="false">
      <c r="A794" s="263"/>
      <c r="B794" s="259"/>
      <c r="C794" s="259" t="s">
        <v>1080</v>
      </c>
      <c r="D794" s="117" t="n">
        <v>257.37</v>
      </c>
      <c r="E794" s="260" t="n">
        <v>3</v>
      </c>
    </row>
    <row r="795" customFormat="false" ht="14.25" hidden="true" customHeight="true" outlineLevel="0" collapsed="false">
      <c r="A795" s="263"/>
      <c r="B795" s="259"/>
      <c r="C795" s="259" t="s">
        <v>1081</v>
      </c>
      <c r="D795" s="117" t="n">
        <v>256.61</v>
      </c>
      <c r="E795" s="260" t="n">
        <v>2</v>
      </c>
    </row>
    <row r="796" customFormat="false" ht="14.25" hidden="true" customHeight="true" outlineLevel="0" collapsed="false">
      <c r="A796" s="263"/>
      <c r="B796" s="259"/>
      <c r="C796" s="259" t="s">
        <v>1082</v>
      </c>
      <c r="D796" s="117" t="n">
        <v>256.56</v>
      </c>
      <c r="E796" s="260" t="n">
        <v>3</v>
      </c>
    </row>
    <row r="797" customFormat="false" ht="14.25" hidden="true" customHeight="true" outlineLevel="0" collapsed="false">
      <c r="A797" s="263"/>
      <c r="B797" s="259"/>
      <c r="C797" s="259" t="s">
        <v>1083</v>
      </c>
      <c r="D797" s="117" t="n">
        <v>254.58</v>
      </c>
      <c r="E797" s="260" t="n">
        <v>4</v>
      </c>
    </row>
    <row r="798" customFormat="false" ht="14.25" hidden="true" customHeight="true" outlineLevel="0" collapsed="false">
      <c r="A798" s="263"/>
      <c r="B798" s="259"/>
      <c r="C798" s="259" t="s">
        <v>1084</v>
      </c>
      <c r="D798" s="117" t="n">
        <v>254.16</v>
      </c>
      <c r="E798" s="260" t="n">
        <v>1</v>
      </c>
    </row>
    <row r="799" customFormat="false" ht="14.25" hidden="true" customHeight="true" outlineLevel="0" collapsed="false">
      <c r="A799" s="263"/>
      <c r="B799" s="259"/>
      <c r="C799" s="259" t="s">
        <v>1085</v>
      </c>
      <c r="D799" s="117" t="n">
        <v>254.16</v>
      </c>
      <c r="E799" s="260" t="n">
        <v>1</v>
      </c>
    </row>
    <row r="800" customFormat="false" ht="14.25" hidden="true" customHeight="true" outlineLevel="0" collapsed="false">
      <c r="A800" s="263"/>
      <c r="B800" s="259"/>
      <c r="C800" s="259" t="s">
        <v>1086</v>
      </c>
      <c r="D800" s="117" t="n">
        <v>254.16</v>
      </c>
      <c r="E800" s="260" t="n">
        <v>1</v>
      </c>
    </row>
    <row r="801" customFormat="false" ht="14.25" hidden="true" customHeight="true" outlineLevel="0" collapsed="false">
      <c r="A801" s="263"/>
      <c r="B801" s="259"/>
      <c r="C801" s="259" t="s">
        <v>1087</v>
      </c>
      <c r="D801" s="117" t="n">
        <v>254.16</v>
      </c>
      <c r="E801" s="260" t="n">
        <v>1</v>
      </c>
    </row>
    <row r="802" customFormat="false" ht="14.25" hidden="true" customHeight="true" outlineLevel="0" collapsed="false">
      <c r="A802" s="263"/>
      <c r="B802" s="259"/>
      <c r="C802" s="259" t="s">
        <v>1088</v>
      </c>
      <c r="D802" s="117" t="n">
        <v>254.16</v>
      </c>
      <c r="E802" s="260" t="n">
        <v>1</v>
      </c>
    </row>
    <row r="803" customFormat="false" ht="14.25" hidden="true" customHeight="true" outlineLevel="0" collapsed="false">
      <c r="A803" s="263"/>
      <c r="B803" s="259"/>
      <c r="C803" s="259" t="s">
        <v>1089</v>
      </c>
      <c r="D803" s="117" t="n">
        <v>254.16</v>
      </c>
      <c r="E803" s="260" t="n">
        <v>1</v>
      </c>
    </row>
    <row r="804" customFormat="false" ht="14.25" hidden="true" customHeight="true" outlineLevel="0" collapsed="false">
      <c r="A804" s="263"/>
      <c r="B804" s="259"/>
      <c r="C804" s="259" t="s">
        <v>1090</v>
      </c>
      <c r="D804" s="117" t="n">
        <v>254.15</v>
      </c>
      <c r="E804" s="260" t="n">
        <v>1</v>
      </c>
    </row>
    <row r="805" customFormat="false" ht="14.25" hidden="true" customHeight="true" outlineLevel="0" collapsed="false">
      <c r="A805" s="263"/>
      <c r="B805" s="259"/>
      <c r="C805" s="259" t="s">
        <v>1091</v>
      </c>
      <c r="D805" s="117" t="n">
        <v>254.15</v>
      </c>
      <c r="E805" s="260" t="n">
        <v>1</v>
      </c>
    </row>
    <row r="806" customFormat="false" ht="14.25" hidden="true" customHeight="true" outlineLevel="0" collapsed="false">
      <c r="A806" s="263"/>
      <c r="B806" s="259"/>
      <c r="C806" s="259" t="s">
        <v>1092</v>
      </c>
      <c r="D806" s="117" t="n">
        <v>254.15</v>
      </c>
      <c r="E806" s="260" t="n">
        <v>1</v>
      </c>
    </row>
    <row r="807" customFormat="false" ht="14.25" hidden="true" customHeight="true" outlineLevel="0" collapsed="false">
      <c r="A807" s="263"/>
      <c r="B807" s="259"/>
      <c r="C807" s="259" t="s">
        <v>1093</v>
      </c>
      <c r="D807" s="117" t="n">
        <v>254.15</v>
      </c>
      <c r="E807" s="260" t="n">
        <v>1</v>
      </c>
    </row>
    <row r="808" customFormat="false" ht="14.25" hidden="true" customHeight="true" outlineLevel="0" collapsed="false">
      <c r="A808" s="263"/>
      <c r="B808" s="259"/>
      <c r="C808" s="259" t="s">
        <v>1094</v>
      </c>
      <c r="D808" s="117" t="n">
        <v>254.15</v>
      </c>
      <c r="E808" s="260" t="n">
        <v>1</v>
      </c>
    </row>
    <row r="809" customFormat="false" ht="14.25" hidden="true" customHeight="true" outlineLevel="0" collapsed="false">
      <c r="A809" s="263"/>
      <c r="B809" s="259"/>
      <c r="C809" s="259" t="s">
        <v>1095</v>
      </c>
      <c r="D809" s="117" t="n">
        <v>254.15</v>
      </c>
      <c r="E809" s="260" t="n">
        <v>1</v>
      </c>
    </row>
    <row r="810" customFormat="false" ht="14.25" hidden="true" customHeight="true" outlineLevel="0" collapsed="false">
      <c r="A810" s="263"/>
      <c r="B810" s="259"/>
      <c r="C810" s="259" t="s">
        <v>1096</v>
      </c>
      <c r="D810" s="117" t="n">
        <v>254.15</v>
      </c>
      <c r="E810" s="260" t="n">
        <v>1</v>
      </c>
    </row>
    <row r="811" customFormat="false" ht="14.25" hidden="true" customHeight="true" outlineLevel="0" collapsed="false">
      <c r="A811" s="263"/>
      <c r="B811" s="259"/>
      <c r="C811" s="259" t="s">
        <v>1097</v>
      </c>
      <c r="D811" s="117" t="n">
        <v>254.15</v>
      </c>
      <c r="E811" s="260" t="n">
        <v>1</v>
      </c>
    </row>
    <row r="812" customFormat="false" ht="14.25" hidden="true" customHeight="true" outlineLevel="0" collapsed="false">
      <c r="A812" s="263"/>
      <c r="B812" s="259"/>
      <c r="C812" s="259" t="s">
        <v>1098</v>
      </c>
      <c r="D812" s="117" t="n">
        <v>254.15</v>
      </c>
      <c r="E812" s="260" t="n">
        <v>1</v>
      </c>
    </row>
    <row r="813" customFormat="false" ht="14.25" hidden="true" customHeight="true" outlineLevel="0" collapsed="false">
      <c r="A813" s="263"/>
      <c r="B813" s="259"/>
      <c r="C813" s="259" t="s">
        <v>1099</v>
      </c>
      <c r="D813" s="117" t="n">
        <v>254.15</v>
      </c>
      <c r="E813" s="260" t="n">
        <v>1</v>
      </c>
    </row>
    <row r="814" customFormat="false" ht="14.25" hidden="true" customHeight="true" outlineLevel="0" collapsed="false">
      <c r="A814" s="263"/>
      <c r="B814" s="259"/>
      <c r="C814" s="259" t="s">
        <v>1100</v>
      </c>
      <c r="D814" s="117" t="n">
        <v>254.15</v>
      </c>
      <c r="E814" s="260" t="n">
        <v>1</v>
      </c>
    </row>
    <row r="815" customFormat="false" ht="14.25" hidden="true" customHeight="true" outlineLevel="0" collapsed="false">
      <c r="A815" s="263"/>
      <c r="B815" s="259"/>
      <c r="C815" s="259" t="s">
        <v>1101</v>
      </c>
      <c r="D815" s="117" t="n">
        <v>254.07</v>
      </c>
      <c r="E815" s="260" t="n">
        <v>2</v>
      </c>
    </row>
    <row r="816" customFormat="false" ht="14.25" hidden="true" customHeight="true" outlineLevel="0" collapsed="false">
      <c r="A816" s="263"/>
      <c r="B816" s="259"/>
      <c r="C816" s="259" t="s">
        <v>1102</v>
      </c>
      <c r="D816" s="117" t="n">
        <v>254.07</v>
      </c>
      <c r="E816" s="260" t="n">
        <v>2</v>
      </c>
    </row>
    <row r="817" customFormat="false" ht="14.25" hidden="true" customHeight="true" outlineLevel="0" collapsed="false">
      <c r="A817" s="263"/>
      <c r="B817" s="259"/>
      <c r="C817" s="259" t="s">
        <v>1103</v>
      </c>
      <c r="D817" s="117" t="n">
        <v>253.99</v>
      </c>
      <c r="E817" s="260" t="n">
        <v>3</v>
      </c>
    </row>
    <row r="818" customFormat="false" ht="14.25" hidden="true" customHeight="true" outlineLevel="0" collapsed="false">
      <c r="A818" s="263"/>
      <c r="B818" s="259"/>
      <c r="C818" s="259" t="s">
        <v>1104</v>
      </c>
      <c r="D818" s="117" t="n">
        <v>253.99</v>
      </c>
      <c r="E818" s="260" t="n">
        <v>3</v>
      </c>
    </row>
    <row r="819" customFormat="false" ht="14.25" hidden="true" customHeight="true" outlineLevel="0" collapsed="false">
      <c r="A819" s="263"/>
      <c r="B819" s="259"/>
      <c r="C819" s="259" t="s">
        <v>1105</v>
      </c>
      <c r="D819" s="117" t="n">
        <v>252.05</v>
      </c>
      <c r="E819" s="260" t="n">
        <v>2</v>
      </c>
    </row>
    <row r="820" customFormat="false" ht="14.25" hidden="true" customHeight="true" outlineLevel="0" collapsed="false">
      <c r="A820" s="263"/>
      <c r="B820" s="259"/>
      <c r="C820" s="259" t="s">
        <v>1106</v>
      </c>
      <c r="D820" s="117" t="n">
        <v>252.05</v>
      </c>
      <c r="E820" s="260" t="n">
        <v>2</v>
      </c>
    </row>
    <row r="821" customFormat="false" ht="14.25" hidden="true" customHeight="true" outlineLevel="0" collapsed="false">
      <c r="A821" s="263"/>
      <c r="B821" s="259"/>
      <c r="C821" s="259" t="s">
        <v>1107</v>
      </c>
      <c r="D821" s="117" t="n">
        <v>252.05</v>
      </c>
      <c r="E821" s="260" t="n">
        <v>2</v>
      </c>
    </row>
    <row r="822" customFormat="false" ht="14.25" hidden="true" customHeight="true" outlineLevel="0" collapsed="false">
      <c r="A822" s="263"/>
      <c r="B822" s="259"/>
      <c r="C822" s="259" t="s">
        <v>1108</v>
      </c>
      <c r="D822" s="117" t="n">
        <v>248.73</v>
      </c>
      <c r="E822" s="260" t="n">
        <v>6</v>
      </c>
    </row>
    <row r="823" customFormat="false" ht="14.25" hidden="true" customHeight="true" outlineLevel="0" collapsed="false">
      <c r="A823" s="263"/>
      <c r="B823" s="259"/>
      <c r="C823" s="259" t="s">
        <v>1109</v>
      </c>
      <c r="D823" s="117" t="n">
        <v>248.22</v>
      </c>
      <c r="E823" s="260" t="n">
        <v>1</v>
      </c>
    </row>
    <row r="824" customFormat="false" ht="14.25" hidden="true" customHeight="true" outlineLevel="0" collapsed="false">
      <c r="A824" s="263"/>
      <c r="B824" s="259"/>
      <c r="C824" s="259" t="s">
        <v>1110</v>
      </c>
      <c r="D824" s="117" t="n">
        <v>246.81</v>
      </c>
      <c r="E824" s="260" t="n">
        <v>4</v>
      </c>
    </row>
    <row r="825" customFormat="false" ht="14.25" hidden="true" customHeight="true" outlineLevel="0" collapsed="false">
      <c r="A825" s="263"/>
      <c r="B825" s="259"/>
      <c r="C825" s="259" t="s">
        <v>1111</v>
      </c>
      <c r="D825" s="117" t="n">
        <v>243.92</v>
      </c>
      <c r="E825" s="260" t="n">
        <v>2</v>
      </c>
    </row>
    <row r="826" customFormat="false" ht="14.25" hidden="true" customHeight="true" outlineLevel="0" collapsed="false">
      <c r="A826" s="263"/>
      <c r="B826" s="259"/>
      <c r="C826" s="259" t="s">
        <v>1112</v>
      </c>
      <c r="D826" s="117" t="n">
        <v>241.44</v>
      </c>
      <c r="E826" s="260" t="n">
        <v>1</v>
      </c>
    </row>
    <row r="827" customFormat="false" ht="14.25" hidden="true" customHeight="true" outlineLevel="0" collapsed="false">
      <c r="A827" s="263"/>
      <c r="B827" s="259"/>
      <c r="C827" s="259" t="s">
        <v>1113</v>
      </c>
      <c r="D827" s="117" t="n">
        <v>240.34</v>
      </c>
      <c r="E827" s="260" t="n">
        <v>4</v>
      </c>
    </row>
    <row r="828" customFormat="false" ht="14.25" hidden="true" customHeight="true" outlineLevel="0" collapsed="false">
      <c r="A828" s="263"/>
      <c r="B828" s="259"/>
      <c r="C828" s="259" t="s">
        <v>1114</v>
      </c>
      <c r="D828" s="117" t="n">
        <v>237.05</v>
      </c>
      <c r="E828" s="260" t="n">
        <v>2</v>
      </c>
    </row>
    <row r="829" customFormat="false" ht="14.25" hidden="true" customHeight="true" outlineLevel="0" collapsed="false">
      <c r="A829" s="263"/>
      <c r="B829" s="259"/>
      <c r="C829" s="259" t="s">
        <v>1115</v>
      </c>
      <c r="D829" s="117" t="n">
        <v>235.37</v>
      </c>
      <c r="E829" s="260" t="n">
        <v>4</v>
      </c>
    </row>
    <row r="830" customFormat="false" ht="14.25" hidden="true" customHeight="true" outlineLevel="0" collapsed="false">
      <c r="A830" s="263"/>
      <c r="B830" s="259"/>
      <c r="C830" s="259" t="s">
        <v>1116</v>
      </c>
      <c r="D830" s="117" t="n">
        <v>234.58</v>
      </c>
      <c r="E830" s="260" t="n">
        <v>10</v>
      </c>
    </row>
    <row r="831" customFormat="false" ht="14.25" hidden="true" customHeight="true" outlineLevel="0" collapsed="false">
      <c r="A831" s="263"/>
      <c r="B831" s="259"/>
      <c r="C831" s="259" t="s">
        <v>1117</v>
      </c>
      <c r="D831" s="117" t="n">
        <v>233.92</v>
      </c>
      <c r="E831" s="260" t="n">
        <v>3</v>
      </c>
    </row>
    <row r="832" customFormat="false" ht="14.25" hidden="true" customHeight="true" outlineLevel="0" collapsed="false">
      <c r="A832" s="263"/>
      <c r="B832" s="259"/>
      <c r="C832" s="259" t="s">
        <v>1118</v>
      </c>
      <c r="D832" s="117" t="n">
        <v>230.37</v>
      </c>
      <c r="E832" s="260" t="n">
        <v>2</v>
      </c>
    </row>
    <row r="833" customFormat="false" ht="14.25" hidden="true" customHeight="true" outlineLevel="0" collapsed="false">
      <c r="A833" s="263"/>
      <c r="B833" s="259"/>
      <c r="C833" s="259" t="s">
        <v>1119</v>
      </c>
      <c r="D833" s="117" t="n">
        <v>230.37</v>
      </c>
      <c r="E833" s="260" t="n">
        <v>2</v>
      </c>
    </row>
    <row r="834" customFormat="false" ht="14.25" hidden="true" customHeight="true" outlineLevel="0" collapsed="false">
      <c r="A834" s="263"/>
      <c r="B834" s="259"/>
      <c r="C834" s="259" t="s">
        <v>1120</v>
      </c>
      <c r="D834" s="117" t="n">
        <v>230.37</v>
      </c>
      <c r="E834" s="260" t="n">
        <v>2</v>
      </c>
    </row>
    <row r="835" customFormat="false" ht="14.25" hidden="true" customHeight="true" outlineLevel="0" collapsed="false">
      <c r="A835" s="263"/>
      <c r="B835" s="259"/>
      <c r="C835" s="259" t="s">
        <v>1121</v>
      </c>
      <c r="D835" s="117" t="n">
        <v>230.37</v>
      </c>
      <c r="E835" s="260" t="n">
        <v>2</v>
      </c>
    </row>
    <row r="836" customFormat="false" ht="14.25" hidden="true" customHeight="true" outlineLevel="0" collapsed="false">
      <c r="A836" s="263"/>
      <c r="B836" s="259"/>
      <c r="C836" s="259" t="s">
        <v>1122</v>
      </c>
      <c r="D836" s="117" t="n">
        <v>230.37</v>
      </c>
      <c r="E836" s="260" t="n">
        <v>2</v>
      </c>
    </row>
    <row r="837" customFormat="false" ht="14.25" hidden="true" customHeight="true" outlineLevel="0" collapsed="false">
      <c r="A837" s="263"/>
      <c r="B837" s="259"/>
      <c r="C837" s="259" t="s">
        <v>1123</v>
      </c>
      <c r="D837" s="117" t="n">
        <v>230.37</v>
      </c>
      <c r="E837" s="260" t="n">
        <v>2</v>
      </c>
    </row>
    <row r="838" customFormat="false" ht="14.25" hidden="true" customHeight="true" outlineLevel="0" collapsed="false">
      <c r="A838" s="263"/>
      <c r="B838" s="259"/>
      <c r="C838" s="259" t="s">
        <v>1124</v>
      </c>
      <c r="D838" s="117" t="n">
        <v>230.37</v>
      </c>
      <c r="E838" s="260" t="n">
        <v>2</v>
      </c>
    </row>
    <row r="839" customFormat="false" ht="14.25" hidden="true" customHeight="true" outlineLevel="0" collapsed="false">
      <c r="A839" s="263"/>
      <c r="B839" s="259"/>
      <c r="C839" s="259" t="s">
        <v>1125</v>
      </c>
      <c r="D839" s="117" t="n">
        <v>229.51</v>
      </c>
      <c r="E839" s="260" t="n">
        <v>2</v>
      </c>
    </row>
    <row r="840" customFormat="false" ht="14.25" hidden="true" customHeight="true" outlineLevel="0" collapsed="false">
      <c r="A840" s="263"/>
      <c r="B840" s="259"/>
      <c r="C840" s="259" t="s">
        <v>1126</v>
      </c>
      <c r="D840" s="117" t="n">
        <v>229.51</v>
      </c>
      <c r="E840" s="260" t="n">
        <v>2</v>
      </c>
    </row>
    <row r="841" customFormat="false" ht="14.25" hidden="true" customHeight="true" outlineLevel="0" collapsed="false">
      <c r="A841" s="263"/>
      <c r="B841" s="259"/>
      <c r="C841" s="259" t="s">
        <v>1127</v>
      </c>
      <c r="D841" s="117" t="n">
        <v>228.74</v>
      </c>
      <c r="E841" s="260" t="n">
        <v>1</v>
      </c>
    </row>
    <row r="842" customFormat="false" ht="14.25" hidden="true" customHeight="true" outlineLevel="0" collapsed="false">
      <c r="A842" s="263"/>
      <c r="B842" s="259"/>
      <c r="C842" s="259" t="s">
        <v>1128</v>
      </c>
      <c r="D842" s="117" t="n">
        <v>228.74</v>
      </c>
      <c r="E842" s="260" t="n">
        <v>1</v>
      </c>
    </row>
    <row r="843" customFormat="false" ht="14.25" hidden="true" customHeight="true" outlineLevel="0" collapsed="false">
      <c r="A843" s="263"/>
      <c r="B843" s="259"/>
      <c r="C843" s="259" t="s">
        <v>1129</v>
      </c>
      <c r="D843" s="117" t="n">
        <v>228.74</v>
      </c>
      <c r="E843" s="260" t="n">
        <v>1</v>
      </c>
    </row>
    <row r="844" customFormat="false" ht="14.25" hidden="true" customHeight="true" outlineLevel="0" collapsed="false">
      <c r="A844" s="263"/>
      <c r="B844" s="259"/>
      <c r="C844" s="259" t="s">
        <v>1130</v>
      </c>
      <c r="D844" s="117" t="n">
        <v>228.74</v>
      </c>
      <c r="E844" s="260" t="n">
        <v>1</v>
      </c>
    </row>
    <row r="845" customFormat="false" ht="14.25" hidden="true" customHeight="true" outlineLevel="0" collapsed="false">
      <c r="A845" s="263"/>
      <c r="B845" s="259"/>
      <c r="C845" s="259" t="s">
        <v>1131</v>
      </c>
      <c r="D845" s="117" t="n">
        <v>228.74</v>
      </c>
      <c r="E845" s="260" t="n">
        <v>1</v>
      </c>
    </row>
    <row r="846" customFormat="false" ht="14.25" hidden="true" customHeight="true" outlineLevel="0" collapsed="false">
      <c r="A846" s="263"/>
      <c r="B846" s="259"/>
      <c r="C846" s="259" t="s">
        <v>1132</v>
      </c>
      <c r="D846" s="117" t="n">
        <v>228.73</v>
      </c>
      <c r="E846" s="260" t="n">
        <v>1</v>
      </c>
    </row>
    <row r="847" customFormat="false" ht="14.25" hidden="true" customHeight="true" outlineLevel="0" collapsed="false">
      <c r="A847" s="263"/>
      <c r="B847" s="259"/>
      <c r="C847" s="259" t="s">
        <v>1133</v>
      </c>
      <c r="D847" s="117" t="n">
        <v>228.73</v>
      </c>
      <c r="E847" s="260" t="n">
        <v>1</v>
      </c>
    </row>
    <row r="848" customFormat="false" ht="14.25" hidden="true" customHeight="true" outlineLevel="0" collapsed="false">
      <c r="A848" s="263"/>
      <c r="B848" s="259"/>
      <c r="C848" s="259" t="s">
        <v>1134</v>
      </c>
      <c r="D848" s="117" t="n">
        <v>228.73</v>
      </c>
      <c r="E848" s="260" t="n">
        <v>1</v>
      </c>
    </row>
    <row r="849" customFormat="false" ht="14.25" hidden="true" customHeight="true" outlineLevel="0" collapsed="false">
      <c r="A849" s="263"/>
      <c r="B849" s="259"/>
      <c r="C849" s="259" t="s">
        <v>1135</v>
      </c>
      <c r="D849" s="117" t="n">
        <v>228.73</v>
      </c>
      <c r="E849" s="260" t="n">
        <v>1</v>
      </c>
    </row>
    <row r="850" customFormat="false" ht="14.25" hidden="true" customHeight="true" outlineLevel="0" collapsed="false">
      <c r="A850" s="263"/>
      <c r="B850" s="259"/>
      <c r="C850" s="259" t="s">
        <v>1136</v>
      </c>
      <c r="D850" s="117" t="n">
        <v>228.73</v>
      </c>
      <c r="E850" s="260" t="n">
        <v>1</v>
      </c>
    </row>
    <row r="851" customFormat="false" ht="14.25" hidden="true" customHeight="true" outlineLevel="0" collapsed="false">
      <c r="A851" s="263"/>
      <c r="B851" s="259"/>
      <c r="C851" s="259" t="s">
        <v>1137</v>
      </c>
      <c r="D851" s="117" t="n">
        <v>228.65</v>
      </c>
      <c r="E851" s="260" t="n">
        <v>2</v>
      </c>
    </row>
    <row r="852" customFormat="false" ht="14.25" hidden="true" customHeight="true" outlineLevel="0" collapsed="false">
      <c r="A852" s="263"/>
      <c r="B852" s="259"/>
      <c r="C852" s="259" t="s">
        <v>1138</v>
      </c>
      <c r="D852" s="117" t="n">
        <v>228.65</v>
      </c>
      <c r="E852" s="260" t="n">
        <v>2</v>
      </c>
    </row>
    <row r="853" customFormat="false" ht="14.25" hidden="true" customHeight="true" outlineLevel="0" collapsed="false">
      <c r="A853" s="263"/>
      <c r="B853" s="259"/>
      <c r="C853" s="259" t="s">
        <v>1139</v>
      </c>
      <c r="D853" s="117" t="n">
        <v>228.65</v>
      </c>
      <c r="E853" s="260" t="n">
        <v>2</v>
      </c>
    </row>
    <row r="854" customFormat="false" ht="14.25" hidden="true" customHeight="true" outlineLevel="0" collapsed="false">
      <c r="A854" s="263"/>
      <c r="B854" s="259"/>
      <c r="C854" s="259" t="s">
        <v>1140</v>
      </c>
      <c r="D854" s="117" t="n">
        <v>228.65</v>
      </c>
      <c r="E854" s="260" t="n">
        <v>2</v>
      </c>
    </row>
    <row r="855" customFormat="false" ht="14.25" hidden="true" customHeight="true" outlineLevel="0" collapsed="false">
      <c r="A855" s="263"/>
      <c r="B855" s="259"/>
      <c r="C855" s="259" t="s">
        <v>1141</v>
      </c>
      <c r="D855" s="117" t="n">
        <v>228.65</v>
      </c>
      <c r="E855" s="260" t="n">
        <v>2</v>
      </c>
    </row>
    <row r="856" customFormat="false" ht="14.25" hidden="true" customHeight="true" outlineLevel="0" collapsed="false">
      <c r="A856" s="263"/>
      <c r="B856" s="259"/>
      <c r="C856" s="259" t="s">
        <v>1142</v>
      </c>
      <c r="D856" s="117" t="n">
        <v>228.65</v>
      </c>
      <c r="E856" s="260" t="n">
        <v>2</v>
      </c>
    </row>
    <row r="857" customFormat="false" ht="14.25" hidden="true" customHeight="true" outlineLevel="0" collapsed="false">
      <c r="A857" s="263"/>
      <c r="B857" s="259"/>
      <c r="C857" s="259" t="s">
        <v>1143</v>
      </c>
      <c r="D857" s="117" t="n">
        <v>228.64</v>
      </c>
      <c r="E857" s="260" t="n">
        <v>2</v>
      </c>
    </row>
    <row r="858" customFormat="false" ht="14.25" hidden="true" customHeight="true" outlineLevel="0" collapsed="false">
      <c r="A858" s="263"/>
      <c r="B858" s="259"/>
      <c r="C858" s="259" t="s">
        <v>1144</v>
      </c>
      <c r="D858" s="117" t="n">
        <v>228.64</v>
      </c>
      <c r="E858" s="260" t="n">
        <v>2</v>
      </c>
    </row>
    <row r="859" customFormat="false" ht="14.25" hidden="true" customHeight="true" outlineLevel="0" collapsed="false">
      <c r="A859" s="263"/>
      <c r="B859" s="259"/>
      <c r="C859" s="259" t="s">
        <v>1145</v>
      </c>
      <c r="D859" s="117" t="n">
        <v>228.64</v>
      </c>
      <c r="E859" s="260" t="n">
        <v>2</v>
      </c>
    </row>
    <row r="860" customFormat="false" ht="14.25" hidden="true" customHeight="true" outlineLevel="0" collapsed="false">
      <c r="A860" s="263"/>
      <c r="B860" s="259"/>
      <c r="C860" s="259" t="s">
        <v>1146</v>
      </c>
      <c r="D860" s="117" t="n">
        <v>228.64</v>
      </c>
      <c r="E860" s="260" t="n">
        <v>2</v>
      </c>
    </row>
    <row r="861" customFormat="false" ht="14.25" hidden="true" customHeight="true" outlineLevel="0" collapsed="false">
      <c r="A861" s="263"/>
      <c r="B861" s="259"/>
      <c r="C861" s="259" t="s">
        <v>1147</v>
      </c>
      <c r="D861" s="117" t="n">
        <v>228.56</v>
      </c>
      <c r="E861" s="260" t="n">
        <v>3</v>
      </c>
    </row>
    <row r="862" customFormat="false" ht="14.25" hidden="true" customHeight="true" outlineLevel="0" collapsed="false">
      <c r="A862" s="263"/>
      <c r="B862" s="259"/>
      <c r="C862" s="259" t="s">
        <v>1148</v>
      </c>
      <c r="D862" s="117" t="n">
        <v>227.96</v>
      </c>
      <c r="E862" s="260" t="n">
        <v>10</v>
      </c>
    </row>
    <row r="863" customFormat="false" ht="14.25" hidden="true" customHeight="true" outlineLevel="0" collapsed="false">
      <c r="A863" s="263"/>
      <c r="B863" s="259"/>
      <c r="C863" s="259" t="s">
        <v>1149</v>
      </c>
      <c r="D863" s="117" t="n">
        <v>227.31</v>
      </c>
      <c r="E863" s="260" t="n">
        <v>2</v>
      </c>
    </row>
    <row r="864" customFormat="false" ht="14.25" hidden="true" customHeight="true" outlineLevel="0" collapsed="false">
      <c r="A864" s="263"/>
      <c r="B864" s="259"/>
      <c r="C864" s="259" t="s">
        <v>1150</v>
      </c>
      <c r="D864" s="117" t="n">
        <v>226.95</v>
      </c>
      <c r="E864" s="260" t="n">
        <v>2</v>
      </c>
    </row>
    <row r="865" customFormat="false" ht="14.25" hidden="true" customHeight="true" outlineLevel="0" collapsed="false">
      <c r="A865" s="263"/>
      <c r="B865" s="259"/>
      <c r="C865" s="259" t="s">
        <v>1151</v>
      </c>
      <c r="D865" s="117" t="n">
        <v>221.11</v>
      </c>
      <c r="E865" s="260" t="n">
        <v>1</v>
      </c>
    </row>
    <row r="866" customFormat="false" ht="14.25" hidden="true" customHeight="true" outlineLevel="0" collapsed="false">
      <c r="A866" s="263"/>
      <c r="B866" s="259"/>
      <c r="C866" s="259" t="s">
        <v>1152</v>
      </c>
      <c r="D866" s="117" t="n">
        <v>221.11</v>
      </c>
      <c r="E866" s="260" t="n">
        <v>1</v>
      </c>
    </row>
    <row r="867" customFormat="false" ht="14.25" hidden="true" customHeight="true" outlineLevel="0" collapsed="false">
      <c r="A867" s="263"/>
      <c r="B867" s="259"/>
      <c r="C867" s="259" t="s">
        <v>1153</v>
      </c>
      <c r="D867" s="117" t="n">
        <v>221.02</v>
      </c>
      <c r="E867" s="260" t="n">
        <v>2</v>
      </c>
    </row>
    <row r="868" customFormat="false" ht="14.25" hidden="true" customHeight="true" outlineLevel="0" collapsed="false">
      <c r="A868" s="263"/>
      <c r="B868" s="259"/>
      <c r="C868" s="259" t="s">
        <v>1154</v>
      </c>
      <c r="D868" s="117" t="n">
        <v>220</v>
      </c>
      <c r="E868" s="260" t="n">
        <v>4</v>
      </c>
    </row>
    <row r="869" customFormat="false" ht="14.25" hidden="true" customHeight="true" outlineLevel="0" collapsed="false">
      <c r="A869" s="263"/>
      <c r="B869" s="259"/>
      <c r="C869" s="259" t="s">
        <v>1155</v>
      </c>
      <c r="D869" s="117" t="n">
        <v>217.3</v>
      </c>
      <c r="E869" s="260" t="n">
        <v>1</v>
      </c>
    </row>
    <row r="870" customFormat="false" ht="14.25" hidden="true" customHeight="true" outlineLevel="0" collapsed="false">
      <c r="A870" s="263"/>
      <c r="B870" s="259"/>
      <c r="C870" s="259" t="s">
        <v>1156</v>
      </c>
      <c r="D870" s="117" t="n">
        <v>217.22</v>
      </c>
      <c r="E870" s="260" t="n">
        <v>2</v>
      </c>
    </row>
    <row r="871" customFormat="false" ht="14.25" hidden="true" customHeight="true" outlineLevel="0" collapsed="false">
      <c r="A871" s="263"/>
      <c r="B871" s="259"/>
      <c r="C871" s="259" t="s">
        <v>1157</v>
      </c>
      <c r="D871" s="117" t="n">
        <v>216.78</v>
      </c>
      <c r="E871" s="260" t="n">
        <v>2</v>
      </c>
    </row>
    <row r="872" customFormat="false" ht="14.25" hidden="true" customHeight="true" outlineLevel="0" collapsed="false">
      <c r="A872" s="263"/>
      <c r="B872" s="259"/>
      <c r="C872" s="259" t="s">
        <v>1158</v>
      </c>
      <c r="D872" s="117" t="n">
        <v>216.02</v>
      </c>
      <c r="E872" s="260" t="n">
        <v>1</v>
      </c>
    </row>
    <row r="873" customFormat="false" ht="14.25" hidden="true" customHeight="true" outlineLevel="0" collapsed="false">
      <c r="A873" s="263"/>
      <c r="B873" s="259"/>
      <c r="C873" s="259" t="s">
        <v>1159</v>
      </c>
      <c r="D873" s="117" t="n">
        <v>216.01</v>
      </c>
      <c r="E873" s="260" t="n">
        <v>1</v>
      </c>
    </row>
    <row r="874" customFormat="false" ht="14.25" hidden="true" customHeight="true" outlineLevel="0" collapsed="false">
      <c r="A874" s="263"/>
      <c r="B874" s="259"/>
      <c r="C874" s="259" t="s">
        <v>1160</v>
      </c>
      <c r="D874" s="117" t="n">
        <v>216.01</v>
      </c>
      <c r="E874" s="260" t="n">
        <v>1</v>
      </c>
    </row>
    <row r="875" customFormat="false" ht="14.25" hidden="true" customHeight="true" outlineLevel="0" collapsed="false">
      <c r="A875" s="263"/>
      <c r="B875" s="259"/>
      <c r="C875" s="259" t="s">
        <v>1161</v>
      </c>
      <c r="D875" s="117" t="n">
        <v>215.94</v>
      </c>
      <c r="E875" s="260" t="n">
        <v>2</v>
      </c>
    </row>
    <row r="876" customFormat="false" ht="14.25" hidden="true" customHeight="true" outlineLevel="0" collapsed="false">
      <c r="A876" s="263"/>
      <c r="B876" s="259"/>
      <c r="C876" s="259" t="s">
        <v>1162</v>
      </c>
      <c r="D876" s="117" t="n">
        <v>214.79</v>
      </c>
      <c r="E876" s="260" t="n">
        <v>2</v>
      </c>
    </row>
    <row r="877" customFormat="false" ht="14.25" hidden="true" customHeight="true" outlineLevel="0" collapsed="false">
      <c r="A877" s="263"/>
      <c r="B877" s="259"/>
      <c r="C877" s="259" t="s">
        <v>1163</v>
      </c>
      <c r="D877" s="117" t="n">
        <v>214.33</v>
      </c>
      <c r="E877" s="260" t="n">
        <v>1</v>
      </c>
    </row>
    <row r="878" customFormat="false" ht="14.25" hidden="true" customHeight="true" outlineLevel="0" collapsed="false">
      <c r="A878" s="263"/>
      <c r="B878" s="259"/>
      <c r="C878" s="259" t="s">
        <v>1164</v>
      </c>
      <c r="D878" s="117" t="n">
        <v>214.32</v>
      </c>
      <c r="E878" s="260" t="n">
        <v>1</v>
      </c>
    </row>
    <row r="879" customFormat="false" ht="14.25" hidden="true" customHeight="true" outlineLevel="0" collapsed="false">
      <c r="A879" s="263"/>
      <c r="B879" s="259"/>
      <c r="C879" s="259" t="s">
        <v>1165</v>
      </c>
      <c r="D879" s="117" t="n">
        <v>211.78</v>
      </c>
      <c r="E879" s="260" t="n">
        <v>1</v>
      </c>
    </row>
    <row r="880" customFormat="false" ht="14.25" hidden="true" customHeight="true" outlineLevel="0" collapsed="false">
      <c r="A880" s="263"/>
      <c r="B880" s="259"/>
      <c r="C880" s="259" t="s">
        <v>1166</v>
      </c>
      <c r="D880" s="117" t="n">
        <v>211.78</v>
      </c>
      <c r="E880" s="260" t="n">
        <v>1</v>
      </c>
    </row>
    <row r="881" customFormat="false" ht="14.25" hidden="true" customHeight="true" outlineLevel="0" collapsed="false">
      <c r="A881" s="263"/>
      <c r="B881" s="259"/>
      <c r="C881" s="259" t="s">
        <v>1167</v>
      </c>
      <c r="D881" s="117" t="n">
        <v>211.78</v>
      </c>
      <c r="E881" s="260" t="n">
        <v>1</v>
      </c>
    </row>
    <row r="882" customFormat="false" ht="14.25" hidden="true" customHeight="true" outlineLevel="0" collapsed="false">
      <c r="A882" s="263"/>
      <c r="B882" s="259"/>
      <c r="C882" s="259" t="s">
        <v>1168</v>
      </c>
      <c r="D882" s="117" t="n">
        <v>211.78</v>
      </c>
      <c r="E882" s="260" t="n">
        <v>1</v>
      </c>
    </row>
    <row r="883" customFormat="false" ht="14.25" hidden="true" customHeight="true" outlineLevel="0" collapsed="false">
      <c r="A883" s="263"/>
      <c r="B883" s="259"/>
      <c r="C883" s="259" t="s">
        <v>1169</v>
      </c>
      <c r="D883" s="117" t="n">
        <v>211.78</v>
      </c>
      <c r="E883" s="260" t="n">
        <v>1</v>
      </c>
    </row>
    <row r="884" customFormat="false" ht="14.25" hidden="true" customHeight="true" outlineLevel="0" collapsed="false">
      <c r="A884" s="263"/>
      <c r="B884" s="259"/>
      <c r="C884" s="259" t="s">
        <v>1170</v>
      </c>
      <c r="D884" s="117" t="n">
        <v>211.78</v>
      </c>
      <c r="E884" s="260" t="n">
        <v>1</v>
      </c>
    </row>
    <row r="885" customFormat="false" ht="14.25" hidden="true" customHeight="true" outlineLevel="0" collapsed="false">
      <c r="A885" s="263"/>
      <c r="B885" s="259"/>
      <c r="C885" s="259" t="s">
        <v>1171</v>
      </c>
      <c r="D885" s="117" t="n">
        <v>211.78</v>
      </c>
      <c r="E885" s="260" t="n">
        <v>1</v>
      </c>
    </row>
    <row r="886" customFormat="false" ht="14.25" hidden="true" customHeight="true" outlineLevel="0" collapsed="false">
      <c r="A886" s="263"/>
      <c r="B886" s="259"/>
      <c r="C886" s="259" t="s">
        <v>1172</v>
      </c>
      <c r="D886" s="117" t="n">
        <v>211.78</v>
      </c>
      <c r="E886" s="260" t="n">
        <v>1</v>
      </c>
    </row>
    <row r="887" customFormat="false" ht="14.25" hidden="true" customHeight="true" outlineLevel="0" collapsed="false">
      <c r="A887" s="263"/>
      <c r="B887" s="259"/>
      <c r="C887" s="259" t="s">
        <v>1173</v>
      </c>
      <c r="D887" s="117" t="n">
        <v>211.78</v>
      </c>
      <c r="E887" s="260" t="n">
        <v>1</v>
      </c>
    </row>
    <row r="888" customFormat="false" ht="14.25" hidden="true" customHeight="true" outlineLevel="0" collapsed="false">
      <c r="A888" s="263"/>
      <c r="B888" s="259"/>
      <c r="C888" s="259" t="s">
        <v>1174</v>
      </c>
      <c r="D888" s="117" t="n">
        <v>211.78</v>
      </c>
      <c r="E888" s="260" t="n">
        <v>1</v>
      </c>
    </row>
    <row r="889" customFormat="false" ht="14.25" hidden="true" customHeight="true" outlineLevel="0" collapsed="false">
      <c r="A889" s="263"/>
      <c r="B889" s="259"/>
      <c r="C889" s="259" t="s">
        <v>1175</v>
      </c>
      <c r="D889" s="117" t="n">
        <v>211.78</v>
      </c>
      <c r="E889" s="260" t="n">
        <v>1</v>
      </c>
    </row>
    <row r="890" customFormat="false" ht="14.25" hidden="true" customHeight="true" outlineLevel="0" collapsed="false">
      <c r="A890" s="263"/>
      <c r="B890" s="259"/>
      <c r="C890" s="259" t="s">
        <v>1176</v>
      </c>
      <c r="D890" s="117" t="n">
        <v>211.78</v>
      </c>
      <c r="E890" s="260" t="n">
        <v>1</v>
      </c>
    </row>
    <row r="891" customFormat="false" ht="14.25" hidden="true" customHeight="true" outlineLevel="0" collapsed="false">
      <c r="A891" s="263"/>
      <c r="B891" s="259"/>
      <c r="C891" s="259" t="s">
        <v>1177</v>
      </c>
      <c r="D891" s="117" t="n">
        <v>211.78</v>
      </c>
      <c r="E891" s="260" t="n">
        <v>1</v>
      </c>
    </row>
    <row r="892" customFormat="false" ht="14.25" hidden="true" customHeight="true" outlineLevel="0" collapsed="false">
      <c r="A892" s="263"/>
      <c r="B892" s="259"/>
      <c r="C892" s="259" t="s">
        <v>1178</v>
      </c>
      <c r="D892" s="117" t="n">
        <v>211.78</v>
      </c>
      <c r="E892" s="260" t="n">
        <v>1</v>
      </c>
    </row>
    <row r="893" customFormat="false" ht="14.25" hidden="true" customHeight="true" outlineLevel="0" collapsed="false">
      <c r="A893" s="263"/>
      <c r="B893" s="259"/>
      <c r="C893" s="259" t="s">
        <v>1179</v>
      </c>
      <c r="D893" s="117" t="n">
        <v>211.78</v>
      </c>
      <c r="E893" s="260" t="n">
        <v>1</v>
      </c>
    </row>
    <row r="894" customFormat="false" ht="14.25" hidden="true" customHeight="true" outlineLevel="0" collapsed="false">
      <c r="A894" s="263"/>
      <c r="B894" s="259"/>
      <c r="C894" s="259" t="s">
        <v>1180</v>
      </c>
      <c r="D894" s="117" t="n">
        <v>211.78</v>
      </c>
      <c r="E894" s="260" t="n">
        <v>1</v>
      </c>
    </row>
    <row r="895" customFormat="false" ht="14.25" hidden="true" customHeight="true" outlineLevel="0" collapsed="false">
      <c r="A895" s="263"/>
      <c r="B895" s="259"/>
      <c r="C895" s="259" t="s">
        <v>1181</v>
      </c>
      <c r="D895" s="117" t="n">
        <v>211.78</v>
      </c>
      <c r="E895" s="260" t="n">
        <v>1</v>
      </c>
    </row>
    <row r="896" customFormat="false" ht="14.25" hidden="true" customHeight="true" outlineLevel="0" collapsed="false">
      <c r="A896" s="263"/>
      <c r="B896" s="259"/>
      <c r="C896" s="259" t="s">
        <v>1182</v>
      </c>
      <c r="D896" s="117" t="n">
        <v>211.78</v>
      </c>
      <c r="E896" s="260" t="n">
        <v>1</v>
      </c>
    </row>
    <row r="897" customFormat="false" ht="14.25" hidden="true" customHeight="true" outlineLevel="0" collapsed="false">
      <c r="A897" s="263"/>
      <c r="B897" s="259"/>
      <c r="C897" s="259" t="s">
        <v>1183</v>
      </c>
      <c r="D897" s="117" t="n">
        <v>211.78</v>
      </c>
      <c r="E897" s="260" t="n">
        <v>1</v>
      </c>
    </row>
    <row r="898" customFormat="false" ht="14.25" hidden="true" customHeight="true" outlineLevel="0" collapsed="false">
      <c r="A898" s="263"/>
      <c r="B898" s="259"/>
      <c r="C898" s="259" t="s">
        <v>1184</v>
      </c>
      <c r="D898" s="117" t="n">
        <v>211.78</v>
      </c>
      <c r="E898" s="260" t="n">
        <v>1</v>
      </c>
    </row>
    <row r="899" customFormat="false" ht="14.25" hidden="true" customHeight="true" outlineLevel="0" collapsed="false">
      <c r="A899" s="263"/>
      <c r="B899" s="259"/>
      <c r="C899" s="259" t="s">
        <v>1185</v>
      </c>
      <c r="D899" s="117" t="n">
        <v>210</v>
      </c>
      <c r="E899" s="260" t="n">
        <v>2</v>
      </c>
    </row>
    <row r="900" customFormat="false" ht="14.25" hidden="true" customHeight="true" outlineLevel="0" collapsed="false">
      <c r="A900" s="263"/>
      <c r="B900" s="259"/>
      <c r="C900" s="259" t="s">
        <v>1186</v>
      </c>
      <c r="D900" s="117" t="n">
        <v>208.31</v>
      </c>
      <c r="E900" s="260" t="n">
        <v>2</v>
      </c>
    </row>
    <row r="901" customFormat="false" ht="14.25" hidden="true" customHeight="true" outlineLevel="0" collapsed="false">
      <c r="A901" s="263"/>
      <c r="B901" s="259"/>
      <c r="C901" s="259" t="s">
        <v>1187</v>
      </c>
      <c r="D901" s="117" t="n">
        <v>206.27</v>
      </c>
      <c r="E901" s="260" t="n">
        <v>5</v>
      </c>
    </row>
    <row r="902" customFormat="false" ht="14.25" hidden="true" customHeight="true" outlineLevel="0" collapsed="false">
      <c r="A902" s="263"/>
      <c r="B902" s="259"/>
      <c r="C902" s="259" t="s">
        <v>1188</v>
      </c>
      <c r="D902" s="117" t="n">
        <v>205.78</v>
      </c>
      <c r="E902" s="260" t="n">
        <v>2</v>
      </c>
    </row>
    <row r="903" customFormat="false" ht="14.25" hidden="true" customHeight="true" outlineLevel="0" collapsed="false">
      <c r="A903" s="263"/>
      <c r="B903" s="259"/>
      <c r="C903" s="259" t="s">
        <v>1189</v>
      </c>
      <c r="D903" s="117" t="n">
        <v>205.78</v>
      </c>
      <c r="E903" s="260" t="n">
        <v>2</v>
      </c>
    </row>
    <row r="904" customFormat="false" ht="14.25" hidden="true" customHeight="true" outlineLevel="0" collapsed="false">
      <c r="A904" s="263"/>
      <c r="B904" s="259"/>
      <c r="C904" s="259" t="s">
        <v>1190</v>
      </c>
      <c r="D904" s="117" t="n">
        <v>205.78</v>
      </c>
      <c r="E904" s="260" t="n">
        <v>2</v>
      </c>
    </row>
    <row r="905" customFormat="false" ht="14.25" hidden="true" customHeight="true" outlineLevel="0" collapsed="false">
      <c r="A905" s="263"/>
      <c r="B905" s="259"/>
      <c r="C905" s="259" t="s">
        <v>1191</v>
      </c>
      <c r="D905" s="117" t="n">
        <v>204.91</v>
      </c>
      <c r="E905" s="260" t="n">
        <v>2</v>
      </c>
    </row>
    <row r="906" customFormat="false" ht="14.25" hidden="true" customHeight="true" outlineLevel="0" collapsed="false">
      <c r="A906" s="263"/>
      <c r="B906" s="259"/>
      <c r="C906" s="259" t="s">
        <v>1192</v>
      </c>
      <c r="D906" s="117" t="n">
        <v>203.91</v>
      </c>
      <c r="E906" s="260" t="n">
        <v>5</v>
      </c>
    </row>
    <row r="907" customFormat="false" ht="14.25" hidden="true" customHeight="true" outlineLevel="0" collapsed="false">
      <c r="A907" s="263"/>
      <c r="B907" s="259"/>
      <c r="C907" s="259" t="s">
        <v>1193</v>
      </c>
      <c r="D907" s="117" t="n">
        <v>203.22</v>
      </c>
      <c r="E907" s="260" t="n">
        <v>2</v>
      </c>
    </row>
    <row r="908" customFormat="false" ht="14.25" hidden="true" customHeight="true" outlineLevel="0" collapsed="false">
      <c r="A908" s="263"/>
      <c r="B908" s="259"/>
      <c r="C908" s="259" t="s">
        <v>1194</v>
      </c>
      <c r="D908" s="117" t="n">
        <v>201.97</v>
      </c>
      <c r="E908" s="260" t="n">
        <v>2</v>
      </c>
    </row>
    <row r="909" customFormat="false" ht="14.25" hidden="true" customHeight="true" outlineLevel="0" collapsed="false">
      <c r="A909" s="263"/>
      <c r="B909" s="259"/>
      <c r="C909" s="259" t="s">
        <v>1195</v>
      </c>
      <c r="D909" s="117" t="n">
        <v>201.44</v>
      </c>
      <c r="E909" s="260" t="n">
        <v>3</v>
      </c>
    </row>
    <row r="910" customFormat="false" ht="14.25" hidden="true" customHeight="true" outlineLevel="0" collapsed="false">
      <c r="A910" s="263"/>
      <c r="B910" s="259"/>
      <c r="C910" s="259" t="s">
        <v>1196</v>
      </c>
      <c r="D910" s="117" t="n">
        <v>201.05</v>
      </c>
      <c r="E910" s="260" t="n">
        <v>4</v>
      </c>
    </row>
    <row r="911" customFormat="false" ht="14.25" hidden="true" customHeight="true" outlineLevel="0" collapsed="false">
      <c r="A911" s="263"/>
      <c r="B911" s="259"/>
      <c r="C911" s="259" t="s">
        <v>1197</v>
      </c>
      <c r="D911" s="117" t="n">
        <v>200.77</v>
      </c>
      <c r="E911" s="260" t="n">
        <v>1</v>
      </c>
    </row>
    <row r="912" customFormat="false" ht="14.25" hidden="true" customHeight="true" outlineLevel="0" collapsed="false">
      <c r="A912" s="263"/>
      <c r="B912" s="259"/>
      <c r="C912" s="259" t="s">
        <v>1198</v>
      </c>
      <c r="D912" s="117" t="n">
        <v>200.77</v>
      </c>
      <c r="E912" s="260" t="n">
        <v>1</v>
      </c>
    </row>
    <row r="913" customFormat="false" ht="14.25" hidden="true" customHeight="true" outlineLevel="0" collapsed="false">
      <c r="A913" s="263"/>
      <c r="B913" s="259"/>
      <c r="C913" s="259" t="s">
        <v>1199</v>
      </c>
      <c r="D913" s="117" t="n">
        <v>200.76</v>
      </c>
      <c r="E913" s="260" t="n">
        <v>1</v>
      </c>
    </row>
    <row r="914" customFormat="false" ht="14.25" hidden="true" customHeight="true" outlineLevel="0" collapsed="false">
      <c r="A914" s="263"/>
      <c r="B914" s="259"/>
      <c r="C914" s="259" t="s">
        <v>1200</v>
      </c>
      <c r="D914" s="117" t="n">
        <v>200.76</v>
      </c>
      <c r="E914" s="260" t="n">
        <v>1</v>
      </c>
    </row>
    <row r="915" customFormat="false" ht="14.25" hidden="true" customHeight="true" outlineLevel="0" collapsed="false">
      <c r="A915" s="263"/>
      <c r="B915" s="259"/>
      <c r="C915" s="259" t="s">
        <v>1201</v>
      </c>
      <c r="D915" s="117" t="n">
        <v>200.76</v>
      </c>
      <c r="E915" s="260" t="n">
        <v>1</v>
      </c>
    </row>
    <row r="916" customFormat="false" ht="14.25" hidden="true" customHeight="true" outlineLevel="0" collapsed="false">
      <c r="A916" s="263"/>
      <c r="B916" s="259"/>
      <c r="C916" s="259" t="s">
        <v>1202</v>
      </c>
      <c r="D916" s="117" t="n">
        <v>196.53</v>
      </c>
      <c r="E916" s="260" t="n">
        <v>1</v>
      </c>
    </row>
    <row r="917" customFormat="false" ht="14.25" hidden="true" customHeight="true" outlineLevel="0" collapsed="false">
      <c r="A917" s="263"/>
      <c r="B917" s="259"/>
      <c r="C917" s="259" t="s">
        <v>1203</v>
      </c>
      <c r="D917" s="117" t="n">
        <v>194.83</v>
      </c>
      <c r="E917" s="260" t="n">
        <v>1</v>
      </c>
    </row>
    <row r="918" customFormat="false" ht="14.25" hidden="true" customHeight="true" outlineLevel="0" collapsed="false">
      <c r="A918" s="263"/>
      <c r="B918" s="259"/>
      <c r="C918" s="259" t="s">
        <v>1204</v>
      </c>
      <c r="D918" s="117" t="n">
        <v>194.83</v>
      </c>
      <c r="E918" s="260" t="n">
        <v>1</v>
      </c>
    </row>
    <row r="919" customFormat="false" ht="14.25" hidden="true" customHeight="true" outlineLevel="0" collapsed="false">
      <c r="A919" s="263"/>
      <c r="B919" s="259"/>
      <c r="C919" s="259" t="s">
        <v>1205</v>
      </c>
      <c r="D919" s="117" t="n">
        <v>194.83</v>
      </c>
      <c r="E919" s="260" t="n">
        <v>1</v>
      </c>
    </row>
    <row r="920" customFormat="false" ht="14.25" hidden="true" customHeight="true" outlineLevel="0" collapsed="false">
      <c r="A920" s="263"/>
      <c r="B920" s="259"/>
      <c r="C920" s="259" t="s">
        <v>1206</v>
      </c>
      <c r="D920" s="117" t="n">
        <v>194.41</v>
      </c>
      <c r="E920" s="260" t="n">
        <v>1</v>
      </c>
    </row>
    <row r="921" customFormat="false" ht="14.25" hidden="true" customHeight="true" outlineLevel="0" collapsed="false">
      <c r="A921" s="263"/>
      <c r="B921" s="259"/>
      <c r="C921" s="259" t="s">
        <v>1207</v>
      </c>
      <c r="D921" s="117" t="n">
        <v>194.34</v>
      </c>
      <c r="E921" s="260" t="n">
        <v>2</v>
      </c>
    </row>
    <row r="922" customFormat="false" ht="14.25" hidden="true" customHeight="true" outlineLevel="0" collapsed="false">
      <c r="A922" s="263"/>
      <c r="B922" s="259"/>
      <c r="C922" s="259" t="s">
        <v>1208</v>
      </c>
      <c r="D922" s="117" t="n">
        <v>193.05</v>
      </c>
      <c r="E922" s="260" t="n">
        <v>2</v>
      </c>
    </row>
    <row r="923" customFormat="false" ht="14.25" hidden="true" customHeight="true" outlineLevel="0" collapsed="false">
      <c r="A923" s="263"/>
      <c r="B923" s="259"/>
      <c r="C923" s="259" t="s">
        <v>1209</v>
      </c>
      <c r="D923" s="117" t="n">
        <v>191.38</v>
      </c>
      <c r="E923" s="260" t="n">
        <v>2</v>
      </c>
    </row>
    <row r="924" customFormat="false" ht="14.25" hidden="true" customHeight="true" outlineLevel="0" collapsed="false">
      <c r="A924" s="263"/>
      <c r="B924" s="259"/>
      <c r="C924" s="259" t="s">
        <v>1210</v>
      </c>
      <c r="D924" s="117" t="n">
        <v>190.61</v>
      </c>
      <c r="E924" s="260" t="n">
        <v>1</v>
      </c>
    </row>
    <row r="925" customFormat="false" ht="14.25" hidden="true" customHeight="true" outlineLevel="0" collapsed="false">
      <c r="A925" s="263"/>
      <c r="B925" s="259"/>
      <c r="C925" s="259" t="s">
        <v>1211</v>
      </c>
      <c r="D925" s="117" t="n">
        <v>190.61</v>
      </c>
      <c r="E925" s="260" t="n">
        <v>1</v>
      </c>
    </row>
    <row r="926" customFormat="false" ht="14.25" hidden="true" customHeight="true" outlineLevel="0" collapsed="false">
      <c r="A926" s="263"/>
      <c r="B926" s="259"/>
      <c r="C926" s="259" t="s">
        <v>1212</v>
      </c>
      <c r="D926" s="117" t="n">
        <v>190.61</v>
      </c>
      <c r="E926" s="260" t="n">
        <v>1</v>
      </c>
    </row>
    <row r="927" customFormat="false" ht="14.25" hidden="true" customHeight="true" outlineLevel="0" collapsed="false">
      <c r="A927" s="263"/>
      <c r="B927" s="259"/>
      <c r="C927" s="259" t="s">
        <v>1213</v>
      </c>
      <c r="D927" s="117" t="n">
        <v>190.6</v>
      </c>
      <c r="E927" s="260" t="n">
        <v>1</v>
      </c>
    </row>
    <row r="928" customFormat="false" ht="14.25" hidden="true" customHeight="true" outlineLevel="0" collapsed="false">
      <c r="A928" s="263"/>
      <c r="B928" s="259"/>
      <c r="C928" s="259" t="s">
        <v>1214</v>
      </c>
      <c r="D928" s="117" t="n">
        <v>190.6</v>
      </c>
      <c r="E928" s="260" t="n">
        <v>1</v>
      </c>
    </row>
    <row r="929" customFormat="false" ht="14.25" hidden="true" customHeight="true" outlineLevel="0" collapsed="false">
      <c r="A929" s="263"/>
      <c r="B929" s="259"/>
      <c r="C929" s="259" t="s">
        <v>1215</v>
      </c>
      <c r="D929" s="117" t="n">
        <v>187.79</v>
      </c>
      <c r="E929" s="260" t="n">
        <v>4</v>
      </c>
    </row>
    <row r="930" customFormat="false" ht="14.25" hidden="true" customHeight="true" outlineLevel="0" collapsed="false">
      <c r="A930" s="263"/>
      <c r="B930" s="259"/>
      <c r="C930" s="259" t="s">
        <v>1216</v>
      </c>
      <c r="D930" s="117" t="n">
        <v>186.36</v>
      </c>
      <c r="E930" s="260" t="n">
        <v>1</v>
      </c>
    </row>
    <row r="931" customFormat="false" ht="14.25" hidden="true" customHeight="true" outlineLevel="0" collapsed="false">
      <c r="A931" s="263"/>
      <c r="B931" s="259"/>
      <c r="C931" s="259" t="s">
        <v>1217</v>
      </c>
      <c r="D931" s="117" t="n">
        <v>186.36</v>
      </c>
      <c r="E931" s="260" t="n">
        <v>1</v>
      </c>
    </row>
    <row r="932" customFormat="false" ht="14.25" hidden="true" customHeight="true" outlineLevel="0" collapsed="false">
      <c r="A932" s="263"/>
      <c r="B932" s="259"/>
      <c r="C932" s="259" t="s">
        <v>1218</v>
      </c>
      <c r="D932" s="117" t="n">
        <v>186.36</v>
      </c>
      <c r="E932" s="260" t="n">
        <v>1</v>
      </c>
    </row>
    <row r="933" customFormat="false" ht="14.25" hidden="true" customHeight="true" outlineLevel="0" collapsed="false">
      <c r="A933" s="263"/>
      <c r="B933" s="259"/>
      <c r="C933" s="259" t="s">
        <v>1219</v>
      </c>
      <c r="D933" s="117" t="n">
        <v>186.36</v>
      </c>
      <c r="E933" s="260" t="n">
        <v>1</v>
      </c>
    </row>
    <row r="934" customFormat="false" ht="14.25" hidden="true" customHeight="true" outlineLevel="0" collapsed="false">
      <c r="A934" s="263"/>
      <c r="B934" s="259"/>
      <c r="C934" s="259" t="s">
        <v>1220</v>
      </c>
      <c r="D934" s="117" t="n">
        <v>186.36</v>
      </c>
      <c r="E934" s="260" t="n">
        <v>1</v>
      </c>
    </row>
    <row r="935" customFormat="false" ht="14.25" hidden="true" customHeight="true" outlineLevel="0" collapsed="false">
      <c r="A935" s="263"/>
      <c r="B935" s="259"/>
      <c r="C935" s="259" t="s">
        <v>1221</v>
      </c>
      <c r="D935" s="117" t="n">
        <v>186.36</v>
      </c>
      <c r="E935" s="260" t="n">
        <v>1</v>
      </c>
    </row>
    <row r="936" customFormat="false" ht="14.25" hidden="true" customHeight="true" outlineLevel="0" collapsed="false">
      <c r="A936" s="263"/>
      <c r="B936" s="259"/>
      <c r="C936" s="259" t="s">
        <v>1222</v>
      </c>
      <c r="D936" s="117" t="n">
        <v>186.35</v>
      </c>
      <c r="E936" s="260" t="n">
        <v>1</v>
      </c>
    </row>
    <row r="937" customFormat="false" ht="14.25" hidden="true" customHeight="true" outlineLevel="0" collapsed="false">
      <c r="A937" s="263"/>
      <c r="B937" s="259"/>
      <c r="C937" s="259" t="s">
        <v>1223</v>
      </c>
      <c r="D937" s="117" t="n">
        <v>186.35</v>
      </c>
      <c r="E937" s="260" t="n">
        <v>1</v>
      </c>
    </row>
    <row r="938" customFormat="false" ht="14.25" hidden="true" customHeight="true" outlineLevel="0" collapsed="false">
      <c r="A938" s="263"/>
      <c r="B938" s="259"/>
      <c r="C938" s="259" t="s">
        <v>1224</v>
      </c>
      <c r="D938" s="117" t="n">
        <v>186.35</v>
      </c>
      <c r="E938" s="260" t="n">
        <v>1</v>
      </c>
    </row>
    <row r="939" customFormat="false" ht="14.25" hidden="true" customHeight="true" outlineLevel="0" collapsed="false">
      <c r="A939" s="263"/>
      <c r="B939" s="259"/>
      <c r="C939" s="259" t="s">
        <v>1225</v>
      </c>
      <c r="D939" s="117" t="n">
        <v>182.88</v>
      </c>
      <c r="E939" s="260" t="n">
        <v>2</v>
      </c>
    </row>
    <row r="940" customFormat="false" ht="14.25" hidden="true" customHeight="true" outlineLevel="0" collapsed="false">
      <c r="A940" s="263"/>
      <c r="B940" s="259"/>
      <c r="C940" s="259" t="s">
        <v>1226</v>
      </c>
      <c r="D940" s="117" t="n">
        <v>180.69</v>
      </c>
      <c r="E940" s="260" t="n">
        <v>1</v>
      </c>
    </row>
    <row r="941" customFormat="false" ht="14.25" hidden="true" customHeight="true" outlineLevel="0" collapsed="false">
      <c r="A941" s="263"/>
      <c r="B941" s="259"/>
      <c r="C941" s="259" t="s">
        <v>1227</v>
      </c>
      <c r="D941" s="117" t="n">
        <v>179.5</v>
      </c>
      <c r="E941" s="260" t="n">
        <v>2</v>
      </c>
    </row>
    <row r="942" customFormat="false" ht="14.25" hidden="true" customHeight="true" outlineLevel="0" collapsed="false">
      <c r="A942" s="263"/>
      <c r="B942" s="259"/>
      <c r="C942" s="259" t="s">
        <v>1228</v>
      </c>
      <c r="D942" s="117" t="n">
        <v>179.16</v>
      </c>
      <c r="E942" s="260" t="n">
        <v>1</v>
      </c>
    </row>
    <row r="943" customFormat="false" ht="14.25" hidden="true" customHeight="true" outlineLevel="0" collapsed="false">
      <c r="A943" s="263"/>
      <c r="B943" s="259"/>
      <c r="C943" s="259" t="s">
        <v>1229</v>
      </c>
      <c r="D943" s="117" t="n">
        <v>178.64</v>
      </c>
      <c r="E943" s="260" t="n">
        <v>2</v>
      </c>
    </row>
    <row r="944" customFormat="false" ht="14.25" hidden="true" customHeight="true" outlineLevel="0" collapsed="false">
      <c r="A944" s="263"/>
      <c r="B944" s="259"/>
      <c r="C944" s="259" t="s">
        <v>1230</v>
      </c>
      <c r="D944" s="117" t="n">
        <v>176.04</v>
      </c>
      <c r="E944" s="260" t="n">
        <v>2</v>
      </c>
    </row>
    <row r="945" customFormat="false" ht="14.25" hidden="true" customHeight="true" outlineLevel="0" collapsed="false">
      <c r="A945" s="263"/>
      <c r="B945" s="259"/>
      <c r="C945" s="259" t="s">
        <v>1231</v>
      </c>
      <c r="D945" s="117" t="n">
        <v>175.35</v>
      </c>
      <c r="E945" s="260" t="n">
        <v>1</v>
      </c>
    </row>
    <row r="946" customFormat="false" ht="14.25" hidden="true" customHeight="true" outlineLevel="0" collapsed="false">
      <c r="A946" s="263"/>
      <c r="B946" s="259"/>
      <c r="C946" s="259" t="s">
        <v>1232</v>
      </c>
      <c r="D946" s="117" t="n">
        <v>171.46</v>
      </c>
      <c r="E946" s="260" t="n">
        <v>1</v>
      </c>
    </row>
    <row r="947" customFormat="false" ht="14.25" hidden="true" customHeight="true" outlineLevel="0" collapsed="false">
      <c r="A947" s="263"/>
      <c r="B947" s="259"/>
      <c r="C947" s="259" t="s">
        <v>1233</v>
      </c>
      <c r="D947" s="117" t="n">
        <v>171.46</v>
      </c>
      <c r="E947" s="260" t="n">
        <v>1</v>
      </c>
    </row>
    <row r="948" customFormat="false" ht="14.25" hidden="true" customHeight="true" outlineLevel="0" collapsed="false">
      <c r="A948" s="263"/>
      <c r="B948" s="259"/>
      <c r="C948" s="259" t="s">
        <v>1234</v>
      </c>
      <c r="D948" s="117" t="n">
        <v>171.46</v>
      </c>
      <c r="E948" s="260" t="n">
        <v>1</v>
      </c>
    </row>
    <row r="949" customFormat="false" ht="14.25" hidden="true" customHeight="true" outlineLevel="0" collapsed="false">
      <c r="A949" s="263"/>
      <c r="B949" s="259"/>
      <c r="C949" s="259" t="s">
        <v>1235</v>
      </c>
      <c r="D949" s="117" t="n">
        <v>171.11</v>
      </c>
      <c r="E949" s="260" t="n">
        <v>1</v>
      </c>
    </row>
    <row r="950" customFormat="false" ht="14.25" hidden="true" customHeight="true" outlineLevel="0" collapsed="false">
      <c r="A950" s="263"/>
      <c r="B950" s="259"/>
      <c r="C950" s="259" t="s">
        <v>1236</v>
      </c>
      <c r="D950" s="117" t="n">
        <v>171.01</v>
      </c>
      <c r="E950" s="260" t="n">
        <v>2</v>
      </c>
    </row>
    <row r="951" customFormat="false" ht="14.25" hidden="true" customHeight="true" outlineLevel="0" collapsed="false">
      <c r="A951" s="263"/>
      <c r="B951" s="259"/>
      <c r="C951" s="259" t="s">
        <v>1237</v>
      </c>
      <c r="D951" s="117" t="n">
        <v>171.01</v>
      </c>
      <c r="E951" s="260" t="n">
        <v>2</v>
      </c>
    </row>
    <row r="952" customFormat="false" ht="14.25" hidden="true" customHeight="true" outlineLevel="0" collapsed="false">
      <c r="A952" s="263"/>
      <c r="B952" s="259"/>
      <c r="C952" s="259" t="s">
        <v>1238</v>
      </c>
      <c r="D952" s="117" t="n">
        <v>169.41</v>
      </c>
      <c r="E952" s="260" t="n">
        <v>1</v>
      </c>
    </row>
    <row r="953" customFormat="false" ht="14.25" hidden="true" customHeight="true" outlineLevel="0" collapsed="false">
      <c r="A953" s="263"/>
      <c r="B953" s="259"/>
      <c r="C953" s="259" t="s">
        <v>1239</v>
      </c>
      <c r="D953" s="117" t="n">
        <v>169.41</v>
      </c>
      <c r="E953" s="260" t="n">
        <v>1</v>
      </c>
    </row>
    <row r="954" customFormat="false" ht="14.25" hidden="true" customHeight="true" outlineLevel="0" collapsed="false">
      <c r="A954" s="263"/>
      <c r="B954" s="259"/>
      <c r="C954" s="259" t="s">
        <v>1240</v>
      </c>
      <c r="D954" s="117" t="n">
        <v>169.41</v>
      </c>
      <c r="E954" s="260" t="n">
        <v>1</v>
      </c>
    </row>
    <row r="955" customFormat="false" ht="14.25" hidden="true" customHeight="true" outlineLevel="0" collapsed="false">
      <c r="A955" s="263"/>
      <c r="B955" s="259"/>
      <c r="C955" s="259" t="s">
        <v>1241</v>
      </c>
      <c r="D955" s="117" t="n">
        <v>169.41</v>
      </c>
      <c r="E955" s="260" t="n">
        <v>1</v>
      </c>
    </row>
    <row r="956" customFormat="false" ht="14.25" hidden="true" customHeight="true" outlineLevel="0" collapsed="false">
      <c r="A956" s="263"/>
      <c r="B956" s="259"/>
      <c r="C956" s="259" t="s">
        <v>1242</v>
      </c>
      <c r="D956" s="117" t="n">
        <v>169.41</v>
      </c>
      <c r="E956" s="260" t="n">
        <v>1</v>
      </c>
    </row>
    <row r="957" customFormat="false" ht="14.25" hidden="true" customHeight="true" outlineLevel="0" collapsed="false">
      <c r="A957" s="263"/>
      <c r="B957" s="259"/>
      <c r="C957" s="259" t="s">
        <v>1243</v>
      </c>
      <c r="D957" s="117" t="n">
        <v>169.41</v>
      </c>
      <c r="E957" s="260" t="n">
        <v>1</v>
      </c>
    </row>
    <row r="958" customFormat="false" ht="14.25" hidden="true" customHeight="true" outlineLevel="0" collapsed="false">
      <c r="A958" s="263"/>
      <c r="B958" s="259"/>
      <c r="C958" s="259" t="s">
        <v>1244</v>
      </c>
      <c r="D958" s="117" t="n">
        <v>169.41</v>
      </c>
      <c r="E958" s="260" t="n">
        <v>1</v>
      </c>
    </row>
    <row r="959" customFormat="false" ht="14.25" hidden="true" customHeight="true" outlineLevel="0" collapsed="false">
      <c r="A959" s="263"/>
      <c r="B959" s="259"/>
      <c r="C959" s="259" t="s">
        <v>1245</v>
      </c>
      <c r="D959" s="117" t="n">
        <v>169.41</v>
      </c>
      <c r="E959" s="260" t="n">
        <v>1</v>
      </c>
    </row>
    <row r="960" customFormat="false" ht="14.25" hidden="true" customHeight="true" outlineLevel="0" collapsed="false">
      <c r="A960" s="263"/>
      <c r="B960" s="259"/>
      <c r="C960" s="259" t="s">
        <v>1246</v>
      </c>
      <c r="D960" s="117" t="n">
        <v>169.41</v>
      </c>
      <c r="E960" s="260" t="n">
        <v>1</v>
      </c>
    </row>
    <row r="961" customFormat="false" ht="14.25" hidden="true" customHeight="true" outlineLevel="0" collapsed="false">
      <c r="A961" s="263"/>
      <c r="B961" s="259"/>
      <c r="C961" s="259" t="s">
        <v>1247</v>
      </c>
      <c r="D961" s="117" t="n">
        <v>169.4</v>
      </c>
      <c r="E961" s="260" t="n">
        <v>1</v>
      </c>
    </row>
    <row r="962" customFormat="false" ht="14.25" hidden="true" customHeight="true" outlineLevel="0" collapsed="false">
      <c r="A962" s="263"/>
      <c r="B962" s="259"/>
      <c r="C962" s="259" t="s">
        <v>1248</v>
      </c>
      <c r="D962" s="117" t="n">
        <v>169.4</v>
      </c>
      <c r="E962" s="260" t="n">
        <v>1</v>
      </c>
    </row>
    <row r="963" customFormat="false" ht="14.25" hidden="true" customHeight="true" outlineLevel="0" collapsed="false">
      <c r="A963" s="263"/>
      <c r="B963" s="259"/>
      <c r="C963" s="259" t="s">
        <v>1249</v>
      </c>
      <c r="D963" s="117" t="n">
        <v>169.4</v>
      </c>
      <c r="E963" s="260" t="n">
        <v>1</v>
      </c>
    </row>
    <row r="964" customFormat="false" ht="14.25" hidden="true" customHeight="true" outlineLevel="0" collapsed="false">
      <c r="A964" s="263"/>
      <c r="B964" s="259"/>
      <c r="C964" s="259" t="s">
        <v>1250</v>
      </c>
      <c r="D964" s="117" t="n">
        <v>169.4</v>
      </c>
      <c r="E964" s="260" t="n">
        <v>1</v>
      </c>
    </row>
    <row r="965" customFormat="false" ht="14.25" hidden="true" customHeight="true" outlineLevel="0" collapsed="false">
      <c r="A965" s="263"/>
      <c r="B965" s="259"/>
      <c r="C965" s="259" t="s">
        <v>1251</v>
      </c>
      <c r="D965" s="117" t="n">
        <v>169.4</v>
      </c>
      <c r="E965" s="260" t="n">
        <v>1</v>
      </c>
    </row>
    <row r="966" customFormat="false" ht="14.25" hidden="true" customHeight="true" outlineLevel="0" collapsed="false">
      <c r="A966" s="263"/>
      <c r="B966" s="259"/>
      <c r="C966" s="259" t="s">
        <v>1252</v>
      </c>
      <c r="D966" s="117" t="n">
        <v>169.4</v>
      </c>
      <c r="E966" s="260" t="n">
        <v>1</v>
      </c>
    </row>
    <row r="967" customFormat="false" ht="14.25" hidden="true" customHeight="true" outlineLevel="0" collapsed="false">
      <c r="A967" s="263"/>
      <c r="B967" s="259"/>
      <c r="C967" s="259" t="s">
        <v>1253</v>
      </c>
      <c r="D967" s="117" t="n">
        <v>169.4</v>
      </c>
      <c r="E967" s="260" t="n">
        <v>1</v>
      </c>
    </row>
    <row r="968" customFormat="false" ht="14.25" hidden="true" customHeight="true" outlineLevel="0" collapsed="false">
      <c r="A968" s="263"/>
      <c r="B968" s="259"/>
      <c r="C968" s="259" t="s">
        <v>1254</v>
      </c>
      <c r="D968" s="117" t="n">
        <v>169.33</v>
      </c>
      <c r="E968" s="260" t="n">
        <v>2</v>
      </c>
    </row>
    <row r="969" customFormat="false" ht="14.25" hidden="true" customHeight="true" outlineLevel="0" collapsed="false">
      <c r="A969" s="263"/>
      <c r="B969" s="259"/>
      <c r="C969" s="259" t="s">
        <v>1255</v>
      </c>
      <c r="D969" s="117" t="n">
        <v>169.33</v>
      </c>
      <c r="E969" s="260" t="n">
        <v>2</v>
      </c>
    </row>
    <row r="970" customFormat="false" ht="14.25" hidden="true" customHeight="true" outlineLevel="0" collapsed="false">
      <c r="A970" s="263"/>
      <c r="B970" s="259"/>
      <c r="C970" s="259" t="s">
        <v>1256</v>
      </c>
      <c r="D970" s="117" t="n">
        <v>169.33</v>
      </c>
      <c r="E970" s="260" t="n">
        <v>2</v>
      </c>
    </row>
    <row r="971" customFormat="false" ht="14.25" hidden="true" customHeight="true" outlineLevel="0" collapsed="false">
      <c r="A971" s="263"/>
      <c r="B971" s="259"/>
      <c r="C971" s="259" t="s">
        <v>1257</v>
      </c>
      <c r="D971" s="117" t="n">
        <v>169.33</v>
      </c>
      <c r="E971" s="260" t="n">
        <v>2</v>
      </c>
    </row>
    <row r="972" customFormat="false" ht="14.25" hidden="true" customHeight="true" outlineLevel="0" collapsed="false">
      <c r="A972" s="263"/>
      <c r="B972" s="259"/>
      <c r="C972" s="259" t="s">
        <v>1258</v>
      </c>
      <c r="D972" s="117" t="n">
        <v>169.32</v>
      </c>
      <c r="E972" s="260" t="n">
        <v>2</v>
      </c>
    </row>
    <row r="973" customFormat="false" ht="14.25" hidden="true" customHeight="true" outlineLevel="0" collapsed="false">
      <c r="A973" s="263"/>
      <c r="B973" s="259"/>
      <c r="C973" s="259" t="s">
        <v>1259</v>
      </c>
      <c r="D973" s="117" t="n">
        <v>169.32</v>
      </c>
      <c r="E973" s="260" t="n">
        <v>2</v>
      </c>
    </row>
    <row r="974" customFormat="false" ht="14.25" hidden="true" customHeight="true" outlineLevel="0" collapsed="false">
      <c r="A974" s="263"/>
      <c r="B974" s="259"/>
      <c r="C974" s="259" t="s">
        <v>1260</v>
      </c>
      <c r="D974" s="117" t="n">
        <v>169.32</v>
      </c>
      <c r="E974" s="260" t="n">
        <v>2</v>
      </c>
    </row>
    <row r="975" customFormat="false" ht="14.25" hidden="true" customHeight="true" outlineLevel="0" collapsed="false">
      <c r="A975" s="263"/>
      <c r="B975" s="259"/>
      <c r="C975" s="259" t="s">
        <v>1261</v>
      </c>
      <c r="D975" s="117" t="n">
        <v>169.16</v>
      </c>
      <c r="E975" s="260" t="n">
        <v>4</v>
      </c>
    </row>
    <row r="976" customFormat="false" ht="14.25" hidden="true" customHeight="true" outlineLevel="0" collapsed="false">
      <c r="A976" s="263"/>
      <c r="B976" s="259"/>
      <c r="C976" s="259" t="s">
        <v>1262</v>
      </c>
      <c r="D976" s="117" t="n">
        <v>167.72</v>
      </c>
      <c r="E976" s="260" t="n">
        <v>1</v>
      </c>
    </row>
    <row r="977" customFormat="false" ht="14.25" hidden="true" customHeight="true" outlineLevel="0" collapsed="false">
      <c r="A977" s="263"/>
      <c r="B977" s="259"/>
      <c r="C977" s="259" t="s">
        <v>1263</v>
      </c>
      <c r="D977" s="117" t="n">
        <v>167.72</v>
      </c>
      <c r="E977" s="260" t="n">
        <v>1</v>
      </c>
    </row>
    <row r="978" customFormat="false" ht="14.25" hidden="true" customHeight="true" outlineLevel="0" collapsed="false">
      <c r="A978" s="263"/>
      <c r="B978" s="259"/>
      <c r="C978" s="259" t="s">
        <v>1264</v>
      </c>
      <c r="D978" s="117" t="n">
        <v>167.72</v>
      </c>
      <c r="E978" s="260" t="n">
        <v>1</v>
      </c>
    </row>
    <row r="979" customFormat="false" ht="14.25" hidden="true" customHeight="true" outlineLevel="0" collapsed="false">
      <c r="A979" s="263"/>
      <c r="B979" s="259"/>
      <c r="C979" s="259" t="s">
        <v>1265</v>
      </c>
      <c r="D979" s="117" t="n">
        <v>166.87</v>
      </c>
      <c r="E979" s="260" t="n">
        <v>1</v>
      </c>
    </row>
    <row r="980" customFormat="false" ht="14.25" hidden="true" customHeight="true" outlineLevel="0" collapsed="false">
      <c r="A980" s="263"/>
      <c r="B980" s="259"/>
      <c r="C980" s="259" t="s">
        <v>1266</v>
      </c>
      <c r="D980" s="117" t="n">
        <v>166.87</v>
      </c>
      <c r="E980" s="260" t="n">
        <v>1</v>
      </c>
    </row>
    <row r="981" customFormat="false" ht="14.25" hidden="true" customHeight="true" outlineLevel="0" collapsed="false">
      <c r="A981" s="263"/>
      <c r="B981" s="259"/>
      <c r="C981" s="259" t="s">
        <v>1267</v>
      </c>
      <c r="D981" s="117" t="n">
        <v>165.93</v>
      </c>
      <c r="E981" s="260" t="n">
        <v>2</v>
      </c>
    </row>
    <row r="982" customFormat="false" ht="14.25" hidden="true" customHeight="true" outlineLevel="0" collapsed="false">
      <c r="A982" s="263"/>
      <c r="B982" s="259"/>
      <c r="C982" s="259" t="s">
        <v>1268</v>
      </c>
      <c r="D982" s="117" t="n">
        <v>162.55</v>
      </c>
      <c r="E982" s="260" t="n">
        <v>2</v>
      </c>
    </row>
    <row r="983" customFormat="false" ht="14.25" hidden="true" customHeight="true" outlineLevel="0" collapsed="false">
      <c r="A983" s="263"/>
      <c r="B983" s="259"/>
      <c r="C983" s="259" t="s">
        <v>1269</v>
      </c>
      <c r="D983" s="117" t="n">
        <v>162.54</v>
      </c>
      <c r="E983" s="260" t="n">
        <v>2</v>
      </c>
    </row>
    <row r="984" customFormat="false" ht="14.25" hidden="true" customHeight="true" outlineLevel="0" collapsed="false">
      <c r="A984" s="263"/>
      <c r="B984" s="259"/>
      <c r="C984" s="259" t="s">
        <v>1270</v>
      </c>
      <c r="D984" s="117" t="n">
        <v>162.46</v>
      </c>
      <c r="E984" s="260" t="n">
        <v>3</v>
      </c>
    </row>
    <row r="985" customFormat="false" ht="14.25" hidden="true" customHeight="true" outlineLevel="0" collapsed="false">
      <c r="A985" s="263"/>
      <c r="B985" s="259"/>
      <c r="C985" s="259" t="s">
        <v>1271</v>
      </c>
      <c r="D985" s="117" t="n">
        <v>160.94</v>
      </c>
      <c r="E985" s="260" t="n">
        <v>1</v>
      </c>
    </row>
    <row r="986" customFormat="false" ht="14.25" hidden="true" customHeight="true" outlineLevel="0" collapsed="false">
      <c r="A986" s="263"/>
      <c r="B986" s="259"/>
      <c r="C986" s="259" t="s">
        <v>1272</v>
      </c>
      <c r="D986" s="117" t="n">
        <v>160.56</v>
      </c>
      <c r="E986" s="260" t="n">
        <v>5</v>
      </c>
    </row>
    <row r="987" customFormat="false" ht="14.25" hidden="true" customHeight="true" outlineLevel="0" collapsed="false">
      <c r="A987" s="263"/>
      <c r="B987" s="259"/>
      <c r="C987" s="259" t="s">
        <v>1273</v>
      </c>
      <c r="D987" s="117" t="n">
        <v>158.32</v>
      </c>
      <c r="E987" s="260" t="n">
        <v>2</v>
      </c>
    </row>
    <row r="988" customFormat="false" ht="14.25" hidden="true" customHeight="true" outlineLevel="0" collapsed="false">
      <c r="A988" s="263"/>
      <c r="B988" s="259"/>
      <c r="C988" s="259" t="s">
        <v>1274</v>
      </c>
      <c r="D988" s="117" t="n">
        <v>156.54</v>
      </c>
      <c r="E988" s="260" t="n">
        <v>4</v>
      </c>
    </row>
    <row r="989" customFormat="false" ht="14.25" hidden="true" customHeight="true" outlineLevel="0" collapsed="false">
      <c r="A989" s="263"/>
      <c r="B989" s="259"/>
      <c r="C989" s="259" t="s">
        <v>1275</v>
      </c>
      <c r="D989" s="117" t="n">
        <v>154.16</v>
      </c>
      <c r="E989" s="260" t="n">
        <v>1</v>
      </c>
    </row>
    <row r="990" customFormat="false" ht="14.25" hidden="true" customHeight="true" outlineLevel="0" collapsed="false">
      <c r="A990" s="263"/>
      <c r="B990" s="259"/>
      <c r="C990" s="259" t="s">
        <v>1276</v>
      </c>
      <c r="D990" s="117" t="n">
        <v>154.16</v>
      </c>
      <c r="E990" s="260" t="n">
        <v>1</v>
      </c>
    </row>
    <row r="991" customFormat="false" ht="14.25" hidden="true" customHeight="true" outlineLevel="0" collapsed="false">
      <c r="A991" s="263"/>
      <c r="B991" s="259"/>
      <c r="C991" s="259" t="s">
        <v>1277</v>
      </c>
      <c r="D991" s="117" t="n">
        <v>153.16</v>
      </c>
      <c r="E991" s="260" t="n">
        <v>2</v>
      </c>
    </row>
    <row r="992" customFormat="false" ht="14.25" hidden="true" customHeight="true" outlineLevel="0" collapsed="false">
      <c r="A992" s="263"/>
      <c r="B992" s="259"/>
      <c r="C992" s="259" t="s">
        <v>1278</v>
      </c>
      <c r="D992" s="117" t="n">
        <v>152.47</v>
      </c>
      <c r="E992" s="260" t="n">
        <v>1</v>
      </c>
    </row>
    <row r="993" customFormat="false" ht="14.25" hidden="true" customHeight="true" outlineLevel="0" collapsed="false">
      <c r="A993" s="263"/>
      <c r="B993" s="259"/>
      <c r="C993" s="259" t="s">
        <v>1279</v>
      </c>
      <c r="D993" s="117" t="n">
        <v>152.47</v>
      </c>
      <c r="E993" s="260" t="n">
        <v>1</v>
      </c>
    </row>
    <row r="994" customFormat="false" ht="14.25" hidden="true" customHeight="true" outlineLevel="0" collapsed="false">
      <c r="A994" s="263"/>
      <c r="B994" s="259"/>
      <c r="C994" s="259" t="s">
        <v>1280</v>
      </c>
      <c r="D994" s="117" t="n">
        <v>152.47</v>
      </c>
      <c r="E994" s="260" t="n">
        <v>1</v>
      </c>
    </row>
    <row r="995" customFormat="false" ht="14.25" hidden="true" customHeight="true" outlineLevel="0" collapsed="false">
      <c r="A995" s="263"/>
      <c r="B995" s="259"/>
      <c r="C995" s="259" t="s">
        <v>1281</v>
      </c>
      <c r="D995" s="117" t="n">
        <v>152.46</v>
      </c>
      <c r="E995" s="260" t="n">
        <v>1</v>
      </c>
    </row>
    <row r="996" customFormat="false" ht="14.25" hidden="true" customHeight="true" outlineLevel="0" collapsed="false">
      <c r="A996" s="263"/>
      <c r="B996" s="259"/>
      <c r="C996" s="259" t="s">
        <v>1282</v>
      </c>
      <c r="D996" s="117" t="n">
        <v>152.46</v>
      </c>
      <c r="E996" s="260" t="n">
        <v>1</v>
      </c>
    </row>
    <row r="997" customFormat="false" ht="14.25" hidden="true" customHeight="true" outlineLevel="0" collapsed="false">
      <c r="A997" s="263"/>
      <c r="B997" s="259"/>
      <c r="C997" s="259" t="s">
        <v>1283</v>
      </c>
      <c r="D997" s="117" t="n">
        <v>152.46</v>
      </c>
      <c r="E997" s="260" t="n">
        <v>1</v>
      </c>
    </row>
    <row r="998" customFormat="false" ht="14.25" hidden="true" customHeight="true" outlineLevel="0" collapsed="false">
      <c r="A998" s="263"/>
      <c r="B998" s="259"/>
      <c r="C998" s="259" t="s">
        <v>1284</v>
      </c>
      <c r="D998" s="117" t="n">
        <v>152.46</v>
      </c>
      <c r="E998" s="260" t="n">
        <v>1</v>
      </c>
    </row>
    <row r="999" customFormat="false" ht="14.25" hidden="true" customHeight="true" outlineLevel="0" collapsed="false">
      <c r="A999" s="263"/>
      <c r="B999" s="259"/>
      <c r="C999" s="259" t="s">
        <v>1285</v>
      </c>
      <c r="D999" s="117" t="n">
        <v>152.46</v>
      </c>
      <c r="E999" s="260" t="n">
        <v>1</v>
      </c>
    </row>
    <row r="1000" customFormat="false" ht="14.25" hidden="true" customHeight="true" outlineLevel="0" collapsed="false">
      <c r="A1000" s="263"/>
      <c r="B1000" s="259"/>
      <c r="C1000" s="259" t="s">
        <v>1286</v>
      </c>
      <c r="D1000" s="117" t="n">
        <v>152.46</v>
      </c>
      <c r="E1000" s="260" t="n">
        <v>1</v>
      </c>
    </row>
    <row r="1001" customFormat="false" ht="14.25" hidden="true" customHeight="true" outlineLevel="0" collapsed="false">
      <c r="A1001" s="263"/>
      <c r="B1001" s="259"/>
      <c r="C1001" s="259" t="s">
        <v>1287</v>
      </c>
      <c r="D1001" s="117" t="n">
        <v>152.39</v>
      </c>
      <c r="E1001" s="260" t="n">
        <v>2</v>
      </c>
    </row>
    <row r="1002" customFormat="false" ht="14.25" hidden="true" customHeight="true" outlineLevel="0" collapsed="false">
      <c r="A1002" s="263"/>
      <c r="B1002" s="259"/>
      <c r="C1002" s="259" t="s">
        <v>1288</v>
      </c>
      <c r="D1002" s="117" t="n">
        <v>152.39</v>
      </c>
      <c r="E1002" s="260" t="n">
        <v>2</v>
      </c>
    </row>
    <row r="1003" customFormat="false" ht="14.25" hidden="true" customHeight="true" outlineLevel="0" collapsed="false">
      <c r="A1003" s="263"/>
      <c r="B1003" s="259"/>
      <c r="C1003" s="259" t="s">
        <v>1289</v>
      </c>
      <c r="D1003" s="117" t="n">
        <v>152.38</v>
      </c>
      <c r="E1003" s="260" t="n">
        <v>2</v>
      </c>
    </row>
    <row r="1004" customFormat="false" ht="14.25" hidden="true" customHeight="true" outlineLevel="0" collapsed="false">
      <c r="A1004" s="263"/>
      <c r="B1004" s="259"/>
      <c r="C1004" s="259" t="s">
        <v>1290</v>
      </c>
      <c r="D1004" s="117" t="n">
        <v>152.37</v>
      </c>
      <c r="E1004" s="260" t="n">
        <v>2</v>
      </c>
    </row>
    <row r="1005" customFormat="false" ht="14.25" hidden="true" customHeight="true" outlineLevel="0" collapsed="false">
      <c r="A1005" s="263"/>
      <c r="B1005" s="259"/>
      <c r="C1005" s="259" t="s">
        <v>1291</v>
      </c>
      <c r="D1005" s="117" t="n">
        <v>150.18</v>
      </c>
      <c r="E1005" s="260" t="n">
        <v>1</v>
      </c>
    </row>
    <row r="1006" customFormat="false" ht="14.25" hidden="true" customHeight="true" outlineLevel="0" collapsed="false">
      <c r="A1006" s="263"/>
      <c r="B1006" s="259"/>
      <c r="C1006" s="259" t="s">
        <v>1292</v>
      </c>
      <c r="D1006" s="117" t="n">
        <v>150.18</v>
      </c>
      <c r="E1006" s="260" t="n">
        <v>1</v>
      </c>
    </row>
    <row r="1007" customFormat="false" ht="14.25" hidden="true" customHeight="true" outlineLevel="0" collapsed="false">
      <c r="A1007" s="263"/>
      <c r="B1007" s="259"/>
      <c r="C1007" s="259" t="s">
        <v>1293</v>
      </c>
      <c r="D1007" s="117" t="n">
        <v>149.83</v>
      </c>
      <c r="E1007" s="260" t="n">
        <v>3</v>
      </c>
    </row>
    <row r="1008" customFormat="false" ht="14.25" hidden="true" customHeight="true" outlineLevel="0" collapsed="false">
      <c r="A1008" s="263"/>
      <c r="B1008" s="259"/>
      <c r="C1008" s="259" t="s">
        <v>1294</v>
      </c>
      <c r="D1008" s="117" t="n">
        <v>145.68</v>
      </c>
      <c r="E1008" s="260" t="n">
        <v>1</v>
      </c>
    </row>
    <row r="1009" customFormat="false" ht="14.25" hidden="true" customHeight="true" outlineLevel="0" collapsed="false">
      <c r="A1009" s="263"/>
      <c r="B1009" s="259"/>
      <c r="C1009" s="259" t="s">
        <v>1295</v>
      </c>
      <c r="D1009" s="117" t="n">
        <v>145.6</v>
      </c>
      <c r="E1009" s="260" t="n">
        <v>2</v>
      </c>
    </row>
    <row r="1010" customFormat="false" ht="14.25" hidden="true" customHeight="true" outlineLevel="0" collapsed="false">
      <c r="A1010" s="263"/>
      <c r="B1010" s="259"/>
      <c r="C1010" s="259" t="s">
        <v>1296</v>
      </c>
      <c r="D1010" s="117" t="n">
        <v>145.6</v>
      </c>
      <c r="E1010" s="260" t="n">
        <v>2</v>
      </c>
    </row>
    <row r="1011" customFormat="false" ht="14.25" hidden="true" customHeight="true" outlineLevel="0" collapsed="false">
      <c r="A1011" s="263"/>
      <c r="B1011" s="259"/>
      <c r="C1011" s="259" t="s">
        <v>1297</v>
      </c>
      <c r="D1011" s="117" t="n">
        <v>145.59</v>
      </c>
      <c r="E1011" s="260" t="n">
        <v>2</v>
      </c>
    </row>
    <row r="1012" customFormat="false" ht="14.25" hidden="true" customHeight="true" outlineLevel="0" collapsed="false">
      <c r="A1012" s="263"/>
      <c r="B1012" s="259"/>
      <c r="C1012" s="259" t="s">
        <v>1298</v>
      </c>
      <c r="D1012" s="117" t="n">
        <v>145.43</v>
      </c>
      <c r="E1012" s="260" t="n">
        <v>4</v>
      </c>
    </row>
    <row r="1013" customFormat="false" ht="14.25" hidden="true" customHeight="true" outlineLevel="0" collapsed="false">
      <c r="A1013" s="263"/>
      <c r="B1013" s="259"/>
      <c r="C1013" s="259" t="s">
        <v>1299</v>
      </c>
      <c r="D1013" s="117" t="n">
        <v>143.99</v>
      </c>
      <c r="E1013" s="260" t="n">
        <v>1</v>
      </c>
    </row>
    <row r="1014" customFormat="false" ht="14.25" hidden="true" customHeight="true" outlineLevel="0" collapsed="false">
      <c r="A1014" s="263"/>
      <c r="B1014" s="259"/>
      <c r="C1014" s="259" t="s">
        <v>1300</v>
      </c>
      <c r="D1014" s="117" t="n">
        <v>143.99</v>
      </c>
      <c r="E1014" s="260" t="n">
        <v>1</v>
      </c>
    </row>
    <row r="1015" customFormat="false" ht="14.25" hidden="true" customHeight="true" outlineLevel="0" collapsed="false">
      <c r="A1015" s="263"/>
      <c r="B1015" s="259"/>
      <c r="C1015" s="259" t="s">
        <v>1301</v>
      </c>
      <c r="D1015" s="117" t="n">
        <v>143.99</v>
      </c>
      <c r="E1015" s="260" t="n">
        <v>1</v>
      </c>
    </row>
    <row r="1016" customFormat="false" ht="14.25" hidden="true" customHeight="true" outlineLevel="0" collapsed="false">
      <c r="A1016" s="263"/>
      <c r="B1016" s="259"/>
      <c r="C1016" s="259" t="s">
        <v>1302</v>
      </c>
      <c r="D1016" s="117" t="n">
        <v>143.99</v>
      </c>
      <c r="E1016" s="260" t="n">
        <v>1</v>
      </c>
    </row>
    <row r="1017" customFormat="false" ht="14.25" hidden="true" customHeight="true" outlineLevel="0" collapsed="false">
      <c r="A1017" s="263"/>
      <c r="B1017" s="259"/>
      <c r="C1017" s="259" t="s">
        <v>1303</v>
      </c>
      <c r="D1017" s="117" t="n">
        <v>143.99</v>
      </c>
      <c r="E1017" s="260" t="n">
        <v>1</v>
      </c>
    </row>
    <row r="1018" customFormat="false" ht="14.25" hidden="true" customHeight="true" outlineLevel="0" collapsed="false">
      <c r="A1018" s="263"/>
      <c r="B1018" s="259"/>
      <c r="C1018" s="259" t="s">
        <v>1304</v>
      </c>
      <c r="D1018" s="117" t="n">
        <v>143.99</v>
      </c>
      <c r="E1018" s="260" t="n">
        <v>1</v>
      </c>
    </row>
    <row r="1019" customFormat="false" ht="14.25" hidden="true" customHeight="true" outlineLevel="0" collapsed="false">
      <c r="A1019" s="263"/>
      <c r="B1019" s="259"/>
      <c r="C1019" s="259" t="s">
        <v>1305</v>
      </c>
      <c r="D1019" s="117" t="n">
        <v>143.99</v>
      </c>
      <c r="E1019" s="260" t="n">
        <v>1</v>
      </c>
    </row>
    <row r="1020" customFormat="false" ht="14.25" hidden="true" customHeight="true" outlineLevel="0" collapsed="false">
      <c r="A1020" s="263"/>
      <c r="B1020" s="259"/>
      <c r="C1020" s="259" t="s">
        <v>1306</v>
      </c>
      <c r="D1020" s="117" t="n">
        <v>143.99</v>
      </c>
      <c r="E1020" s="260" t="n">
        <v>1</v>
      </c>
    </row>
    <row r="1021" customFormat="false" ht="14.25" hidden="true" customHeight="true" outlineLevel="0" collapsed="false">
      <c r="A1021" s="263"/>
      <c r="B1021" s="259"/>
      <c r="C1021" s="259" t="s">
        <v>1307</v>
      </c>
      <c r="D1021" s="117" t="n">
        <v>143.99</v>
      </c>
      <c r="E1021" s="260" t="n">
        <v>1</v>
      </c>
    </row>
    <row r="1022" customFormat="false" ht="14.25" hidden="true" customHeight="true" outlineLevel="0" collapsed="false">
      <c r="A1022" s="263"/>
      <c r="B1022" s="259"/>
      <c r="C1022" s="259" t="s">
        <v>1308</v>
      </c>
      <c r="D1022" s="117" t="n">
        <v>143.99</v>
      </c>
      <c r="E1022" s="260" t="n">
        <v>1</v>
      </c>
    </row>
    <row r="1023" customFormat="false" ht="14.25" hidden="true" customHeight="true" outlineLevel="0" collapsed="false">
      <c r="A1023" s="263"/>
      <c r="B1023" s="259"/>
      <c r="C1023" s="259" t="s">
        <v>1309</v>
      </c>
      <c r="D1023" s="117" t="n">
        <v>143.99</v>
      </c>
      <c r="E1023" s="260" t="n">
        <v>1</v>
      </c>
    </row>
    <row r="1024" customFormat="false" ht="14.25" hidden="true" customHeight="true" outlineLevel="0" collapsed="false">
      <c r="A1024" s="263"/>
      <c r="B1024" s="259"/>
      <c r="C1024" s="259" t="s">
        <v>1310</v>
      </c>
      <c r="D1024" s="117" t="n">
        <v>143.99</v>
      </c>
      <c r="E1024" s="260" t="n">
        <v>1</v>
      </c>
    </row>
    <row r="1025" customFormat="false" ht="14.25" hidden="true" customHeight="true" outlineLevel="0" collapsed="false">
      <c r="A1025" s="263"/>
      <c r="B1025" s="259"/>
      <c r="C1025" s="259" t="s">
        <v>1311</v>
      </c>
      <c r="D1025" s="117" t="n">
        <v>143.99</v>
      </c>
      <c r="E1025" s="260" t="n">
        <v>1</v>
      </c>
    </row>
    <row r="1026" customFormat="false" ht="14.25" hidden="true" customHeight="true" outlineLevel="0" collapsed="false">
      <c r="A1026" s="263"/>
      <c r="B1026" s="259"/>
      <c r="C1026" s="259" t="s">
        <v>1312</v>
      </c>
      <c r="D1026" s="117" t="n">
        <v>143.99</v>
      </c>
      <c r="E1026" s="260" t="n">
        <v>1</v>
      </c>
    </row>
    <row r="1027" customFormat="false" ht="14.25" hidden="true" customHeight="true" outlineLevel="0" collapsed="false">
      <c r="A1027" s="263"/>
      <c r="B1027" s="259"/>
      <c r="C1027" s="259" t="s">
        <v>1313</v>
      </c>
      <c r="D1027" s="117" t="n">
        <v>143.99</v>
      </c>
      <c r="E1027" s="260" t="n">
        <v>1</v>
      </c>
    </row>
    <row r="1028" customFormat="false" ht="14.25" hidden="true" customHeight="true" outlineLevel="0" collapsed="false">
      <c r="A1028" s="263"/>
      <c r="B1028" s="259"/>
      <c r="C1028" s="259" t="s">
        <v>1314</v>
      </c>
      <c r="D1028" s="117" t="n">
        <v>143.99</v>
      </c>
      <c r="E1028" s="260" t="n">
        <v>1</v>
      </c>
    </row>
    <row r="1029" customFormat="false" ht="14.25" hidden="true" customHeight="true" outlineLevel="0" collapsed="false">
      <c r="A1029" s="263"/>
      <c r="B1029" s="259"/>
      <c r="C1029" s="259" t="s">
        <v>1315</v>
      </c>
      <c r="D1029" s="117" t="n">
        <v>143.99</v>
      </c>
      <c r="E1029" s="260" t="n">
        <v>1</v>
      </c>
    </row>
    <row r="1030" customFormat="false" ht="14.25" hidden="true" customHeight="true" outlineLevel="0" collapsed="false">
      <c r="A1030" s="263"/>
      <c r="B1030" s="259"/>
      <c r="C1030" s="259" t="s">
        <v>1316</v>
      </c>
      <c r="D1030" s="117" t="n">
        <v>143.99</v>
      </c>
      <c r="E1030" s="260" t="n">
        <v>1</v>
      </c>
    </row>
    <row r="1031" customFormat="false" ht="14.25" hidden="true" customHeight="true" outlineLevel="0" collapsed="false">
      <c r="A1031" s="263"/>
      <c r="B1031" s="259"/>
      <c r="C1031" s="259" t="s">
        <v>1317</v>
      </c>
      <c r="D1031" s="117" t="n">
        <v>143.99</v>
      </c>
      <c r="E1031" s="260" t="n">
        <v>1</v>
      </c>
    </row>
    <row r="1032" customFormat="false" ht="14.25" hidden="true" customHeight="true" outlineLevel="0" collapsed="false">
      <c r="A1032" s="263"/>
      <c r="B1032" s="259"/>
      <c r="C1032" s="259" t="s">
        <v>1318</v>
      </c>
      <c r="D1032" s="117" t="n">
        <v>143.99</v>
      </c>
      <c r="E1032" s="260" t="n">
        <v>1</v>
      </c>
    </row>
    <row r="1033" customFormat="false" ht="14.25" hidden="true" customHeight="true" outlineLevel="0" collapsed="false">
      <c r="A1033" s="263"/>
      <c r="B1033" s="259"/>
      <c r="C1033" s="259" t="s">
        <v>1319</v>
      </c>
      <c r="D1033" s="117" t="n">
        <v>143.99</v>
      </c>
      <c r="E1033" s="260" t="n">
        <v>1</v>
      </c>
    </row>
    <row r="1034" customFormat="false" ht="14.25" hidden="true" customHeight="true" outlineLevel="0" collapsed="false">
      <c r="A1034" s="263"/>
      <c r="B1034" s="259"/>
      <c r="C1034" s="259" t="s">
        <v>1320</v>
      </c>
      <c r="D1034" s="117" t="n">
        <v>143.99</v>
      </c>
      <c r="E1034" s="260" t="n">
        <v>1</v>
      </c>
    </row>
    <row r="1035" customFormat="false" ht="14.25" hidden="true" customHeight="true" outlineLevel="0" collapsed="false">
      <c r="A1035" s="263"/>
      <c r="B1035" s="259"/>
      <c r="C1035" s="259" t="s">
        <v>1321</v>
      </c>
      <c r="D1035" s="117" t="n">
        <v>143.99</v>
      </c>
      <c r="E1035" s="260" t="n">
        <v>1</v>
      </c>
    </row>
    <row r="1036" customFormat="false" ht="14.25" hidden="true" customHeight="true" outlineLevel="0" collapsed="false">
      <c r="A1036" s="263"/>
      <c r="B1036" s="259"/>
      <c r="C1036" s="259" t="s">
        <v>1322</v>
      </c>
      <c r="D1036" s="117" t="n">
        <v>143.99</v>
      </c>
      <c r="E1036" s="260" t="n">
        <v>1</v>
      </c>
    </row>
    <row r="1037" customFormat="false" ht="14.25" hidden="true" customHeight="true" outlineLevel="0" collapsed="false">
      <c r="A1037" s="263"/>
      <c r="B1037" s="259"/>
      <c r="C1037" s="259" t="s">
        <v>1323</v>
      </c>
      <c r="D1037" s="117" t="n">
        <v>143.99</v>
      </c>
      <c r="E1037" s="260" t="n">
        <v>1</v>
      </c>
    </row>
    <row r="1038" customFormat="false" ht="14.25" hidden="true" customHeight="true" outlineLevel="0" collapsed="false">
      <c r="A1038" s="263"/>
      <c r="B1038" s="259"/>
      <c r="C1038" s="259" t="s">
        <v>1324</v>
      </c>
      <c r="D1038" s="117" t="n">
        <v>143.99</v>
      </c>
      <c r="E1038" s="260" t="n">
        <v>1</v>
      </c>
    </row>
    <row r="1039" customFormat="false" ht="14.25" hidden="true" customHeight="true" outlineLevel="0" collapsed="false">
      <c r="A1039" s="263"/>
      <c r="B1039" s="259"/>
      <c r="C1039" s="259" t="s">
        <v>1325</v>
      </c>
      <c r="D1039" s="117" t="n">
        <v>143.99</v>
      </c>
      <c r="E1039" s="260" t="n">
        <v>1</v>
      </c>
    </row>
    <row r="1040" customFormat="false" ht="14.25" hidden="true" customHeight="true" outlineLevel="0" collapsed="false">
      <c r="A1040" s="263"/>
      <c r="B1040" s="259"/>
      <c r="C1040" s="259" t="s">
        <v>1326</v>
      </c>
      <c r="D1040" s="117" t="n">
        <v>143.99</v>
      </c>
      <c r="E1040" s="260" t="n">
        <v>1</v>
      </c>
    </row>
    <row r="1041" customFormat="false" ht="14.25" hidden="true" customHeight="true" outlineLevel="0" collapsed="false">
      <c r="A1041" s="263"/>
      <c r="B1041" s="259"/>
      <c r="C1041" s="259" t="s">
        <v>1327</v>
      </c>
      <c r="D1041" s="117" t="n">
        <v>143.99</v>
      </c>
      <c r="E1041" s="260" t="n">
        <v>1</v>
      </c>
    </row>
    <row r="1042" customFormat="false" ht="14.25" hidden="true" customHeight="true" outlineLevel="0" collapsed="false">
      <c r="A1042" s="263"/>
      <c r="B1042" s="259"/>
      <c r="C1042" s="259" t="s">
        <v>1328</v>
      </c>
      <c r="D1042" s="117" t="n">
        <v>143.99</v>
      </c>
      <c r="E1042" s="260" t="n">
        <v>1</v>
      </c>
    </row>
    <row r="1043" customFormat="false" ht="14.25" hidden="true" customHeight="true" outlineLevel="0" collapsed="false">
      <c r="A1043" s="263"/>
      <c r="B1043" s="259"/>
      <c r="C1043" s="259" t="s">
        <v>1329</v>
      </c>
      <c r="D1043" s="117" t="n">
        <v>143.99</v>
      </c>
      <c r="E1043" s="260" t="n">
        <v>1</v>
      </c>
    </row>
    <row r="1044" customFormat="false" ht="14.25" hidden="true" customHeight="true" outlineLevel="0" collapsed="false">
      <c r="A1044" s="263"/>
      <c r="B1044" s="259"/>
      <c r="C1044" s="259" t="s">
        <v>1330</v>
      </c>
      <c r="D1044" s="117" t="n">
        <v>143.99</v>
      </c>
      <c r="E1044" s="260" t="n">
        <v>1</v>
      </c>
    </row>
    <row r="1045" customFormat="false" ht="14.25" hidden="true" customHeight="true" outlineLevel="0" collapsed="false">
      <c r="A1045" s="263"/>
      <c r="B1045" s="259"/>
      <c r="C1045" s="259" t="s">
        <v>1331</v>
      </c>
      <c r="D1045" s="117" t="n">
        <v>143.99</v>
      </c>
      <c r="E1045" s="260" t="n">
        <v>1</v>
      </c>
    </row>
    <row r="1046" customFormat="false" ht="14.25" hidden="true" customHeight="true" outlineLevel="0" collapsed="false">
      <c r="A1046" s="263"/>
      <c r="B1046" s="259"/>
      <c r="C1046" s="259" t="s">
        <v>1332</v>
      </c>
      <c r="D1046" s="117" t="n">
        <v>143.99</v>
      </c>
      <c r="E1046" s="260" t="n">
        <v>1</v>
      </c>
    </row>
    <row r="1047" customFormat="false" ht="14.25" hidden="true" customHeight="true" outlineLevel="0" collapsed="false">
      <c r="A1047" s="263"/>
      <c r="B1047" s="259"/>
      <c r="C1047" s="259" t="s">
        <v>1333</v>
      </c>
      <c r="D1047" s="117" t="n">
        <v>143.99</v>
      </c>
      <c r="E1047" s="260" t="n">
        <v>1</v>
      </c>
    </row>
    <row r="1048" customFormat="false" ht="14.25" hidden="true" customHeight="true" outlineLevel="0" collapsed="false">
      <c r="A1048" s="263"/>
      <c r="B1048" s="259"/>
      <c r="C1048" s="259" t="s">
        <v>1334</v>
      </c>
      <c r="D1048" s="117" t="n">
        <v>143.99</v>
      </c>
      <c r="E1048" s="260" t="n">
        <v>1</v>
      </c>
    </row>
    <row r="1049" customFormat="false" ht="14.25" hidden="true" customHeight="true" outlineLevel="0" collapsed="false">
      <c r="A1049" s="263"/>
      <c r="B1049" s="259"/>
      <c r="C1049" s="259" t="s">
        <v>1335</v>
      </c>
      <c r="D1049" s="117" t="n">
        <v>143.99</v>
      </c>
      <c r="E1049" s="260" t="n">
        <v>1</v>
      </c>
    </row>
    <row r="1050" customFormat="false" ht="14.25" hidden="true" customHeight="true" outlineLevel="0" collapsed="false">
      <c r="A1050" s="263"/>
      <c r="B1050" s="259"/>
      <c r="C1050" s="259" t="s">
        <v>1336</v>
      </c>
      <c r="D1050" s="117" t="n">
        <v>143.99</v>
      </c>
      <c r="E1050" s="260" t="n">
        <v>1</v>
      </c>
    </row>
    <row r="1051" customFormat="false" ht="14.25" hidden="true" customHeight="true" outlineLevel="0" collapsed="false">
      <c r="A1051" s="263"/>
      <c r="B1051" s="259"/>
      <c r="C1051" s="259" t="s">
        <v>1337</v>
      </c>
      <c r="D1051" s="117" t="n">
        <v>143.99</v>
      </c>
      <c r="E1051" s="260" t="n">
        <v>1</v>
      </c>
    </row>
    <row r="1052" customFormat="false" ht="14.25" hidden="true" customHeight="true" outlineLevel="0" collapsed="false">
      <c r="A1052" s="263"/>
      <c r="B1052" s="259"/>
      <c r="C1052" s="259" t="s">
        <v>1338</v>
      </c>
      <c r="D1052" s="117" t="n">
        <v>143.99</v>
      </c>
      <c r="E1052" s="260" t="n">
        <v>1</v>
      </c>
    </row>
    <row r="1053" customFormat="false" ht="14.25" hidden="true" customHeight="true" outlineLevel="0" collapsed="false">
      <c r="A1053" s="263"/>
      <c r="B1053" s="259"/>
      <c r="C1053" s="259" t="s">
        <v>1339</v>
      </c>
      <c r="D1053" s="117" t="n">
        <v>143.99</v>
      </c>
      <c r="E1053" s="260" t="n">
        <v>1</v>
      </c>
    </row>
    <row r="1054" customFormat="false" ht="14.25" hidden="true" customHeight="true" outlineLevel="0" collapsed="false">
      <c r="A1054" s="263"/>
      <c r="B1054" s="259"/>
      <c r="C1054" s="259" t="s">
        <v>1340</v>
      </c>
      <c r="D1054" s="117" t="n">
        <v>143.99</v>
      </c>
      <c r="E1054" s="260" t="n">
        <v>1</v>
      </c>
    </row>
    <row r="1055" customFormat="false" ht="14.25" hidden="true" customHeight="true" outlineLevel="0" collapsed="false">
      <c r="A1055" s="263"/>
      <c r="B1055" s="259"/>
      <c r="C1055" s="259" t="s">
        <v>1341</v>
      </c>
      <c r="D1055" s="117" t="n">
        <v>143.99</v>
      </c>
      <c r="E1055" s="260" t="n">
        <v>1</v>
      </c>
    </row>
    <row r="1056" customFormat="false" ht="14.25" hidden="true" customHeight="true" outlineLevel="0" collapsed="false">
      <c r="A1056" s="263"/>
      <c r="B1056" s="259"/>
      <c r="C1056" s="259" t="s">
        <v>1342</v>
      </c>
      <c r="D1056" s="117" t="n">
        <v>143.99</v>
      </c>
      <c r="E1056" s="260" t="n">
        <v>1</v>
      </c>
    </row>
    <row r="1057" customFormat="false" ht="14.25" hidden="true" customHeight="true" outlineLevel="0" collapsed="false">
      <c r="A1057" s="263"/>
      <c r="B1057" s="259"/>
      <c r="C1057" s="259" t="s">
        <v>1343</v>
      </c>
      <c r="D1057" s="117" t="n">
        <v>143.99</v>
      </c>
      <c r="E1057" s="260" t="n">
        <v>1</v>
      </c>
    </row>
    <row r="1058" customFormat="false" ht="14.25" hidden="true" customHeight="true" outlineLevel="0" collapsed="false">
      <c r="A1058" s="263"/>
      <c r="B1058" s="259"/>
      <c r="C1058" s="259" t="s">
        <v>1344</v>
      </c>
      <c r="D1058" s="117" t="n">
        <v>143.99</v>
      </c>
      <c r="E1058" s="260" t="n">
        <v>1</v>
      </c>
    </row>
    <row r="1059" customFormat="false" ht="14.25" hidden="true" customHeight="true" outlineLevel="0" collapsed="false">
      <c r="A1059" s="263"/>
      <c r="B1059" s="259"/>
      <c r="C1059" s="259" t="s">
        <v>1345</v>
      </c>
      <c r="D1059" s="117" t="n">
        <v>143.99</v>
      </c>
      <c r="E1059" s="260" t="n">
        <v>1</v>
      </c>
    </row>
    <row r="1060" customFormat="false" ht="14.25" hidden="true" customHeight="true" outlineLevel="0" collapsed="false">
      <c r="A1060" s="263"/>
      <c r="B1060" s="259"/>
      <c r="C1060" s="259" t="s">
        <v>1346</v>
      </c>
      <c r="D1060" s="117" t="n">
        <v>143.99</v>
      </c>
      <c r="E1060" s="260" t="n">
        <v>1</v>
      </c>
    </row>
    <row r="1061" customFormat="false" ht="14.25" hidden="true" customHeight="true" outlineLevel="0" collapsed="false">
      <c r="A1061" s="263"/>
      <c r="B1061" s="259"/>
      <c r="C1061" s="259" t="s">
        <v>1347</v>
      </c>
      <c r="D1061" s="117" t="n">
        <v>143.99</v>
      </c>
      <c r="E1061" s="260" t="n">
        <v>1</v>
      </c>
    </row>
    <row r="1062" customFormat="false" ht="14.25" hidden="true" customHeight="true" outlineLevel="0" collapsed="false">
      <c r="A1062" s="263"/>
      <c r="B1062" s="259"/>
      <c r="C1062" s="259" t="s">
        <v>1348</v>
      </c>
      <c r="D1062" s="117" t="n">
        <v>143.99</v>
      </c>
      <c r="E1062" s="260" t="n">
        <v>1</v>
      </c>
    </row>
    <row r="1063" customFormat="false" ht="14.25" hidden="true" customHeight="true" outlineLevel="0" collapsed="false">
      <c r="A1063" s="263"/>
      <c r="B1063" s="259"/>
      <c r="C1063" s="259" t="s">
        <v>1349</v>
      </c>
      <c r="D1063" s="117" t="n">
        <v>143.99</v>
      </c>
      <c r="E1063" s="260" t="n">
        <v>1</v>
      </c>
    </row>
    <row r="1064" customFormat="false" ht="14.25" hidden="true" customHeight="true" outlineLevel="0" collapsed="false">
      <c r="A1064" s="263"/>
      <c r="B1064" s="259"/>
      <c r="C1064" s="259" t="s">
        <v>1350</v>
      </c>
      <c r="D1064" s="117" t="n">
        <v>143.99</v>
      </c>
      <c r="E1064" s="260" t="n">
        <v>1</v>
      </c>
    </row>
    <row r="1065" customFormat="false" ht="14.25" hidden="true" customHeight="true" outlineLevel="0" collapsed="false">
      <c r="A1065" s="263"/>
      <c r="B1065" s="259"/>
      <c r="C1065" s="259" t="s">
        <v>1351</v>
      </c>
      <c r="D1065" s="117" t="n">
        <v>143.99</v>
      </c>
      <c r="E1065" s="260" t="n">
        <v>1</v>
      </c>
    </row>
    <row r="1066" customFormat="false" ht="14.25" hidden="true" customHeight="true" outlineLevel="0" collapsed="false">
      <c r="A1066" s="263"/>
      <c r="B1066" s="259"/>
      <c r="C1066" s="259" t="s">
        <v>1352</v>
      </c>
      <c r="D1066" s="117" t="n">
        <v>143.99</v>
      </c>
      <c r="E1066" s="260" t="n">
        <v>1</v>
      </c>
    </row>
    <row r="1067" customFormat="false" ht="14.25" hidden="true" customHeight="true" outlineLevel="0" collapsed="false">
      <c r="A1067" s="263"/>
      <c r="B1067" s="259"/>
      <c r="C1067" s="259" t="s">
        <v>1353</v>
      </c>
      <c r="D1067" s="117" t="n">
        <v>143.99</v>
      </c>
      <c r="E1067" s="260" t="n">
        <v>1</v>
      </c>
    </row>
    <row r="1068" customFormat="false" ht="14.25" hidden="true" customHeight="true" outlineLevel="0" collapsed="false">
      <c r="A1068" s="263"/>
      <c r="B1068" s="259"/>
      <c r="C1068" s="259" t="s">
        <v>1354</v>
      </c>
      <c r="D1068" s="117" t="n">
        <v>143.99</v>
      </c>
      <c r="E1068" s="260" t="n">
        <v>1</v>
      </c>
    </row>
    <row r="1069" customFormat="false" ht="14.25" hidden="true" customHeight="true" outlineLevel="0" collapsed="false">
      <c r="A1069" s="263"/>
      <c r="B1069" s="259"/>
      <c r="C1069" s="259" t="s">
        <v>1355</v>
      </c>
      <c r="D1069" s="117" t="n">
        <v>143.99</v>
      </c>
      <c r="E1069" s="260" t="n">
        <v>1</v>
      </c>
    </row>
    <row r="1070" customFormat="false" ht="14.25" hidden="true" customHeight="true" outlineLevel="0" collapsed="false">
      <c r="A1070" s="263"/>
      <c r="B1070" s="259"/>
      <c r="C1070" s="259" t="s">
        <v>1356</v>
      </c>
      <c r="D1070" s="117" t="n">
        <v>143.99</v>
      </c>
      <c r="E1070" s="260" t="n">
        <v>1</v>
      </c>
    </row>
    <row r="1071" customFormat="false" ht="14.25" hidden="true" customHeight="true" outlineLevel="0" collapsed="false">
      <c r="A1071" s="263"/>
      <c r="B1071" s="259"/>
      <c r="C1071" s="259" t="s">
        <v>1357</v>
      </c>
      <c r="D1071" s="117" t="n">
        <v>143.99</v>
      </c>
      <c r="E1071" s="260" t="n">
        <v>1</v>
      </c>
    </row>
    <row r="1072" customFormat="false" ht="14.25" hidden="true" customHeight="true" outlineLevel="0" collapsed="false">
      <c r="A1072" s="263"/>
      <c r="B1072" s="259"/>
      <c r="C1072" s="259" t="s">
        <v>1358</v>
      </c>
      <c r="D1072" s="117" t="n">
        <v>143.99</v>
      </c>
      <c r="E1072" s="260" t="n">
        <v>1</v>
      </c>
    </row>
    <row r="1073" customFormat="false" ht="14.25" hidden="true" customHeight="true" outlineLevel="0" collapsed="false">
      <c r="A1073" s="263"/>
      <c r="B1073" s="259"/>
      <c r="C1073" s="259" t="s">
        <v>1359</v>
      </c>
      <c r="D1073" s="117" t="n">
        <v>143.99</v>
      </c>
      <c r="E1073" s="260" t="n">
        <v>1</v>
      </c>
    </row>
    <row r="1074" customFormat="false" ht="14.25" hidden="true" customHeight="true" outlineLevel="0" collapsed="false">
      <c r="A1074" s="263"/>
      <c r="B1074" s="259"/>
      <c r="C1074" s="259" t="s">
        <v>1360</v>
      </c>
      <c r="D1074" s="117" t="n">
        <v>143.99</v>
      </c>
      <c r="E1074" s="260" t="n">
        <v>1</v>
      </c>
    </row>
    <row r="1075" customFormat="false" ht="14.25" hidden="true" customHeight="true" outlineLevel="0" collapsed="false">
      <c r="A1075" s="263"/>
      <c r="B1075" s="259"/>
      <c r="C1075" s="259" t="s">
        <v>1361</v>
      </c>
      <c r="D1075" s="117" t="n">
        <v>143.99</v>
      </c>
      <c r="E1075" s="260" t="n">
        <v>1</v>
      </c>
    </row>
    <row r="1076" customFormat="false" ht="14.25" hidden="true" customHeight="true" outlineLevel="0" collapsed="false">
      <c r="A1076" s="263"/>
      <c r="B1076" s="259"/>
      <c r="C1076" s="259" t="s">
        <v>1362</v>
      </c>
      <c r="D1076" s="117" t="n">
        <v>143.99</v>
      </c>
      <c r="E1076" s="260" t="n">
        <v>1</v>
      </c>
    </row>
    <row r="1077" customFormat="false" ht="14.25" hidden="true" customHeight="true" outlineLevel="0" collapsed="false">
      <c r="A1077" s="263"/>
      <c r="B1077" s="259"/>
      <c r="C1077" s="259" t="s">
        <v>1363</v>
      </c>
      <c r="D1077" s="117" t="n">
        <v>143.99</v>
      </c>
      <c r="E1077" s="260" t="n">
        <v>1</v>
      </c>
    </row>
    <row r="1078" customFormat="false" ht="14.25" hidden="true" customHeight="true" outlineLevel="0" collapsed="false">
      <c r="A1078" s="263"/>
      <c r="B1078" s="259"/>
      <c r="C1078" s="259" t="s">
        <v>1364</v>
      </c>
      <c r="D1078" s="117" t="n">
        <v>143.99</v>
      </c>
      <c r="E1078" s="260" t="n">
        <v>1</v>
      </c>
    </row>
    <row r="1079" customFormat="false" ht="14.25" hidden="true" customHeight="true" outlineLevel="0" collapsed="false">
      <c r="A1079" s="263"/>
      <c r="B1079" s="259"/>
      <c r="C1079" s="259" t="s">
        <v>1365</v>
      </c>
      <c r="D1079" s="117" t="n">
        <v>143.99</v>
      </c>
      <c r="E1079" s="260" t="n">
        <v>1</v>
      </c>
    </row>
    <row r="1080" customFormat="false" ht="14.25" hidden="true" customHeight="true" outlineLevel="0" collapsed="false">
      <c r="A1080" s="263"/>
      <c r="B1080" s="259"/>
      <c r="C1080" s="259" t="s">
        <v>1366</v>
      </c>
      <c r="D1080" s="117" t="n">
        <v>143.99</v>
      </c>
      <c r="E1080" s="260" t="n">
        <v>1</v>
      </c>
    </row>
    <row r="1081" customFormat="false" ht="14.25" hidden="true" customHeight="true" outlineLevel="0" collapsed="false">
      <c r="A1081" s="263"/>
      <c r="B1081" s="259"/>
      <c r="C1081" s="259" t="s">
        <v>1367</v>
      </c>
      <c r="D1081" s="117" t="n">
        <v>143.99</v>
      </c>
      <c r="E1081" s="260" t="n">
        <v>1</v>
      </c>
    </row>
    <row r="1082" customFormat="false" ht="14.25" hidden="true" customHeight="true" outlineLevel="0" collapsed="false">
      <c r="A1082" s="263"/>
      <c r="B1082" s="259"/>
      <c r="C1082" s="259" t="s">
        <v>1368</v>
      </c>
      <c r="D1082" s="117" t="n">
        <v>143.99</v>
      </c>
      <c r="E1082" s="260" t="n">
        <v>1</v>
      </c>
    </row>
    <row r="1083" customFormat="false" ht="14.25" hidden="true" customHeight="true" outlineLevel="0" collapsed="false">
      <c r="A1083" s="263"/>
      <c r="B1083" s="259"/>
      <c r="C1083" s="259" t="s">
        <v>1369</v>
      </c>
      <c r="D1083" s="117" t="n">
        <v>143.99</v>
      </c>
      <c r="E1083" s="260" t="n">
        <v>1</v>
      </c>
    </row>
    <row r="1084" customFormat="false" ht="14.25" hidden="true" customHeight="true" outlineLevel="0" collapsed="false">
      <c r="A1084" s="263"/>
      <c r="B1084" s="259"/>
      <c r="C1084" s="259" t="s">
        <v>1370</v>
      </c>
      <c r="D1084" s="117" t="n">
        <v>143.99</v>
      </c>
      <c r="E1084" s="260" t="n">
        <v>1</v>
      </c>
    </row>
    <row r="1085" customFormat="false" ht="14.25" hidden="true" customHeight="true" outlineLevel="0" collapsed="false">
      <c r="A1085" s="263"/>
      <c r="B1085" s="259"/>
      <c r="C1085" s="259" t="s">
        <v>1371</v>
      </c>
      <c r="D1085" s="117" t="n">
        <v>143.99</v>
      </c>
      <c r="E1085" s="260" t="n">
        <v>1</v>
      </c>
    </row>
    <row r="1086" customFormat="false" ht="14.25" hidden="true" customHeight="true" outlineLevel="0" collapsed="false">
      <c r="A1086" s="263"/>
      <c r="B1086" s="259"/>
      <c r="C1086" s="259" t="s">
        <v>1372</v>
      </c>
      <c r="D1086" s="117" t="n">
        <v>143.99</v>
      </c>
      <c r="E1086" s="260" t="n">
        <v>1</v>
      </c>
    </row>
    <row r="1087" customFormat="false" ht="14.25" hidden="true" customHeight="true" outlineLevel="0" collapsed="false">
      <c r="A1087" s="263"/>
      <c r="B1087" s="259"/>
      <c r="C1087" s="259" t="s">
        <v>1373</v>
      </c>
      <c r="D1087" s="117" t="n">
        <v>143.99</v>
      </c>
      <c r="E1087" s="260" t="n">
        <v>1</v>
      </c>
    </row>
    <row r="1088" customFormat="false" ht="14.25" hidden="true" customHeight="true" outlineLevel="0" collapsed="false">
      <c r="A1088" s="263"/>
      <c r="B1088" s="259"/>
      <c r="C1088" s="259" t="s">
        <v>1374</v>
      </c>
      <c r="D1088" s="117" t="n">
        <v>143.99</v>
      </c>
      <c r="E1088" s="260" t="n">
        <v>1</v>
      </c>
    </row>
    <row r="1089" customFormat="false" ht="14.25" hidden="true" customHeight="true" outlineLevel="0" collapsed="false">
      <c r="A1089" s="263"/>
      <c r="B1089" s="259"/>
      <c r="C1089" s="259" t="s">
        <v>1375</v>
      </c>
      <c r="D1089" s="117" t="n">
        <v>143.99</v>
      </c>
      <c r="E1089" s="260" t="n">
        <v>1</v>
      </c>
    </row>
    <row r="1090" customFormat="false" ht="14.25" hidden="true" customHeight="true" outlineLevel="0" collapsed="false">
      <c r="A1090" s="263"/>
      <c r="B1090" s="259"/>
      <c r="C1090" s="259" t="s">
        <v>1376</v>
      </c>
      <c r="D1090" s="117" t="n">
        <v>143.99</v>
      </c>
      <c r="E1090" s="260" t="n">
        <v>1</v>
      </c>
    </row>
    <row r="1091" customFormat="false" ht="14.25" hidden="true" customHeight="true" outlineLevel="0" collapsed="false">
      <c r="A1091" s="263"/>
      <c r="B1091" s="259"/>
      <c r="C1091" s="259" t="s">
        <v>1377</v>
      </c>
      <c r="D1091" s="117" t="n">
        <v>143.99</v>
      </c>
      <c r="E1091" s="260" t="n">
        <v>1</v>
      </c>
    </row>
    <row r="1092" customFormat="false" ht="14.25" hidden="true" customHeight="true" outlineLevel="0" collapsed="false">
      <c r="A1092" s="263"/>
      <c r="B1092" s="259"/>
      <c r="C1092" s="259" t="s">
        <v>1378</v>
      </c>
      <c r="D1092" s="117" t="n">
        <v>143.99</v>
      </c>
      <c r="E1092" s="260" t="n">
        <v>1</v>
      </c>
    </row>
    <row r="1093" customFormat="false" ht="14.25" hidden="true" customHeight="true" outlineLevel="0" collapsed="false">
      <c r="A1093" s="263"/>
      <c r="B1093" s="259"/>
      <c r="C1093" s="259" t="s">
        <v>1379</v>
      </c>
      <c r="D1093" s="117" t="n">
        <v>143.99</v>
      </c>
      <c r="E1093" s="260" t="n">
        <v>1</v>
      </c>
    </row>
    <row r="1094" customFormat="false" ht="14.25" hidden="true" customHeight="true" outlineLevel="0" collapsed="false">
      <c r="A1094" s="263"/>
      <c r="B1094" s="259"/>
      <c r="C1094" s="259" t="s">
        <v>1380</v>
      </c>
      <c r="D1094" s="117" t="n">
        <v>143.99</v>
      </c>
      <c r="E1094" s="260" t="n">
        <v>1</v>
      </c>
    </row>
    <row r="1095" customFormat="false" ht="14.25" hidden="true" customHeight="true" outlineLevel="0" collapsed="false">
      <c r="A1095" s="263"/>
      <c r="B1095" s="259"/>
      <c r="C1095" s="259" t="s">
        <v>1381</v>
      </c>
      <c r="D1095" s="117" t="n">
        <v>143.99</v>
      </c>
      <c r="E1095" s="260" t="n">
        <v>1</v>
      </c>
    </row>
    <row r="1096" customFormat="false" ht="14.25" hidden="true" customHeight="true" outlineLevel="0" collapsed="false">
      <c r="A1096" s="263"/>
      <c r="B1096" s="259"/>
      <c r="C1096" s="259" t="s">
        <v>1382</v>
      </c>
      <c r="D1096" s="117" t="n">
        <v>143.99</v>
      </c>
      <c r="E1096" s="260" t="n">
        <v>1</v>
      </c>
    </row>
    <row r="1097" customFormat="false" ht="14.25" hidden="true" customHeight="true" outlineLevel="0" collapsed="false">
      <c r="A1097" s="263"/>
      <c r="B1097" s="259"/>
      <c r="C1097" s="259" t="s">
        <v>1383</v>
      </c>
      <c r="D1097" s="117" t="n">
        <v>143.99</v>
      </c>
      <c r="E1097" s="260" t="n">
        <v>1</v>
      </c>
    </row>
    <row r="1098" customFormat="false" ht="14.25" hidden="true" customHeight="true" outlineLevel="0" collapsed="false">
      <c r="A1098" s="263"/>
      <c r="B1098" s="259"/>
      <c r="C1098" s="259" t="s">
        <v>1384</v>
      </c>
      <c r="D1098" s="117" t="n">
        <v>143.99</v>
      </c>
      <c r="E1098" s="260" t="n">
        <v>1</v>
      </c>
    </row>
    <row r="1099" customFormat="false" ht="14.25" hidden="true" customHeight="true" outlineLevel="0" collapsed="false">
      <c r="A1099" s="263"/>
      <c r="B1099" s="259"/>
      <c r="C1099" s="259" t="s">
        <v>1385</v>
      </c>
      <c r="D1099" s="117" t="n">
        <v>143.99</v>
      </c>
      <c r="E1099" s="260" t="n">
        <v>1</v>
      </c>
    </row>
    <row r="1100" customFormat="false" ht="14.25" hidden="true" customHeight="true" outlineLevel="0" collapsed="false">
      <c r="A1100" s="263"/>
      <c r="B1100" s="259"/>
      <c r="C1100" s="259" t="s">
        <v>1386</v>
      </c>
      <c r="D1100" s="117" t="n">
        <v>143.99</v>
      </c>
      <c r="E1100" s="260" t="n">
        <v>1</v>
      </c>
    </row>
    <row r="1101" customFormat="false" ht="14.25" hidden="true" customHeight="true" outlineLevel="0" collapsed="false">
      <c r="A1101" s="263"/>
      <c r="B1101" s="259"/>
      <c r="C1101" s="259" t="s">
        <v>1387</v>
      </c>
      <c r="D1101" s="117" t="n">
        <v>143.99</v>
      </c>
      <c r="E1101" s="260" t="n">
        <v>1</v>
      </c>
    </row>
    <row r="1102" customFormat="false" ht="14.25" hidden="true" customHeight="true" outlineLevel="0" collapsed="false">
      <c r="A1102" s="263"/>
      <c r="B1102" s="259"/>
      <c r="C1102" s="259" t="s">
        <v>1388</v>
      </c>
      <c r="D1102" s="117" t="n">
        <v>143.99</v>
      </c>
      <c r="E1102" s="260" t="n">
        <v>1</v>
      </c>
    </row>
    <row r="1103" customFormat="false" ht="14.25" hidden="true" customHeight="true" outlineLevel="0" collapsed="false">
      <c r="A1103" s="263"/>
      <c r="B1103" s="259"/>
      <c r="C1103" s="259" t="s">
        <v>1389</v>
      </c>
      <c r="D1103" s="117" t="n">
        <v>143.99</v>
      </c>
      <c r="E1103" s="260" t="n">
        <v>1</v>
      </c>
    </row>
    <row r="1104" customFormat="false" ht="14.25" hidden="true" customHeight="true" outlineLevel="0" collapsed="false">
      <c r="A1104" s="263"/>
      <c r="B1104" s="259"/>
      <c r="C1104" s="259" t="s">
        <v>1390</v>
      </c>
      <c r="D1104" s="117" t="n">
        <v>143.99</v>
      </c>
      <c r="E1104" s="260" t="n">
        <v>1</v>
      </c>
    </row>
    <row r="1105" customFormat="false" ht="14.25" hidden="true" customHeight="true" outlineLevel="0" collapsed="false">
      <c r="A1105" s="263"/>
      <c r="B1105" s="259"/>
      <c r="C1105" s="259" t="s">
        <v>1391</v>
      </c>
      <c r="D1105" s="117" t="n">
        <v>143.99</v>
      </c>
      <c r="E1105" s="260" t="n">
        <v>1</v>
      </c>
    </row>
    <row r="1106" customFormat="false" ht="14.25" hidden="true" customHeight="true" outlineLevel="0" collapsed="false">
      <c r="A1106" s="263"/>
      <c r="B1106" s="259"/>
      <c r="C1106" s="259" t="s">
        <v>1392</v>
      </c>
      <c r="D1106" s="117" t="n">
        <v>143.99</v>
      </c>
      <c r="E1106" s="260" t="n">
        <v>1</v>
      </c>
    </row>
    <row r="1107" customFormat="false" ht="14.25" hidden="true" customHeight="true" outlineLevel="0" collapsed="false">
      <c r="A1107" s="263"/>
      <c r="B1107" s="259"/>
      <c r="C1107" s="259" t="s">
        <v>1393</v>
      </c>
      <c r="D1107" s="117" t="n">
        <v>143.99</v>
      </c>
      <c r="E1107" s="260" t="n">
        <v>1</v>
      </c>
    </row>
    <row r="1108" customFormat="false" ht="14.25" hidden="true" customHeight="true" outlineLevel="0" collapsed="false">
      <c r="A1108" s="263"/>
      <c r="B1108" s="259"/>
      <c r="C1108" s="259" t="s">
        <v>1394</v>
      </c>
      <c r="D1108" s="117" t="n">
        <v>143.99</v>
      </c>
      <c r="E1108" s="260" t="n">
        <v>1</v>
      </c>
    </row>
    <row r="1109" customFormat="false" ht="14.25" hidden="true" customHeight="true" outlineLevel="0" collapsed="false">
      <c r="A1109" s="263"/>
      <c r="B1109" s="259"/>
      <c r="C1109" s="259" t="s">
        <v>1395</v>
      </c>
      <c r="D1109" s="117" t="n">
        <v>143.99</v>
      </c>
      <c r="E1109" s="260" t="n">
        <v>1</v>
      </c>
    </row>
    <row r="1110" customFormat="false" ht="14.25" hidden="true" customHeight="true" outlineLevel="0" collapsed="false">
      <c r="A1110" s="263"/>
      <c r="B1110" s="259"/>
      <c r="C1110" s="259" t="s">
        <v>1396</v>
      </c>
      <c r="D1110" s="117" t="n">
        <v>143.99</v>
      </c>
      <c r="E1110" s="260" t="n">
        <v>1</v>
      </c>
    </row>
    <row r="1111" customFormat="false" ht="14.25" hidden="true" customHeight="true" outlineLevel="0" collapsed="false">
      <c r="A1111" s="263"/>
      <c r="B1111" s="259"/>
      <c r="C1111" s="259" t="s">
        <v>1397</v>
      </c>
      <c r="D1111" s="117" t="n">
        <v>143.99</v>
      </c>
      <c r="E1111" s="260" t="n">
        <v>1</v>
      </c>
    </row>
    <row r="1112" customFormat="false" ht="14.25" hidden="true" customHeight="true" outlineLevel="0" collapsed="false">
      <c r="A1112" s="263"/>
      <c r="B1112" s="259"/>
      <c r="C1112" s="259" t="s">
        <v>1398</v>
      </c>
      <c r="D1112" s="117" t="n">
        <v>143.99</v>
      </c>
      <c r="E1112" s="260" t="n">
        <v>1</v>
      </c>
    </row>
    <row r="1113" customFormat="false" ht="14.25" hidden="true" customHeight="true" outlineLevel="0" collapsed="false">
      <c r="A1113" s="263"/>
      <c r="B1113" s="259"/>
      <c r="C1113" s="259" t="s">
        <v>1399</v>
      </c>
      <c r="D1113" s="117" t="n">
        <v>143.99</v>
      </c>
      <c r="E1113" s="260" t="n">
        <v>1</v>
      </c>
    </row>
    <row r="1114" customFormat="false" ht="14.25" hidden="true" customHeight="true" outlineLevel="0" collapsed="false">
      <c r="A1114" s="263"/>
      <c r="B1114" s="259"/>
      <c r="C1114" s="259" t="s">
        <v>1400</v>
      </c>
      <c r="D1114" s="117" t="n">
        <v>143.99</v>
      </c>
      <c r="E1114" s="260" t="n">
        <v>1</v>
      </c>
    </row>
    <row r="1115" customFormat="false" ht="14.25" hidden="true" customHeight="true" outlineLevel="0" collapsed="false">
      <c r="A1115" s="263"/>
      <c r="B1115" s="259"/>
      <c r="C1115" s="259" t="s">
        <v>1401</v>
      </c>
      <c r="D1115" s="117" t="n">
        <v>143.99</v>
      </c>
      <c r="E1115" s="260" t="n">
        <v>1</v>
      </c>
    </row>
    <row r="1116" customFormat="false" ht="14.25" hidden="true" customHeight="true" outlineLevel="0" collapsed="false">
      <c r="A1116" s="263"/>
      <c r="B1116" s="259"/>
      <c r="C1116" s="259" t="s">
        <v>1402</v>
      </c>
      <c r="D1116" s="117" t="n">
        <v>143.99</v>
      </c>
      <c r="E1116" s="260" t="n">
        <v>1</v>
      </c>
    </row>
    <row r="1117" customFormat="false" ht="14.25" hidden="true" customHeight="true" outlineLevel="0" collapsed="false">
      <c r="A1117" s="263"/>
      <c r="B1117" s="259"/>
      <c r="C1117" s="259" t="s">
        <v>1403</v>
      </c>
      <c r="D1117" s="117" t="n">
        <v>143.99</v>
      </c>
      <c r="E1117" s="260" t="n">
        <v>1</v>
      </c>
    </row>
    <row r="1118" customFormat="false" ht="14.25" hidden="true" customHeight="true" outlineLevel="0" collapsed="false">
      <c r="A1118" s="263"/>
      <c r="B1118" s="259"/>
      <c r="C1118" s="259" t="s">
        <v>1404</v>
      </c>
      <c r="D1118" s="117" t="n">
        <v>143.99</v>
      </c>
      <c r="E1118" s="260" t="n">
        <v>1</v>
      </c>
    </row>
    <row r="1119" customFormat="false" ht="14.25" hidden="true" customHeight="true" outlineLevel="0" collapsed="false">
      <c r="A1119" s="263"/>
      <c r="B1119" s="259"/>
      <c r="C1119" s="259" t="s">
        <v>1405</v>
      </c>
      <c r="D1119" s="117" t="n">
        <v>143.99</v>
      </c>
      <c r="E1119" s="260" t="n">
        <v>1</v>
      </c>
    </row>
    <row r="1120" customFormat="false" ht="14.25" hidden="true" customHeight="true" outlineLevel="0" collapsed="false">
      <c r="A1120" s="263"/>
      <c r="B1120" s="259"/>
      <c r="C1120" s="259" t="s">
        <v>1406</v>
      </c>
      <c r="D1120" s="117" t="n">
        <v>143.99</v>
      </c>
      <c r="E1120" s="260" t="n">
        <v>1</v>
      </c>
    </row>
    <row r="1121" customFormat="false" ht="14.25" hidden="true" customHeight="true" outlineLevel="0" collapsed="false">
      <c r="A1121" s="263"/>
      <c r="B1121" s="259"/>
      <c r="C1121" s="259" t="s">
        <v>1407</v>
      </c>
      <c r="D1121" s="117" t="n">
        <v>143.99</v>
      </c>
      <c r="E1121" s="260" t="n">
        <v>1</v>
      </c>
    </row>
    <row r="1122" customFormat="false" ht="14.25" hidden="true" customHeight="true" outlineLevel="0" collapsed="false">
      <c r="A1122" s="263"/>
      <c r="B1122" s="259"/>
      <c r="C1122" s="259" t="s">
        <v>1408</v>
      </c>
      <c r="D1122" s="117" t="n">
        <v>143.99</v>
      </c>
      <c r="E1122" s="260" t="n">
        <v>1</v>
      </c>
    </row>
    <row r="1123" customFormat="false" ht="14.25" hidden="true" customHeight="true" outlineLevel="0" collapsed="false">
      <c r="A1123" s="263"/>
      <c r="B1123" s="259"/>
      <c r="C1123" s="259" t="s">
        <v>1409</v>
      </c>
      <c r="D1123" s="117" t="n">
        <v>143.99</v>
      </c>
      <c r="E1123" s="260" t="n">
        <v>1</v>
      </c>
    </row>
    <row r="1124" customFormat="false" ht="14.25" hidden="true" customHeight="true" outlineLevel="0" collapsed="false">
      <c r="A1124" s="263"/>
      <c r="B1124" s="259"/>
      <c r="C1124" s="259" t="s">
        <v>1410</v>
      </c>
      <c r="D1124" s="117" t="n">
        <v>143.99</v>
      </c>
      <c r="E1124" s="260" t="n">
        <v>1</v>
      </c>
    </row>
    <row r="1125" customFormat="false" ht="14.25" hidden="true" customHeight="true" outlineLevel="0" collapsed="false">
      <c r="A1125" s="263"/>
      <c r="B1125" s="259"/>
      <c r="C1125" s="259" t="s">
        <v>1411</v>
      </c>
      <c r="D1125" s="117" t="n">
        <v>143.99</v>
      </c>
      <c r="E1125" s="260" t="n">
        <v>1</v>
      </c>
    </row>
    <row r="1126" customFormat="false" ht="14.25" hidden="true" customHeight="true" outlineLevel="0" collapsed="false">
      <c r="A1126" s="263"/>
      <c r="B1126" s="259"/>
      <c r="C1126" s="259" t="s">
        <v>1412</v>
      </c>
      <c r="D1126" s="117" t="n">
        <v>143.99</v>
      </c>
      <c r="E1126" s="260" t="n">
        <v>1</v>
      </c>
    </row>
    <row r="1127" customFormat="false" ht="14.25" hidden="true" customHeight="true" outlineLevel="0" collapsed="false">
      <c r="A1127" s="263"/>
      <c r="B1127" s="259"/>
      <c r="C1127" s="259" t="s">
        <v>1413</v>
      </c>
      <c r="D1127" s="117" t="n">
        <v>143.99</v>
      </c>
      <c r="E1127" s="260" t="n">
        <v>1</v>
      </c>
    </row>
    <row r="1128" customFormat="false" ht="14.25" hidden="true" customHeight="true" outlineLevel="0" collapsed="false">
      <c r="A1128" s="263"/>
      <c r="B1128" s="259"/>
      <c r="C1128" s="259" t="s">
        <v>1414</v>
      </c>
      <c r="D1128" s="117" t="n">
        <v>143.99</v>
      </c>
      <c r="E1128" s="260" t="n">
        <v>1</v>
      </c>
    </row>
    <row r="1129" customFormat="false" ht="14.25" hidden="true" customHeight="true" outlineLevel="0" collapsed="false">
      <c r="A1129" s="263"/>
      <c r="B1129" s="259"/>
      <c r="C1129" s="259" t="s">
        <v>1415</v>
      </c>
      <c r="D1129" s="117" t="n">
        <v>143.99</v>
      </c>
      <c r="E1129" s="260" t="n">
        <v>1</v>
      </c>
    </row>
    <row r="1130" customFormat="false" ht="14.25" hidden="true" customHeight="true" outlineLevel="0" collapsed="false">
      <c r="A1130" s="263"/>
      <c r="B1130" s="259"/>
      <c r="C1130" s="259" t="s">
        <v>1416</v>
      </c>
      <c r="D1130" s="117" t="n">
        <v>143.99</v>
      </c>
      <c r="E1130" s="260" t="n">
        <v>1</v>
      </c>
    </row>
    <row r="1131" customFormat="false" ht="14.25" hidden="true" customHeight="true" outlineLevel="0" collapsed="false">
      <c r="A1131" s="263"/>
      <c r="B1131" s="259"/>
      <c r="C1131" s="259" t="s">
        <v>1417</v>
      </c>
      <c r="D1131" s="117" t="n">
        <v>143.99</v>
      </c>
      <c r="E1131" s="260" t="n">
        <v>1</v>
      </c>
    </row>
    <row r="1132" customFormat="false" ht="14.25" hidden="true" customHeight="true" outlineLevel="0" collapsed="false">
      <c r="A1132" s="263"/>
      <c r="B1132" s="259"/>
      <c r="C1132" s="259" t="s">
        <v>1418</v>
      </c>
      <c r="D1132" s="117" t="n">
        <v>143.99</v>
      </c>
      <c r="E1132" s="260" t="n">
        <v>1</v>
      </c>
    </row>
    <row r="1133" customFormat="false" ht="14.25" hidden="true" customHeight="true" outlineLevel="0" collapsed="false">
      <c r="A1133" s="263"/>
      <c r="B1133" s="259"/>
      <c r="C1133" s="259" t="s">
        <v>1419</v>
      </c>
      <c r="D1133" s="117" t="n">
        <v>143.99</v>
      </c>
      <c r="E1133" s="260" t="n">
        <v>1</v>
      </c>
    </row>
    <row r="1134" customFormat="false" ht="14.25" hidden="true" customHeight="true" outlineLevel="0" collapsed="false">
      <c r="A1134" s="263"/>
      <c r="B1134" s="259"/>
      <c r="C1134" s="259" t="s">
        <v>1420</v>
      </c>
      <c r="D1134" s="117" t="n">
        <v>143.99</v>
      </c>
      <c r="E1134" s="260" t="n">
        <v>1</v>
      </c>
    </row>
    <row r="1135" customFormat="false" ht="14.25" hidden="true" customHeight="true" outlineLevel="0" collapsed="false">
      <c r="A1135" s="263"/>
      <c r="B1135" s="259"/>
      <c r="C1135" s="259" t="s">
        <v>1421</v>
      </c>
      <c r="D1135" s="117" t="n">
        <v>143.99</v>
      </c>
      <c r="E1135" s="260" t="n">
        <v>1</v>
      </c>
    </row>
    <row r="1136" customFormat="false" ht="14.25" hidden="true" customHeight="true" outlineLevel="0" collapsed="false">
      <c r="A1136" s="263"/>
      <c r="B1136" s="259"/>
      <c r="C1136" s="259" t="s">
        <v>1422</v>
      </c>
      <c r="D1136" s="117" t="n">
        <v>143.99</v>
      </c>
      <c r="E1136" s="260" t="n">
        <v>1</v>
      </c>
    </row>
    <row r="1137" customFormat="false" ht="14.25" hidden="true" customHeight="true" outlineLevel="0" collapsed="false">
      <c r="A1137" s="263"/>
      <c r="B1137" s="259"/>
      <c r="C1137" s="259" t="s">
        <v>1423</v>
      </c>
      <c r="D1137" s="117" t="n">
        <v>143.99</v>
      </c>
      <c r="E1137" s="260" t="n">
        <v>1</v>
      </c>
    </row>
    <row r="1138" customFormat="false" ht="14.25" hidden="true" customHeight="true" outlineLevel="0" collapsed="false">
      <c r="A1138" s="263"/>
      <c r="B1138" s="259"/>
      <c r="C1138" s="259" t="s">
        <v>1424</v>
      </c>
      <c r="D1138" s="117" t="n">
        <v>143.99</v>
      </c>
      <c r="E1138" s="260" t="n">
        <v>1</v>
      </c>
    </row>
    <row r="1139" customFormat="false" ht="14.25" hidden="true" customHeight="true" outlineLevel="0" collapsed="false">
      <c r="A1139" s="263"/>
      <c r="B1139" s="259"/>
      <c r="C1139" s="259" t="s">
        <v>1425</v>
      </c>
      <c r="D1139" s="117" t="n">
        <v>143.99</v>
      </c>
      <c r="E1139" s="260" t="n">
        <v>1</v>
      </c>
    </row>
    <row r="1140" customFormat="false" ht="14.25" hidden="true" customHeight="true" outlineLevel="0" collapsed="false">
      <c r="A1140" s="263"/>
      <c r="B1140" s="259"/>
      <c r="C1140" s="259" t="s">
        <v>1426</v>
      </c>
      <c r="D1140" s="117" t="n">
        <v>143.99</v>
      </c>
      <c r="E1140" s="260" t="n">
        <v>1</v>
      </c>
    </row>
    <row r="1141" customFormat="false" ht="14.25" hidden="true" customHeight="true" outlineLevel="0" collapsed="false">
      <c r="A1141" s="263"/>
      <c r="B1141" s="259"/>
      <c r="C1141" s="259" t="s">
        <v>1427</v>
      </c>
      <c r="D1141" s="117" t="n">
        <v>143.99</v>
      </c>
      <c r="E1141" s="260" t="n">
        <v>1</v>
      </c>
    </row>
    <row r="1142" customFormat="false" ht="14.25" hidden="true" customHeight="true" outlineLevel="0" collapsed="false">
      <c r="A1142" s="263"/>
      <c r="B1142" s="259"/>
      <c r="C1142" s="259" t="s">
        <v>1428</v>
      </c>
      <c r="D1142" s="117" t="n">
        <v>143.99</v>
      </c>
      <c r="E1142" s="260" t="n">
        <v>1</v>
      </c>
    </row>
    <row r="1143" customFormat="false" ht="14.25" hidden="true" customHeight="true" outlineLevel="0" collapsed="false">
      <c r="A1143" s="263"/>
      <c r="B1143" s="259"/>
      <c r="C1143" s="259" t="s">
        <v>1429</v>
      </c>
      <c r="D1143" s="117" t="n">
        <v>143.99</v>
      </c>
      <c r="E1143" s="260" t="n">
        <v>1</v>
      </c>
    </row>
    <row r="1144" customFormat="false" ht="14.25" hidden="true" customHeight="true" outlineLevel="0" collapsed="false">
      <c r="A1144" s="263"/>
      <c r="B1144" s="259"/>
      <c r="C1144" s="259" t="s">
        <v>1430</v>
      </c>
      <c r="D1144" s="117" t="n">
        <v>143.99</v>
      </c>
      <c r="E1144" s="260" t="n">
        <v>1</v>
      </c>
    </row>
    <row r="1145" customFormat="false" ht="14.25" hidden="true" customHeight="true" outlineLevel="0" collapsed="false">
      <c r="A1145" s="263"/>
      <c r="B1145" s="259"/>
      <c r="C1145" s="259" t="s">
        <v>1431</v>
      </c>
      <c r="D1145" s="117" t="n">
        <v>143.99</v>
      </c>
      <c r="E1145" s="260" t="n">
        <v>1</v>
      </c>
    </row>
    <row r="1146" customFormat="false" ht="14.25" hidden="true" customHeight="true" outlineLevel="0" collapsed="false">
      <c r="A1146" s="263"/>
      <c r="B1146" s="259"/>
      <c r="C1146" s="259" t="s">
        <v>1432</v>
      </c>
      <c r="D1146" s="117" t="n">
        <v>143.99</v>
      </c>
      <c r="E1146" s="260" t="n">
        <v>1</v>
      </c>
    </row>
    <row r="1147" customFormat="false" ht="14.25" hidden="true" customHeight="true" outlineLevel="0" collapsed="false">
      <c r="A1147" s="263"/>
      <c r="B1147" s="259"/>
      <c r="C1147" s="259" t="s">
        <v>1433</v>
      </c>
      <c r="D1147" s="117" t="n">
        <v>143.99</v>
      </c>
      <c r="E1147" s="260" t="n">
        <v>1</v>
      </c>
    </row>
    <row r="1148" customFormat="false" ht="14.25" hidden="true" customHeight="true" outlineLevel="0" collapsed="false">
      <c r="A1148" s="263"/>
      <c r="B1148" s="259"/>
      <c r="C1148" s="259" t="s">
        <v>1434</v>
      </c>
      <c r="D1148" s="117" t="n">
        <v>143.99</v>
      </c>
      <c r="E1148" s="260" t="n">
        <v>1</v>
      </c>
    </row>
    <row r="1149" customFormat="false" ht="14.25" hidden="true" customHeight="true" outlineLevel="0" collapsed="false">
      <c r="A1149" s="263"/>
      <c r="B1149" s="259"/>
      <c r="C1149" s="259" t="s">
        <v>1435</v>
      </c>
      <c r="D1149" s="117" t="n">
        <v>143.99</v>
      </c>
      <c r="E1149" s="260" t="n">
        <v>1</v>
      </c>
    </row>
    <row r="1150" customFormat="false" ht="14.25" hidden="true" customHeight="true" outlineLevel="0" collapsed="false">
      <c r="A1150" s="263"/>
      <c r="B1150" s="259"/>
      <c r="C1150" s="259" t="s">
        <v>1436</v>
      </c>
      <c r="D1150" s="117" t="n">
        <v>143.99</v>
      </c>
      <c r="E1150" s="260" t="n">
        <v>1</v>
      </c>
    </row>
    <row r="1151" customFormat="false" ht="14.25" hidden="true" customHeight="true" outlineLevel="0" collapsed="false">
      <c r="A1151" s="263"/>
      <c r="B1151" s="259"/>
      <c r="C1151" s="259" t="s">
        <v>1437</v>
      </c>
      <c r="D1151" s="117" t="n">
        <v>143.99</v>
      </c>
      <c r="E1151" s="260" t="n">
        <v>1</v>
      </c>
    </row>
    <row r="1152" customFormat="false" ht="14.25" hidden="true" customHeight="true" outlineLevel="0" collapsed="false">
      <c r="A1152" s="263"/>
      <c r="B1152" s="259"/>
      <c r="C1152" s="259" t="s">
        <v>1438</v>
      </c>
      <c r="D1152" s="117" t="n">
        <v>143.99</v>
      </c>
      <c r="E1152" s="260" t="n">
        <v>1</v>
      </c>
    </row>
    <row r="1153" customFormat="false" ht="14.25" hidden="true" customHeight="true" outlineLevel="0" collapsed="false">
      <c r="A1153" s="263"/>
      <c r="B1153" s="259"/>
      <c r="C1153" s="259" t="s">
        <v>1439</v>
      </c>
      <c r="D1153" s="117" t="n">
        <v>143.99</v>
      </c>
      <c r="E1153" s="260" t="n">
        <v>1</v>
      </c>
    </row>
    <row r="1154" customFormat="false" ht="14.25" hidden="true" customHeight="true" outlineLevel="0" collapsed="false">
      <c r="A1154" s="263"/>
      <c r="B1154" s="259"/>
      <c r="C1154" s="259" t="s">
        <v>1440</v>
      </c>
      <c r="D1154" s="117" t="n">
        <v>143.99</v>
      </c>
      <c r="E1154" s="260" t="n">
        <v>1</v>
      </c>
    </row>
    <row r="1155" customFormat="false" ht="14.25" hidden="true" customHeight="true" outlineLevel="0" collapsed="false">
      <c r="A1155" s="263"/>
      <c r="B1155" s="259"/>
      <c r="C1155" s="259" t="s">
        <v>1441</v>
      </c>
      <c r="D1155" s="117" t="n">
        <v>143.99</v>
      </c>
      <c r="E1155" s="260" t="n">
        <v>1</v>
      </c>
    </row>
    <row r="1156" customFormat="false" ht="14.25" hidden="true" customHeight="true" outlineLevel="0" collapsed="false">
      <c r="A1156" s="263"/>
      <c r="B1156" s="259"/>
      <c r="C1156" s="259" t="s">
        <v>1442</v>
      </c>
      <c r="D1156" s="117" t="n">
        <v>143.99</v>
      </c>
      <c r="E1156" s="260" t="n">
        <v>1</v>
      </c>
    </row>
    <row r="1157" customFormat="false" ht="14.25" hidden="true" customHeight="true" outlineLevel="0" collapsed="false">
      <c r="A1157" s="263"/>
      <c r="B1157" s="259"/>
      <c r="C1157" s="259" t="s">
        <v>1443</v>
      </c>
      <c r="D1157" s="117" t="n">
        <v>143.99</v>
      </c>
      <c r="E1157" s="260" t="n">
        <v>1</v>
      </c>
    </row>
    <row r="1158" customFormat="false" ht="14.25" hidden="true" customHeight="true" outlineLevel="0" collapsed="false">
      <c r="A1158" s="263"/>
      <c r="B1158" s="259"/>
      <c r="C1158" s="259" t="s">
        <v>1444</v>
      </c>
      <c r="D1158" s="117" t="n">
        <v>143.99</v>
      </c>
      <c r="E1158" s="260" t="n">
        <v>1</v>
      </c>
    </row>
    <row r="1159" customFormat="false" ht="14.25" hidden="true" customHeight="true" outlineLevel="0" collapsed="false">
      <c r="A1159" s="263"/>
      <c r="B1159" s="259"/>
      <c r="C1159" s="259" t="s">
        <v>1445</v>
      </c>
      <c r="D1159" s="117" t="n">
        <v>143.99</v>
      </c>
      <c r="E1159" s="260" t="n">
        <v>1</v>
      </c>
    </row>
    <row r="1160" customFormat="false" ht="14.25" hidden="true" customHeight="true" outlineLevel="0" collapsed="false">
      <c r="A1160" s="263"/>
      <c r="B1160" s="259"/>
      <c r="C1160" s="259" t="s">
        <v>1446</v>
      </c>
      <c r="D1160" s="117" t="n">
        <v>143.99</v>
      </c>
      <c r="E1160" s="260" t="n">
        <v>1</v>
      </c>
    </row>
    <row r="1161" customFormat="false" ht="14.25" hidden="true" customHeight="true" outlineLevel="0" collapsed="false">
      <c r="A1161" s="263"/>
      <c r="B1161" s="259"/>
      <c r="C1161" s="259" t="s">
        <v>1447</v>
      </c>
      <c r="D1161" s="117" t="n">
        <v>143.99</v>
      </c>
      <c r="E1161" s="260" t="n">
        <v>1</v>
      </c>
    </row>
    <row r="1162" customFormat="false" ht="14.25" hidden="true" customHeight="true" outlineLevel="0" collapsed="false">
      <c r="A1162" s="263"/>
      <c r="B1162" s="259"/>
      <c r="C1162" s="259" t="s">
        <v>1448</v>
      </c>
      <c r="D1162" s="117" t="n">
        <v>143.99</v>
      </c>
      <c r="E1162" s="260" t="n">
        <v>1</v>
      </c>
    </row>
    <row r="1163" customFormat="false" ht="14.25" hidden="true" customHeight="true" outlineLevel="0" collapsed="false">
      <c r="A1163" s="263"/>
      <c r="B1163" s="259"/>
      <c r="C1163" s="259" t="s">
        <v>1449</v>
      </c>
      <c r="D1163" s="117" t="n">
        <v>143.99</v>
      </c>
      <c r="E1163" s="260" t="n">
        <v>1</v>
      </c>
    </row>
    <row r="1164" customFormat="false" ht="14.25" hidden="true" customHeight="true" outlineLevel="0" collapsed="false">
      <c r="A1164" s="263"/>
      <c r="B1164" s="259"/>
      <c r="C1164" s="259" t="s">
        <v>1450</v>
      </c>
      <c r="D1164" s="117" t="n">
        <v>143.99</v>
      </c>
      <c r="E1164" s="260" t="n">
        <v>1</v>
      </c>
    </row>
    <row r="1165" customFormat="false" ht="14.25" hidden="true" customHeight="true" outlineLevel="0" collapsed="false">
      <c r="A1165" s="263"/>
      <c r="B1165" s="259"/>
      <c r="C1165" s="259" t="s">
        <v>1451</v>
      </c>
      <c r="D1165" s="117" t="n">
        <v>143.99</v>
      </c>
      <c r="E1165" s="260" t="n">
        <v>1</v>
      </c>
    </row>
    <row r="1166" customFormat="false" ht="14.25" hidden="true" customHeight="true" outlineLevel="0" collapsed="false">
      <c r="A1166" s="263"/>
      <c r="B1166" s="259"/>
      <c r="C1166" s="259" t="s">
        <v>1452</v>
      </c>
      <c r="D1166" s="117" t="n">
        <v>143.99</v>
      </c>
      <c r="E1166" s="260" t="n">
        <v>1</v>
      </c>
    </row>
    <row r="1167" customFormat="false" ht="14.25" hidden="true" customHeight="true" outlineLevel="0" collapsed="false">
      <c r="A1167" s="263"/>
      <c r="B1167" s="259"/>
      <c r="C1167" s="259" t="s">
        <v>1453</v>
      </c>
      <c r="D1167" s="117" t="n">
        <v>143.99</v>
      </c>
      <c r="E1167" s="260" t="n">
        <v>1</v>
      </c>
    </row>
    <row r="1168" customFormat="false" ht="14.25" hidden="true" customHeight="true" outlineLevel="0" collapsed="false">
      <c r="A1168" s="263"/>
      <c r="B1168" s="259"/>
      <c r="C1168" s="259" t="s">
        <v>1454</v>
      </c>
      <c r="D1168" s="117" t="n">
        <v>143.99</v>
      </c>
      <c r="E1168" s="260" t="n">
        <v>1</v>
      </c>
    </row>
    <row r="1169" customFormat="false" ht="14.25" hidden="true" customHeight="true" outlineLevel="0" collapsed="false">
      <c r="A1169" s="263"/>
      <c r="B1169" s="259"/>
      <c r="C1169" s="259" t="s">
        <v>1455</v>
      </c>
      <c r="D1169" s="117" t="n">
        <v>143.99</v>
      </c>
      <c r="E1169" s="260" t="n">
        <v>1</v>
      </c>
    </row>
    <row r="1170" customFormat="false" ht="14.25" hidden="true" customHeight="true" outlineLevel="0" collapsed="false">
      <c r="A1170" s="263"/>
      <c r="B1170" s="259"/>
      <c r="C1170" s="259" t="s">
        <v>1456</v>
      </c>
      <c r="D1170" s="117" t="n">
        <v>143.99</v>
      </c>
      <c r="E1170" s="260" t="n">
        <v>1</v>
      </c>
    </row>
    <row r="1171" customFormat="false" ht="14.25" hidden="true" customHeight="true" outlineLevel="0" collapsed="false">
      <c r="A1171" s="263"/>
      <c r="B1171" s="259"/>
      <c r="C1171" s="259" t="s">
        <v>1457</v>
      </c>
      <c r="D1171" s="117" t="n">
        <v>143.99</v>
      </c>
      <c r="E1171" s="260" t="n">
        <v>1</v>
      </c>
    </row>
    <row r="1172" customFormat="false" ht="14.25" hidden="true" customHeight="true" outlineLevel="0" collapsed="false">
      <c r="A1172" s="263"/>
      <c r="B1172" s="259"/>
      <c r="C1172" s="259" t="s">
        <v>1458</v>
      </c>
      <c r="D1172" s="117" t="n">
        <v>143.99</v>
      </c>
      <c r="E1172" s="260" t="n">
        <v>1</v>
      </c>
    </row>
    <row r="1173" customFormat="false" ht="14.25" hidden="true" customHeight="true" outlineLevel="0" collapsed="false">
      <c r="A1173" s="263"/>
      <c r="B1173" s="259"/>
      <c r="C1173" s="259" t="s">
        <v>1459</v>
      </c>
      <c r="D1173" s="117" t="n">
        <v>143.99</v>
      </c>
      <c r="E1173" s="260" t="n">
        <v>1</v>
      </c>
    </row>
    <row r="1174" customFormat="false" ht="14.25" hidden="true" customHeight="true" outlineLevel="0" collapsed="false">
      <c r="A1174" s="263"/>
      <c r="B1174" s="259"/>
      <c r="C1174" s="259" t="s">
        <v>1460</v>
      </c>
      <c r="D1174" s="117" t="n">
        <v>143.99</v>
      </c>
      <c r="E1174" s="260" t="n">
        <v>1</v>
      </c>
    </row>
    <row r="1175" customFormat="false" ht="14.25" hidden="true" customHeight="true" outlineLevel="0" collapsed="false">
      <c r="A1175" s="263"/>
      <c r="B1175" s="259"/>
      <c r="C1175" s="259" t="s">
        <v>1461</v>
      </c>
      <c r="D1175" s="117" t="n">
        <v>143.99</v>
      </c>
      <c r="E1175" s="260" t="n">
        <v>1</v>
      </c>
    </row>
    <row r="1176" customFormat="false" ht="14.25" hidden="true" customHeight="true" outlineLevel="0" collapsed="false">
      <c r="A1176" s="263"/>
      <c r="B1176" s="259"/>
      <c r="C1176" s="259" t="s">
        <v>1462</v>
      </c>
      <c r="D1176" s="117" t="n">
        <v>143.99</v>
      </c>
      <c r="E1176" s="260" t="n">
        <v>1</v>
      </c>
    </row>
    <row r="1177" customFormat="false" ht="14.25" hidden="true" customHeight="true" outlineLevel="0" collapsed="false">
      <c r="A1177" s="263"/>
      <c r="B1177" s="259"/>
      <c r="C1177" s="259" t="s">
        <v>1463</v>
      </c>
      <c r="D1177" s="117" t="n">
        <v>143.99</v>
      </c>
      <c r="E1177" s="260" t="n">
        <v>1</v>
      </c>
    </row>
    <row r="1178" customFormat="false" ht="14.25" hidden="true" customHeight="true" outlineLevel="0" collapsed="false">
      <c r="A1178" s="263"/>
      <c r="B1178" s="259"/>
      <c r="C1178" s="259" t="s">
        <v>1464</v>
      </c>
      <c r="D1178" s="117" t="n">
        <v>143.99</v>
      </c>
      <c r="E1178" s="260" t="n">
        <v>1</v>
      </c>
    </row>
    <row r="1179" customFormat="false" ht="14.25" hidden="true" customHeight="true" outlineLevel="0" collapsed="false">
      <c r="A1179" s="263"/>
      <c r="B1179" s="259"/>
      <c r="C1179" s="259" t="s">
        <v>1465</v>
      </c>
      <c r="D1179" s="117" t="n">
        <v>143.99</v>
      </c>
      <c r="E1179" s="260" t="n">
        <v>1</v>
      </c>
    </row>
    <row r="1180" customFormat="false" ht="14.25" hidden="true" customHeight="true" outlineLevel="0" collapsed="false">
      <c r="A1180" s="263"/>
      <c r="B1180" s="259"/>
      <c r="C1180" s="259" t="s">
        <v>1466</v>
      </c>
      <c r="D1180" s="117" t="n">
        <v>143.99</v>
      </c>
      <c r="E1180" s="260" t="n">
        <v>1</v>
      </c>
    </row>
    <row r="1181" customFormat="false" ht="14.25" hidden="true" customHeight="true" outlineLevel="0" collapsed="false">
      <c r="A1181" s="263"/>
      <c r="B1181" s="259"/>
      <c r="C1181" s="259" t="s">
        <v>1467</v>
      </c>
      <c r="D1181" s="117" t="n">
        <v>143.99</v>
      </c>
      <c r="E1181" s="260" t="n">
        <v>1</v>
      </c>
    </row>
    <row r="1182" customFormat="false" ht="14.25" hidden="true" customHeight="true" outlineLevel="0" collapsed="false">
      <c r="A1182" s="263"/>
      <c r="B1182" s="259"/>
      <c r="C1182" s="259" t="s">
        <v>1468</v>
      </c>
      <c r="D1182" s="117" t="n">
        <v>143.99</v>
      </c>
      <c r="E1182" s="260" t="n">
        <v>1</v>
      </c>
    </row>
    <row r="1183" customFormat="false" ht="14.25" hidden="true" customHeight="true" outlineLevel="0" collapsed="false">
      <c r="A1183" s="263"/>
      <c r="B1183" s="259"/>
      <c r="C1183" s="259" t="s">
        <v>1469</v>
      </c>
      <c r="D1183" s="117" t="n">
        <v>143.99</v>
      </c>
      <c r="E1183" s="260" t="n">
        <v>1</v>
      </c>
    </row>
    <row r="1184" customFormat="false" ht="14.25" hidden="true" customHeight="true" outlineLevel="0" collapsed="false">
      <c r="A1184" s="263"/>
      <c r="B1184" s="259"/>
      <c r="C1184" s="259" t="s">
        <v>1470</v>
      </c>
      <c r="D1184" s="117" t="n">
        <v>143.99</v>
      </c>
      <c r="E1184" s="260" t="n">
        <v>1</v>
      </c>
    </row>
    <row r="1185" customFormat="false" ht="14.25" hidden="true" customHeight="true" outlineLevel="0" collapsed="false">
      <c r="A1185" s="263"/>
      <c r="B1185" s="259"/>
      <c r="C1185" s="259" t="s">
        <v>1471</v>
      </c>
      <c r="D1185" s="117" t="n">
        <v>143.99</v>
      </c>
      <c r="E1185" s="260" t="n">
        <v>1</v>
      </c>
    </row>
    <row r="1186" customFormat="false" ht="14.25" hidden="true" customHeight="true" outlineLevel="0" collapsed="false">
      <c r="A1186" s="263"/>
      <c r="B1186" s="259"/>
      <c r="C1186" s="259" t="s">
        <v>1472</v>
      </c>
      <c r="D1186" s="117" t="n">
        <v>143.99</v>
      </c>
      <c r="E1186" s="260" t="n">
        <v>1</v>
      </c>
    </row>
    <row r="1187" customFormat="false" ht="14.25" hidden="true" customHeight="true" outlineLevel="0" collapsed="false">
      <c r="A1187" s="263"/>
      <c r="B1187" s="259"/>
      <c r="C1187" s="259" t="s">
        <v>1473</v>
      </c>
      <c r="D1187" s="117" t="n">
        <v>143.99</v>
      </c>
      <c r="E1187" s="260" t="n">
        <v>1</v>
      </c>
    </row>
    <row r="1188" customFormat="false" ht="14.25" hidden="true" customHeight="true" outlineLevel="0" collapsed="false">
      <c r="A1188" s="263"/>
      <c r="B1188" s="259"/>
      <c r="C1188" s="259" t="s">
        <v>1474</v>
      </c>
      <c r="D1188" s="117" t="n">
        <v>143.99</v>
      </c>
      <c r="E1188" s="260" t="n">
        <v>1</v>
      </c>
    </row>
    <row r="1189" customFormat="false" ht="14.25" hidden="true" customHeight="true" outlineLevel="0" collapsed="false">
      <c r="A1189" s="263"/>
      <c r="B1189" s="259"/>
      <c r="C1189" s="259" t="s">
        <v>1475</v>
      </c>
      <c r="D1189" s="117" t="n">
        <v>143.99</v>
      </c>
      <c r="E1189" s="260" t="n">
        <v>1</v>
      </c>
    </row>
    <row r="1190" customFormat="false" ht="14.25" hidden="true" customHeight="true" outlineLevel="0" collapsed="false">
      <c r="A1190" s="263"/>
      <c r="B1190" s="259"/>
      <c r="C1190" s="259" t="s">
        <v>1476</v>
      </c>
      <c r="D1190" s="117" t="n">
        <v>143.99</v>
      </c>
      <c r="E1190" s="260" t="n">
        <v>1</v>
      </c>
    </row>
    <row r="1191" customFormat="false" ht="14.25" hidden="true" customHeight="true" outlineLevel="0" collapsed="false">
      <c r="A1191" s="263"/>
      <c r="B1191" s="259"/>
      <c r="C1191" s="259" t="s">
        <v>1477</v>
      </c>
      <c r="D1191" s="117" t="n">
        <v>143.99</v>
      </c>
      <c r="E1191" s="260" t="n">
        <v>1</v>
      </c>
    </row>
    <row r="1192" customFormat="false" ht="14.25" hidden="true" customHeight="true" outlineLevel="0" collapsed="false">
      <c r="A1192" s="263"/>
      <c r="B1192" s="259"/>
      <c r="C1192" s="259" t="s">
        <v>1478</v>
      </c>
      <c r="D1192" s="117" t="n">
        <v>143.99</v>
      </c>
      <c r="E1192" s="260" t="n">
        <v>1</v>
      </c>
    </row>
    <row r="1193" customFormat="false" ht="14.25" hidden="true" customHeight="true" outlineLevel="0" collapsed="false">
      <c r="A1193" s="263"/>
      <c r="B1193" s="259"/>
      <c r="C1193" s="259" t="s">
        <v>1479</v>
      </c>
      <c r="D1193" s="117" t="n">
        <v>143.99</v>
      </c>
      <c r="E1193" s="260" t="n">
        <v>1</v>
      </c>
    </row>
    <row r="1194" customFormat="false" ht="14.25" hidden="true" customHeight="true" outlineLevel="0" collapsed="false">
      <c r="A1194" s="263"/>
      <c r="B1194" s="259"/>
      <c r="C1194" s="259" t="s">
        <v>1480</v>
      </c>
      <c r="D1194" s="117" t="n">
        <v>143.99</v>
      </c>
      <c r="E1194" s="260" t="n">
        <v>1</v>
      </c>
    </row>
    <row r="1195" customFormat="false" ht="14.25" hidden="true" customHeight="true" outlineLevel="0" collapsed="false">
      <c r="A1195" s="263"/>
      <c r="B1195" s="259"/>
      <c r="C1195" s="259" t="s">
        <v>1481</v>
      </c>
      <c r="D1195" s="117" t="n">
        <v>143.99</v>
      </c>
      <c r="E1195" s="260" t="n">
        <v>1</v>
      </c>
    </row>
    <row r="1196" customFormat="false" ht="14.25" hidden="true" customHeight="true" outlineLevel="0" collapsed="false">
      <c r="A1196" s="263"/>
      <c r="B1196" s="259"/>
      <c r="C1196" s="259" t="s">
        <v>1482</v>
      </c>
      <c r="D1196" s="117" t="n">
        <v>143.99</v>
      </c>
      <c r="E1196" s="260" t="n">
        <v>1</v>
      </c>
    </row>
    <row r="1197" customFormat="false" ht="14.25" hidden="true" customHeight="true" outlineLevel="0" collapsed="false">
      <c r="A1197" s="263"/>
      <c r="B1197" s="259"/>
      <c r="C1197" s="259" t="s">
        <v>1483</v>
      </c>
      <c r="D1197" s="117" t="n">
        <v>143.99</v>
      </c>
      <c r="E1197" s="260" t="n">
        <v>1</v>
      </c>
    </row>
    <row r="1198" customFormat="false" ht="14.25" hidden="true" customHeight="true" outlineLevel="0" collapsed="false">
      <c r="A1198" s="263"/>
      <c r="B1198" s="259"/>
      <c r="C1198" s="259" t="s">
        <v>1484</v>
      </c>
      <c r="D1198" s="117" t="n">
        <v>143.99</v>
      </c>
      <c r="E1198" s="260" t="n">
        <v>1</v>
      </c>
    </row>
    <row r="1199" customFormat="false" ht="14.25" hidden="true" customHeight="true" outlineLevel="0" collapsed="false">
      <c r="A1199" s="263"/>
      <c r="B1199" s="259"/>
      <c r="C1199" s="259" t="s">
        <v>1485</v>
      </c>
      <c r="D1199" s="117" t="n">
        <v>143.99</v>
      </c>
      <c r="E1199" s="260" t="n">
        <v>1</v>
      </c>
    </row>
    <row r="1200" customFormat="false" ht="14.25" hidden="true" customHeight="true" outlineLevel="0" collapsed="false">
      <c r="A1200" s="263"/>
      <c r="B1200" s="259"/>
      <c r="C1200" s="259" t="s">
        <v>1486</v>
      </c>
      <c r="D1200" s="117" t="n">
        <v>143.99</v>
      </c>
      <c r="E1200" s="260" t="n">
        <v>1</v>
      </c>
    </row>
    <row r="1201" customFormat="false" ht="14.25" hidden="true" customHeight="true" outlineLevel="0" collapsed="false">
      <c r="A1201" s="263"/>
      <c r="B1201" s="259"/>
      <c r="C1201" s="259" t="s">
        <v>1487</v>
      </c>
      <c r="D1201" s="117" t="n">
        <v>143.99</v>
      </c>
      <c r="E1201" s="260" t="n">
        <v>1</v>
      </c>
    </row>
    <row r="1202" customFormat="false" ht="14.25" hidden="true" customHeight="true" outlineLevel="0" collapsed="false">
      <c r="A1202" s="263"/>
      <c r="B1202" s="259"/>
      <c r="C1202" s="259" t="s">
        <v>1488</v>
      </c>
      <c r="D1202" s="117" t="n">
        <v>143.99</v>
      </c>
      <c r="E1202" s="260" t="n">
        <v>1</v>
      </c>
    </row>
    <row r="1203" customFormat="false" ht="14.25" hidden="true" customHeight="true" outlineLevel="0" collapsed="false">
      <c r="A1203" s="263"/>
      <c r="B1203" s="259"/>
      <c r="C1203" s="259" t="s">
        <v>1489</v>
      </c>
      <c r="D1203" s="117" t="n">
        <v>143.99</v>
      </c>
      <c r="E1203" s="260" t="n">
        <v>1</v>
      </c>
    </row>
    <row r="1204" customFormat="false" ht="14.25" hidden="true" customHeight="true" outlineLevel="0" collapsed="false">
      <c r="A1204" s="263"/>
      <c r="B1204" s="259"/>
      <c r="C1204" s="259" t="s">
        <v>1490</v>
      </c>
      <c r="D1204" s="117" t="n">
        <v>143.99</v>
      </c>
      <c r="E1204" s="260" t="n">
        <v>1</v>
      </c>
    </row>
    <row r="1205" customFormat="false" ht="14.25" hidden="true" customHeight="true" outlineLevel="0" collapsed="false">
      <c r="A1205" s="263"/>
      <c r="B1205" s="259"/>
      <c r="C1205" s="259" t="s">
        <v>1491</v>
      </c>
      <c r="D1205" s="117" t="n">
        <v>143.99</v>
      </c>
      <c r="E1205" s="260" t="n">
        <v>1</v>
      </c>
    </row>
    <row r="1206" customFormat="false" ht="14.25" hidden="true" customHeight="true" outlineLevel="0" collapsed="false">
      <c r="A1206" s="263"/>
      <c r="B1206" s="259"/>
      <c r="C1206" s="259" t="s">
        <v>1492</v>
      </c>
      <c r="D1206" s="117" t="n">
        <v>143.99</v>
      </c>
      <c r="E1206" s="260" t="n">
        <v>1</v>
      </c>
    </row>
    <row r="1207" customFormat="false" ht="14.25" hidden="true" customHeight="true" outlineLevel="0" collapsed="false">
      <c r="A1207" s="263"/>
      <c r="B1207" s="259"/>
      <c r="C1207" s="259" t="s">
        <v>1493</v>
      </c>
      <c r="D1207" s="117" t="n">
        <v>143.99</v>
      </c>
      <c r="E1207" s="260" t="n">
        <v>1</v>
      </c>
    </row>
    <row r="1208" customFormat="false" ht="14.25" hidden="true" customHeight="true" outlineLevel="0" collapsed="false">
      <c r="A1208" s="263"/>
      <c r="B1208" s="259"/>
      <c r="C1208" s="259" t="s">
        <v>1494</v>
      </c>
      <c r="D1208" s="117" t="n">
        <v>143.99</v>
      </c>
      <c r="E1208" s="260" t="n">
        <v>1</v>
      </c>
    </row>
    <row r="1209" customFormat="false" ht="14.25" hidden="true" customHeight="true" outlineLevel="0" collapsed="false">
      <c r="A1209" s="263"/>
      <c r="B1209" s="259"/>
      <c r="C1209" s="259" t="s">
        <v>1495</v>
      </c>
      <c r="D1209" s="117" t="n">
        <v>143.99</v>
      </c>
      <c r="E1209" s="260" t="n">
        <v>1</v>
      </c>
    </row>
    <row r="1210" customFormat="false" ht="14.25" hidden="true" customHeight="true" outlineLevel="0" collapsed="false">
      <c r="A1210" s="263"/>
      <c r="B1210" s="259"/>
      <c r="C1210" s="259" t="s">
        <v>1496</v>
      </c>
      <c r="D1210" s="117" t="n">
        <v>143.99</v>
      </c>
      <c r="E1210" s="260" t="n">
        <v>1</v>
      </c>
    </row>
    <row r="1211" customFormat="false" ht="14.25" hidden="true" customHeight="true" outlineLevel="0" collapsed="false">
      <c r="A1211" s="263"/>
      <c r="B1211" s="259"/>
      <c r="C1211" s="259" t="s">
        <v>1497</v>
      </c>
      <c r="D1211" s="117" t="n">
        <v>143.99</v>
      </c>
      <c r="E1211" s="260" t="n">
        <v>1</v>
      </c>
    </row>
    <row r="1212" customFormat="false" ht="14.25" hidden="true" customHeight="true" outlineLevel="0" collapsed="false">
      <c r="A1212" s="263"/>
      <c r="B1212" s="259"/>
      <c r="C1212" s="259" t="s">
        <v>1498</v>
      </c>
      <c r="D1212" s="117" t="n">
        <v>143.99</v>
      </c>
      <c r="E1212" s="260" t="n">
        <v>1</v>
      </c>
    </row>
    <row r="1213" customFormat="false" ht="14.25" hidden="true" customHeight="true" outlineLevel="0" collapsed="false">
      <c r="A1213" s="263"/>
      <c r="B1213" s="259"/>
      <c r="C1213" s="259" t="s">
        <v>1499</v>
      </c>
      <c r="D1213" s="117" t="n">
        <v>143.99</v>
      </c>
      <c r="E1213" s="260" t="n">
        <v>1</v>
      </c>
    </row>
    <row r="1214" customFormat="false" ht="14.25" hidden="true" customHeight="true" outlineLevel="0" collapsed="false">
      <c r="A1214" s="263"/>
      <c r="B1214" s="259"/>
      <c r="C1214" s="259" t="s">
        <v>1500</v>
      </c>
      <c r="D1214" s="117" t="n">
        <v>143.99</v>
      </c>
      <c r="E1214" s="260" t="n">
        <v>1</v>
      </c>
    </row>
    <row r="1215" customFormat="false" ht="14.25" hidden="true" customHeight="true" outlineLevel="0" collapsed="false">
      <c r="A1215" s="263"/>
      <c r="B1215" s="259"/>
      <c r="C1215" s="259" t="s">
        <v>1501</v>
      </c>
      <c r="D1215" s="117" t="n">
        <v>143.99</v>
      </c>
      <c r="E1215" s="260" t="n">
        <v>1</v>
      </c>
    </row>
    <row r="1216" customFormat="false" ht="14.25" hidden="true" customHeight="true" outlineLevel="0" collapsed="false">
      <c r="A1216" s="263"/>
      <c r="B1216" s="259"/>
      <c r="C1216" s="259" t="s">
        <v>1502</v>
      </c>
      <c r="D1216" s="117" t="n">
        <v>143.99</v>
      </c>
      <c r="E1216" s="260" t="n">
        <v>1</v>
      </c>
    </row>
    <row r="1217" customFormat="false" ht="14.25" hidden="true" customHeight="true" outlineLevel="0" collapsed="false">
      <c r="A1217" s="263"/>
      <c r="B1217" s="259"/>
      <c r="C1217" s="259" t="s">
        <v>1503</v>
      </c>
      <c r="D1217" s="117" t="n">
        <v>143.99</v>
      </c>
      <c r="E1217" s="260" t="n">
        <v>1</v>
      </c>
    </row>
    <row r="1218" customFormat="false" ht="14.25" hidden="true" customHeight="true" outlineLevel="0" collapsed="false">
      <c r="A1218" s="263"/>
      <c r="B1218" s="259"/>
      <c r="C1218" s="259" t="s">
        <v>1504</v>
      </c>
      <c r="D1218" s="117" t="n">
        <v>143.99</v>
      </c>
      <c r="E1218" s="260" t="n">
        <v>1</v>
      </c>
    </row>
    <row r="1219" customFormat="false" ht="14.25" hidden="true" customHeight="true" outlineLevel="0" collapsed="false">
      <c r="A1219" s="263"/>
      <c r="B1219" s="259"/>
      <c r="C1219" s="259" t="s">
        <v>1505</v>
      </c>
      <c r="D1219" s="117" t="n">
        <v>143.99</v>
      </c>
      <c r="E1219" s="260" t="n">
        <v>1</v>
      </c>
    </row>
    <row r="1220" customFormat="false" ht="14.25" hidden="true" customHeight="true" outlineLevel="0" collapsed="false">
      <c r="A1220" s="263"/>
      <c r="B1220" s="259"/>
      <c r="C1220" s="259" t="s">
        <v>1506</v>
      </c>
      <c r="D1220" s="117" t="n">
        <v>143.99</v>
      </c>
      <c r="E1220" s="260" t="n">
        <v>1</v>
      </c>
    </row>
    <row r="1221" customFormat="false" ht="14.25" hidden="true" customHeight="true" outlineLevel="0" collapsed="false">
      <c r="A1221" s="263"/>
      <c r="B1221" s="259"/>
      <c r="C1221" s="259" t="s">
        <v>1507</v>
      </c>
      <c r="D1221" s="117" t="n">
        <v>143.99</v>
      </c>
      <c r="E1221" s="260" t="n">
        <v>1</v>
      </c>
    </row>
    <row r="1222" customFormat="false" ht="14.25" hidden="true" customHeight="true" outlineLevel="0" collapsed="false">
      <c r="A1222" s="263"/>
      <c r="B1222" s="259"/>
      <c r="C1222" s="259" t="s">
        <v>1508</v>
      </c>
      <c r="D1222" s="117" t="n">
        <v>143.99</v>
      </c>
      <c r="E1222" s="260" t="n">
        <v>1</v>
      </c>
    </row>
    <row r="1223" customFormat="false" ht="14.25" hidden="true" customHeight="true" outlineLevel="0" collapsed="false">
      <c r="A1223" s="263"/>
      <c r="B1223" s="259"/>
      <c r="C1223" s="259" t="s">
        <v>1509</v>
      </c>
      <c r="D1223" s="117" t="n">
        <v>143.99</v>
      </c>
      <c r="E1223" s="260" t="n">
        <v>1</v>
      </c>
    </row>
    <row r="1224" customFormat="false" ht="14.25" hidden="true" customHeight="true" outlineLevel="0" collapsed="false">
      <c r="A1224" s="263"/>
      <c r="B1224" s="259"/>
      <c r="C1224" s="259" t="s">
        <v>1510</v>
      </c>
      <c r="D1224" s="117" t="n">
        <v>143.99</v>
      </c>
      <c r="E1224" s="260" t="n">
        <v>1</v>
      </c>
    </row>
    <row r="1225" customFormat="false" ht="14.25" hidden="true" customHeight="true" outlineLevel="0" collapsed="false">
      <c r="A1225" s="263"/>
      <c r="B1225" s="259"/>
      <c r="C1225" s="259" t="s">
        <v>1511</v>
      </c>
      <c r="D1225" s="117" t="n">
        <v>143.99</v>
      </c>
      <c r="E1225" s="260" t="n">
        <v>1</v>
      </c>
    </row>
    <row r="1226" customFormat="false" ht="14.25" hidden="true" customHeight="true" outlineLevel="0" collapsed="false">
      <c r="A1226" s="263"/>
      <c r="B1226" s="259"/>
      <c r="C1226" s="259" t="s">
        <v>1512</v>
      </c>
      <c r="D1226" s="117" t="n">
        <v>143.99</v>
      </c>
      <c r="E1226" s="260" t="n">
        <v>1</v>
      </c>
    </row>
    <row r="1227" customFormat="false" ht="14.25" hidden="true" customHeight="true" outlineLevel="0" collapsed="false">
      <c r="A1227" s="263"/>
      <c r="B1227" s="259"/>
      <c r="C1227" s="259" t="s">
        <v>1513</v>
      </c>
      <c r="D1227" s="117" t="n">
        <v>143.99</v>
      </c>
      <c r="E1227" s="260" t="n">
        <v>1</v>
      </c>
    </row>
    <row r="1228" customFormat="false" ht="14.25" hidden="true" customHeight="true" outlineLevel="0" collapsed="false">
      <c r="A1228" s="263"/>
      <c r="B1228" s="259"/>
      <c r="C1228" s="259" t="s">
        <v>1514</v>
      </c>
      <c r="D1228" s="117" t="n">
        <v>143.99</v>
      </c>
      <c r="E1228" s="260" t="n">
        <v>1</v>
      </c>
    </row>
    <row r="1229" customFormat="false" ht="14.25" hidden="true" customHeight="true" outlineLevel="0" collapsed="false">
      <c r="A1229" s="263"/>
      <c r="B1229" s="259"/>
      <c r="C1229" s="259" t="s">
        <v>1515</v>
      </c>
      <c r="D1229" s="117" t="n">
        <v>143.99</v>
      </c>
      <c r="E1229" s="260" t="n">
        <v>1</v>
      </c>
    </row>
    <row r="1230" customFormat="false" ht="14.25" hidden="true" customHeight="true" outlineLevel="0" collapsed="false">
      <c r="A1230" s="263"/>
      <c r="B1230" s="259"/>
      <c r="C1230" s="259" t="s">
        <v>1516</v>
      </c>
      <c r="D1230" s="117" t="n">
        <v>143.99</v>
      </c>
      <c r="E1230" s="260" t="n">
        <v>1</v>
      </c>
    </row>
    <row r="1231" customFormat="false" ht="14.25" hidden="true" customHeight="true" outlineLevel="0" collapsed="false">
      <c r="A1231" s="263"/>
      <c r="B1231" s="259"/>
      <c r="C1231" s="259" t="s">
        <v>1517</v>
      </c>
      <c r="D1231" s="117" t="n">
        <v>143.99</v>
      </c>
      <c r="E1231" s="260" t="n">
        <v>1</v>
      </c>
    </row>
    <row r="1232" customFormat="false" ht="14.25" hidden="true" customHeight="true" outlineLevel="0" collapsed="false">
      <c r="A1232" s="263"/>
      <c r="B1232" s="259"/>
      <c r="C1232" s="259" t="s">
        <v>1518</v>
      </c>
      <c r="D1232" s="117" t="n">
        <v>143.99</v>
      </c>
      <c r="E1232" s="260" t="n">
        <v>1</v>
      </c>
    </row>
    <row r="1233" customFormat="false" ht="14.25" hidden="true" customHeight="true" outlineLevel="0" collapsed="false">
      <c r="A1233" s="263"/>
      <c r="B1233" s="259"/>
      <c r="C1233" s="259" t="s">
        <v>1519</v>
      </c>
      <c r="D1233" s="117" t="n">
        <v>143.99</v>
      </c>
      <c r="E1233" s="260" t="n">
        <v>1</v>
      </c>
    </row>
    <row r="1234" customFormat="false" ht="14.25" hidden="true" customHeight="true" outlineLevel="0" collapsed="false">
      <c r="A1234" s="263"/>
      <c r="B1234" s="259"/>
      <c r="C1234" s="259" t="s">
        <v>1520</v>
      </c>
      <c r="D1234" s="117" t="n">
        <v>143.99</v>
      </c>
      <c r="E1234" s="260" t="n">
        <v>1</v>
      </c>
    </row>
    <row r="1235" customFormat="false" ht="14.25" hidden="true" customHeight="true" outlineLevel="0" collapsed="false">
      <c r="A1235" s="263"/>
      <c r="B1235" s="259"/>
      <c r="C1235" s="259" t="s">
        <v>1521</v>
      </c>
      <c r="D1235" s="117" t="n">
        <v>143.99</v>
      </c>
      <c r="E1235" s="260" t="n">
        <v>1</v>
      </c>
    </row>
    <row r="1236" customFormat="false" ht="14.25" hidden="true" customHeight="true" outlineLevel="0" collapsed="false">
      <c r="A1236" s="263"/>
      <c r="B1236" s="259"/>
      <c r="C1236" s="259" t="s">
        <v>1522</v>
      </c>
      <c r="D1236" s="117" t="n">
        <v>143.98</v>
      </c>
      <c r="E1236" s="260" t="n">
        <v>1</v>
      </c>
    </row>
    <row r="1237" customFormat="false" ht="14.25" hidden="true" customHeight="true" outlineLevel="0" collapsed="false">
      <c r="A1237" s="263"/>
      <c r="B1237" s="259"/>
      <c r="C1237" s="259" t="s">
        <v>1523</v>
      </c>
      <c r="D1237" s="117" t="n">
        <v>143.98</v>
      </c>
      <c r="E1237" s="260" t="n">
        <v>1</v>
      </c>
    </row>
    <row r="1238" customFormat="false" ht="14.25" hidden="true" customHeight="true" outlineLevel="0" collapsed="false">
      <c r="A1238" s="263"/>
      <c r="B1238" s="259"/>
      <c r="C1238" s="259" t="s">
        <v>1524</v>
      </c>
      <c r="D1238" s="117" t="n">
        <v>143.98</v>
      </c>
      <c r="E1238" s="260" t="n">
        <v>1</v>
      </c>
    </row>
    <row r="1239" customFormat="false" ht="14.25" hidden="true" customHeight="true" outlineLevel="0" collapsed="false">
      <c r="A1239" s="263"/>
      <c r="B1239" s="259"/>
      <c r="C1239" s="259" t="s">
        <v>1525</v>
      </c>
      <c r="D1239" s="117" t="n">
        <v>143.98</v>
      </c>
      <c r="E1239" s="260" t="n">
        <v>1</v>
      </c>
    </row>
    <row r="1240" customFormat="false" ht="14.25" hidden="true" customHeight="true" outlineLevel="0" collapsed="false">
      <c r="A1240" s="263"/>
      <c r="B1240" s="259"/>
      <c r="C1240" s="259" t="s">
        <v>1526</v>
      </c>
      <c r="D1240" s="117" t="n">
        <v>143.98</v>
      </c>
      <c r="E1240" s="260" t="n">
        <v>1</v>
      </c>
    </row>
    <row r="1241" customFormat="false" ht="14.25" hidden="true" customHeight="true" outlineLevel="0" collapsed="false">
      <c r="A1241" s="263"/>
      <c r="B1241" s="259"/>
      <c r="C1241" s="259" t="s">
        <v>1527</v>
      </c>
      <c r="D1241" s="117" t="n">
        <v>143.98</v>
      </c>
      <c r="E1241" s="260" t="n">
        <v>1</v>
      </c>
    </row>
    <row r="1242" customFormat="false" ht="14.25" hidden="true" customHeight="true" outlineLevel="0" collapsed="false">
      <c r="A1242" s="263"/>
      <c r="B1242" s="259"/>
      <c r="C1242" s="259" t="s">
        <v>1528</v>
      </c>
      <c r="D1242" s="117" t="n">
        <v>143.98</v>
      </c>
      <c r="E1242" s="260" t="n">
        <v>1</v>
      </c>
    </row>
    <row r="1243" customFormat="false" ht="14.25" hidden="true" customHeight="true" outlineLevel="0" collapsed="false">
      <c r="A1243" s="263"/>
      <c r="B1243" s="259"/>
      <c r="C1243" s="259" t="s">
        <v>1529</v>
      </c>
      <c r="D1243" s="117" t="n">
        <v>143.98</v>
      </c>
      <c r="E1243" s="260" t="n">
        <v>1</v>
      </c>
    </row>
    <row r="1244" customFormat="false" ht="14.25" hidden="true" customHeight="true" outlineLevel="0" collapsed="false">
      <c r="A1244" s="263"/>
      <c r="B1244" s="259"/>
      <c r="C1244" s="259" t="s">
        <v>1530</v>
      </c>
      <c r="D1244" s="117" t="n">
        <v>143.98</v>
      </c>
      <c r="E1244" s="260" t="n">
        <v>1</v>
      </c>
    </row>
    <row r="1245" customFormat="false" ht="14.25" hidden="true" customHeight="true" outlineLevel="0" collapsed="false">
      <c r="A1245" s="263"/>
      <c r="B1245" s="259"/>
      <c r="C1245" s="259" t="s">
        <v>1531</v>
      </c>
      <c r="D1245" s="117" t="n">
        <v>143.98</v>
      </c>
      <c r="E1245" s="260" t="n">
        <v>1</v>
      </c>
    </row>
    <row r="1246" customFormat="false" ht="14.25" hidden="true" customHeight="true" outlineLevel="0" collapsed="false">
      <c r="A1246" s="263"/>
      <c r="B1246" s="259"/>
      <c r="C1246" s="259" t="s">
        <v>1532</v>
      </c>
      <c r="D1246" s="117" t="n">
        <v>143.98</v>
      </c>
      <c r="E1246" s="260" t="n">
        <v>1</v>
      </c>
    </row>
    <row r="1247" customFormat="false" ht="14.25" hidden="true" customHeight="true" outlineLevel="0" collapsed="false">
      <c r="A1247" s="263"/>
      <c r="B1247" s="259"/>
      <c r="C1247" s="259" t="s">
        <v>1533</v>
      </c>
      <c r="D1247" s="117" t="n">
        <v>143.98</v>
      </c>
      <c r="E1247" s="260" t="n">
        <v>1</v>
      </c>
    </row>
    <row r="1248" customFormat="false" ht="14.25" hidden="true" customHeight="true" outlineLevel="0" collapsed="false">
      <c r="A1248" s="263"/>
      <c r="B1248" s="259"/>
      <c r="C1248" s="259" t="s">
        <v>1534</v>
      </c>
      <c r="D1248" s="117" t="n">
        <v>143.98</v>
      </c>
      <c r="E1248" s="260" t="n">
        <v>1</v>
      </c>
    </row>
    <row r="1249" customFormat="false" ht="14.25" hidden="true" customHeight="true" outlineLevel="0" collapsed="false">
      <c r="A1249" s="263"/>
      <c r="B1249" s="259"/>
      <c r="C1249" s="259" t="s">
        <v>1535</v>
      </c>
      <c r="D1249" s="117" t="n">
        <v>143.98</v>
      </c>
      <c r="E1249" s="260" t="n">
        <v>1</v>
      </c>
    </row>
    <row r="1250" customFormat="false" ht="14.25" hidden="true" customHeight="true" outlineLevel="0" collapsed="false">
      <c r="A1250" s="263"/>
      <c r="B1250" s="259"/>
      <c r="C1250" s="259" t="s">
        <v>1536</v>
      </c>
      <c r="D1250" s="117" t="n">
        <v>143.98</v>
      </c>
      <c r="E1250" s="260" t="n">
        <v>1</v>
      </c>
    </row>
    <row r="1251" customFormat="false" ht="14.25" hidden="true" customHeight="true" outlineLevel="0" collapsed="false">
      <c r="A1251" s="263"/>
      <c r="B1251" s="259"/>
      <c r="C1251" s="259" t="s">
        <v>1537</v>
      </c>
      <c r="D1251" s="117" t="n">
        <v>143.98</v>
      </c>
      <c r="E1251" s="260" t="n">
        <v>1</v>
      </c>
    </row>
    <row r="1252" customFormat="false" ht="14.25" hidden="true" customHeight="true" outlineLevel="0" collapsed="false">
      <c r="A1252" s="263"/>
      <c r="B1252" s="259"/>
      <c r="C1252" s="259" t="s">
        <v>1538</v>
      </c>
      <c r="D1252" s="117" t="n">
        <v>143.98</v>
      </c>
      <c r="E1252" s="260" t="n">
        <v>1</v>
      </c>
    </row>
    <row r="1253" customFormat="false" ht="14.25" hidden="true" customHeight="true" outlineLevel="0" collapsed="false">
      <c r="A1253" s="263"/>
      <c r="B1253" s="259"/>
      <c r="C1253" s="259" t="s">
        <v>1539</v>
      </c>
      <c r="D1253" s="117" t="n">
        <v>143.98</v>
      </c>
      <c r="E1253" s="260" t="n">
        <v>1</v>
      </c>
    </row>
    <row r="1254" customFormat="false" ht="14.25" hidden="true" customHeight="true" outlineLevel="0" collapsed="false">
      <c r="A1254" s="263"/>
      <c r="B1254" s="259"/>
      <c r="C1254" s="259" t="s">
        <v>1540</v>
      </c>
      <c r="D1254" s="117" t="n">
        <v>143.98</v>
      </c>
      <c r="E1254" s="260" t="n">
        <v>1</v>
      </c>
    </row>
    <row r="1255" customFormat="false" ht="14.25" hidden="true" customHeight="true" outlineLevel="0" collapsed="false">
      <c r="A1255" s="263"/>
      <c r="B1255" s="259"/>
      <c r="C1255" s="259" t="s">
        <v>1541</v>
      </c>
      <c r="D1255" s="117" t="n">
        <v>143.98</v>
      </c>
      <c r="E1255" s="260" t="n">
        <v>1</v>
      </c>
    </row>
    <row r="1256" customFormat="false" ht="14.25" hidden="true" customHeight="true" outlineLevel="0" collapsed="false">
      <c r="A1256" s="263"/>
      <c r="B1256" s="259"/>
      <c r="C1256" s="259" t="s">
        <v>1542</v>
      </c>
      <c r="D1256" s="117" t="n">
        <v>143.98</v>
      </c>
      <c r="E1256" s="260" t="n">
        <v>1</v>
      </c>
    </row>
    <row r="1257" customFormat="false" ht="14.25" hidden="true" customHeight="true" outlineLevel="0" collapsed="false">
      <c r="A1257" s="263"/>
      <c r="B1257" s="259"/>
      <c r="C1257" s="259" t="s">
        <v>1543</v>
      </c>
      <c r="D1257" s="117" t="n">
        <v>143.98</v>
      </c>
      <c r="E1257" s="260" t="n">
        <v>1</v>
      </c>
    </row>
    <row r="1258" customFormat="false" ht="14.25" hidden="true" customHeight="true" outlineLevel="0" collapsed="false">
      <c r="A1258" s="263"/>
      <c r="B1258" s="259"/>
      <c r="C1258" s="259" t="s">
        <v>1544</v>
      </c>
      <c r="D1258" s="117" t="n">
        <v>143.98</v>
      </c>
      <c r="E1258" s="260" t="n">
        <v>1</v>
      </c>
    </row>
    <row r="1259" customFormat="false" ht="14.25" hidden="true" customHeight="true" outlineLevel="0" collapsed="false">
      <c r="A1259" s="263"/>
      <c r="B1259" s="259"/>
      <c r="C1259" s="259" t="s">
        <v>1545</v>
      </c>
      <c r="D1259" s="117" t="n">
        <v>143.98</v>
      </c>
      <c r="E1259" s="260" t="n">
        <v>1</v>
      </c>
    </row>
    <row r="1260" customFormat="false" ht="14.25" hidden="true" customHeight="true" outlineLevel="0" collapsed="false">
      <c r="A1260" s="263"/>
      <c r="B1260" s="259"/>
      <c r="C1260" s="259" t="s">
        <v>1546</v>
      </c>
      <c r="D1260" s="117" t="n">
        <v>143.98</v>
      </c>
      <c r="E1260" s="260" t="n">
        <v>1</v>
      </c>
    </row>
    <row r="1261" customFormat="false" ht="14.25" hidden="true" customHeight="true" outlineLevel="0" collapsed="false">
      <c r="A1261" s="263"/>
      <c r="B1261" s="259"/>
      <c r="C1261" s="259" t="s">
        <v>1547</v>
      </c>
      <c r="D1261" s="117" t="n">
        <v>143.98</v>
      </c>
      <c r="E1261" s="260" t="n">
        <v>1</v>
      </c>
    </row>
    <row r="1262" customFormat="false" ht="14.25" hidden="true" customHeight="true" outlineLevel="0" collapsed="false">
      <c r="A1262" s="263"/>
      <c r="B1262" s="259"/>
      <c r="C1262" s="259" t="s">
        <v>1548</v>
      </c>
      <c r="D1262" s="117" t="n">
        <v>143.98</v>
      </c>
      <c r="E1262" s="260" t="n">
        <v>1</v>
      </c>
    </row>
    <row r="1263" customFormat="false" ht="14.25" hidden="true" customHeight="true" outlineLevel="0" collapsed="false">
      <c r="A1263" s="263"/>
      <c r="B1263" s="259"/>
      <c r="C1263" s="259" t="s">
        <v>1549</v>
      </c>
      <c r="D1263" s="117" t="n">
        <v>143.98</v>
      </c>
      <c r="E1263" s="260" t="n">
        <v>1</v>
      </c>
    </row>
    <row r="1264" customFormat="false" ht="14.25" hidden="true" customHeight="true" outlineLevel="0" collapsed="false">
      <c r="A1264" s="263"/>
      <c r="B1264" s="259"/>
      <c r="C1264" s="259" t="s">
        <v>1550</v>
      </c>
      <c r="D1264" s="117" t="n">
        <v>143.98</v>
      </c>
      <c r="E1264" s="260" t="n">
        <v>1</v>
      </c>
    </row>
    <row r="1265" customFormat="false" ht="14.25" hidden="true" customHeight="true" outlineLevel="0" collapsed="false">
      <c r="A1265" s="263"/>
      <c r="B1265" s="259"/>
      <c r="C1265" s="259" t="s">
        <v>1551</v>
      </c>
      <c r="D1265" s="117" t="n">
        <v>143.98</v>
      </c>
      <c r="E1265" s="260" t="n">
        <v>1</v>
      </c>
    </row>
    <row r="1266" customFormat="false" ht="14.25" hidden="true" customHeight="true" outlineLevel="0" collapsed="false">
      <c r="A1266" s="263"/>
      <c r="B1266" s="259"/>
      <c r="C1266" s="259" t="s">
        <v>1552</v>
      </c>
      <c r="D1266" s="117" t="n">
        <v>143.98</v>
      </c>
      <c r="E1266" s="260" t="n">
        <v>1</v>
      </c>
    </row>
    <row r="1267" customFormat="false" ht="14.25" hidden="true" customHeight="true" outlineLevel="0" collapsed="false">
      <c r="A1267" s="263"/>
      <c r="B1267" s="259"/>
      <c r="C1267" s="259" t="s">
        <v>1553</v>
      </c>
      <c r="D1267" s="117" t="n">
        <v>143.98</v>
      </c>
      <c r="E1267" s="260" t="n">
        <v>1</v>
      </c>
    </row>
    <row r="1268" customFormat="false" ht="14.25" hidden="true" customHeight="true" outlineLevel="0" collapsed="false">
      <c r="A1268" s="263"/>
      <c r="B1268" s="259"/>
      <c r="C1268" s="259" t="s">
        <v>1554</v>
      </c>
      <c r="D1268" s="117" t="n">
        <v>143.98</v>
      </c>
      <c r="E1268" s="260" t="n">
        <v>1</v>
      </c>
    </row>
    <row r="1269" customFormat="false" ht="14.25" hidden="true" customHeight="true" outlineLevel="0" collapsed="false">
      <c r="A1269" s="263"/>
      <c r="B1269" s="259"/>
      <c r="C1269" s="259" t="s">
        <v>1555</v>
      </c>
      <c r="D1269" s="117" t="n">
        <v>143.98</v>
      </c>
      <c r="E1269" s="260" t="n">
        <v>1</v>
      </c>
    </row>
    <row r="1270" customFormat="false" ht="14.25" hidden="true" customHeight="true" outlineLevel="0" collapsed="false">
      <c r="A1270" s="263"/>
      <c r="B1270" s="259"/>
      <c r="C1270" s="259" t="s">
        <v>1556</v>
      </c>
      <c r="D1270" s="117" t="n">
        <v>143.98</v>
      </c>
      <c r="E1270" s="260" t="n">
        <v>1</v>
      </c>
    </row>
    <row r="1271" customFormat="false" ht="14.25" hidden="true" customHeight="true" outlineLevel="0" collapsed="false">
      <c r="A1271" s="263"/>
      <c r="B1271" s="259"/>
      <c r="C1271" s="259" t="s">
        <v>1557</v>
      </c>
      <c r="D1271" s="117" t="n">
        <v>143.98</v>
      </c>
      <c r="E1271" s="260" t="n">
        <v>1</v>
      </c>
    </row>
    <row r="1272" customFormat="false" ht="14.25" hidden="true" customHeight="true" outlineLevel="0" collapsed="false">
      <c r="A1272" s="263"/>
      <c r="B1272" s="259"/>
      <c r="C1272" s="259" t="s">
        <v>1558</v>
      </c>
      <c r="D1272" s="117" t="n">
        <v>143.98</v>
      </c>
      <c r="E1272" s="260" t="n">
        <v>1</v>
      </c>
    </row>
    <row r="1273" customFormat="false" ht="14.25" hidden="true" customHeight="true" outlineLevel="0" collapsed="false">
      <c r="A1273" s="263"/>
      <c r="B1273" s="259"/>
      <c r="C1273" s="259" t="s">
        <v>1559</v>
      </c>
      <c r="D1273" s="117" t="n">
        <v>143.98</v>
      </c>
      <c r="E1273" s="260" t="n">
        <v>1</v>
      </c>
    </row>
    <row r="1274" customFormat="false" ht="14.25" hidden="true" customHeight="true" outlineLevel="0" collapsed="false">
      <c r="A1274" s="263"/>
      <c r="B1274" s="259"/>
      <c r="C1274" s="259" t="s">
        <v>1560</v>
      </c>
      <c r="D1274" s="117" t="n">
        <v>143.98</v>
      </c>
      <c r="E1274" s="260" t="n">
        <v>1</v>
      </c>
    </row>
    <row r="1275" customFormat="false" ht="14.25" hidden="true" customHeight="true" outlineLevel="0" collapsed="false">
      <c r="A1275" s="263"/>
      <c r="B1275" s="259"/>
      <c r="C1275" s="259" t="s">
        <v>1561</v>
      </c>
      <c r="D1275" s="117" t="n">
        <v>143.98</v>
      </c>
      <c r="E1275" s="260" t="n">
        <v>1</v>
      </c>
    </row>
    <row r="1276" customFormat="false" ht="14.25" hidden="true" customHeight="true" outlineLevel="0" collapsed="false">
      <c r="A1276" s="263"/>
      <c r="B1276" s="259"/>
      <c r="C1276" s="259" t="s">
        <v>1562</v>
      </c>
      <c r="D1276" s="117" t="n">
        <v>143.98</v>
      </c>
      <c r="E1276" s="260" t="n">
        <v>1</v>
      </c>
    </row>
    <row r="1277" customFormat="false" ht="14.25" hidden="true" customHeight="true" outlineLevel="0" collapsed="false">
      <c r="A1277" s="263"/>
      <c r="B1277" s="259"/>
      <c r="C1277" s="259" t="s">
        <v>1563</v>
      </c>
      <c r="D1277" s="117" t="n">
        <v>143.98</v>
      </c>
      <c r="E1277" s="260" t="n">
        <v>1</v>
      </c>
    </row>
    <row r="1278" customFormat="false" ht="14.25" hidden="true" customHeight="true" outlineLevel="0" collapsed="false">
      <c r="A1278" s="263"/>
      <c r="B1278" s="259"/>
      <c r="C1278" s="259" t="s">
        <v>1564</v>
      </c>
      <c r="D1278" s="117" t="n">
        <v>143.98</v>
      </c>
      <c r="E1278" s="260" t="n">
        <v>1</v>
      </c>
    </row>
    <row r="1279" customFormat="false" ht="14.25" hidden="true" customHeight="true" outlineLevel="0" collapsed="false">
      <c r="A1279" s="263"/>
      <c r="B1279" s="259"/>
      <c r="C1279" s="259" t="s">
        <v>1565</v>
      </c>
      <c r="D1279" s="117" t="n">
        <v>143.98</v>
      </c>
      <c r="E1279" s="260" t="n">
        <v>1</v>
      </c>
    </row>
    <row r="1280" customFormat="false" ht="14.25" hidden="true" customHeight="true" outlineLevel="0" collapsed="false">
      <c r="A1280" s="263"/>
      <c r="B1280" s="259"/>
      <c r="C1280" s="259" t="s">
        <v>1566</v>
      </c>
      <c r="D1280" s="117" t="n">
        <v>143.98</v>
      </c>
      <c r="E1280" s="260" t="n">
        <v>1</v>
      </c>
    </row>
    <row r="1281" customFormat="false" ht="14.25" hidden="true" customHeight="true" outlineLevel="0" collapsed="false">
      <c r="A1281" s="263"/>
      <c r="B1281" s="259"/>
      <c r="C1281" s="259" t="s">
        <v>1567</v>
      </c>
      <c r="D1281" s="117" t="n">
        <v>143.98</v>
      </c>
      <c r="E1281" s="260" t="n">
        <v>1</v>
      </c>
    </row>
    <row r="1282" customFormat="false" ht="14.25" hidden="true" customHeight="true" outlineLevel="0" collapsed="false">
      <c r="A1282" s="263"/>
      <c r="B1282" s="259"/>
      <c r="C1282" s="259" t="s">
        <v>1568</v>
      </c>
      <c r="D1282" s="117" t="n">
        <v>143.98</v>
      </c>
      <c r="E1282" s="260" t="n">
        <v>1</v>
      </c>
    </row>
    <row r="1283" customFormat="false" ht="14.25" hidden="true" customHeight="true" outlineLevel="0" collapsed="false">
      <c r="A1283" s="263"/>
      <c r="B1283" s="259"/>
      <c r="C1283" s="259" t="s">
        <v>1569</v>
      </c>
      <c r="D1283" s="117" t="n">
        <v>143.98</v>
      </c>
      <c r="E1283" s="260" t="n">
        <v>1</v>
      </c>
    </row>
    <row r="1284" customFormat="false" ht="14.25" hidden="true" customHeight="true" outlineLevel="0" collapsed="false">
      <c r="A1284" s="263"/>
      <c r="B1284" s="259"/>
      <c r="C1284" s="259" t="s">
        <v>1570</v>
      </c>
      <c r="D1284" s="117" t="n">
        <v>143.98</v>
      </c>
      <c r="E1284" s="260" t="n">
        <v>1</v>
      </c>
    </row>
    <row r="1285" customFormat="false" ht="14.25" hidden="true" customHeight="true" outlineLevel="0" collapsed="false">
      <c r="A1285" s="263"/>
      <c r="B1285" s="259"/>
      <c r="C1285" s="259" t="s">
        <v>1571</v>
      </c>
      <c r="D1285" s="117" t="n">
        <v>143.98</v>
      </c>
      <c r="E1285" s="260" t="n">
        <v>1</v>
      </c>
    </row>
    <row r="1286" customFormat="false" ht="14.25" hidden="true" customHeight="true" outlineLevel="0" collapsed="false">
      <c r="A1286" s="263"/>
      <c r="B1286" s="259"/>
      <c r="C1286" s="259" t="s">
        <v>1572</v>
      </c>
      <c r="D1286" s="117" t="n">
        <v>143.98</v>
      </c>
      <c r="E1286" s="260" t="n">
        <v>1</v>
      </c>
    </row>
    <row r="1287" customFormat="false" ht="14.25" hidden="true" customHeight="true" outlineLevel="0" collapsed="false">
      <c r="A1287" s="263"/>
      <c r="B1287" s="259"/>
      <c r="C1287" s="259" t="s">
        <v>1573</v>
      </c>
      <c r="D1287" s="117" t="n">
        <v>143.98</v>
      </c>
      <c r="E1287" s="260" t="n">
        <v>1</v>
      </c>
    </row>
    <row r="1288" customFormat="false" ht="14.25" hidden="true" customHeight="true" outlineLevel="0" collapsed="false">
      <c r="A1288" s="263"/>
      <c r="B1288" s="259"/>
      <c r="C1288" s="259" t="s">
        <v>1574</v>
      </c>
      <c r="D1288" s="117" t="n">
        <v>143.98</v>
      </c>
      <c r="E1288" s="260" t="n">
        <v>2</v>
      </c>
    </row>
    <row r="1289" customFormat="false" ht="14.25" hidden="true" customHeight="true" outlineLevel="0" collapsed="false">
      <c r="A1289" s="263"/>
      <c r="B1289" s="259"/>
      <c r="C1289" s="259" t="s">
        <v>1575</v>
      </c>
      <c r="D1289" s="117" t="n">
        <v>143.98</v>
      </c>
      <c r="E1289" s="260" t="n">
        <v>1</v>
      </c>
    </row>
    <row r="1290" customFormat="false" ht="14.25" hidden="true" customHeight="true" outlineLevel="0" collapsed="false">
      <c r="A1290" s="263"/>
      <c r="B1290" s="259"/>
      <c r="C1290" s="259" t="s">
        <v>1576</v>
      </c>
      <c r="D1290" s="117" t="n">
        <v>143.98</v>
      </c>
      <c r="E1290" s="260" t="n">
        <v>1</v>
      </c>
    </row>
    <row r="1291" customFormat="false" ht="14.25" hidden="true" customHeight="true" outlineLevel="0" collapsed="false">
      <c r="A1291" s="263"/>
      <c r="B1291" s="259"/>
      <c r="C1291" s="259" t="s">
        <v>1577</v>
      </c>
      <c r="D1291" s="117" t="n">
        <v>143.98</v>
      </c>
      <c r="E1291" s="260" t="n">
        <v>1</v>
      </c>
    </row>
    <row r="1292" customFormat="false" ht="14.25" hidden="true" customHeight="true" outlineLevel="0" collapsed="false">
      <c r="A1292" s="263"/>
      <c r="B1292" s="259"/>
      <c r="C1292" s="259" t="s">
        <v>1578</v>
      </c>
      <c r="D1292" s="117" t="n">
        <v>143.98</v>
      </c>
      <c r="E1292" s="260" t="n">
        <v>1</v>
      </c>
    </row>
    <row r="1293" customFormat="false" ht="14.25" hidden="true" customHeight="true" outlineLevel="0" collapsed="false">
      <c r="A1293" s="263"/>
      <c r="B1293" s="259"/>
      <c r="C1293" s="259" t="s">
        <v>1579</v>
      </c>
      <c r="D1293" s="117" t="n">
        <v>143.98</v>
      </c>
      <c r="E1293" s="260" t="n">
        <v>1</v>
      </c>
    </row>
    <row r="1294" customFormat="false" ht="14.25" hidden="true" customHeight="true" outlineLevel="0" collapsed="false">
      <c r="A1294" s="263"/>
      <c r="B1294" s="259"/>
      <c r="C1294" s="259" t="s">
        <v>1580</v>
      </c>
      <c r="D1294" s="117" t="n">
        <v>143.98</v>
      </c>
      <c r="E1294" s="260" t="n">
        <v>1</v>
      </c>
    </row>
    <row r="1295" customFormat="false" ht="14.25" hidden="true" customHeight="true" outlineLevel="0" collapsed="false">
      <c r="A1295" s="263"/>
      <c r="B1295" s="259"/>
      <c r="C1295" s="259" t="s">
        <v>1581</v>
      </c>
      <c r="D1295" s="117" t="n">
        <v>143.98</v>
      </c>
      <c r="E1295" s="260" t="n">
        <v>1</v>
      </c>
    </row>
    <row r="1296" customFormat="false" ht="14.25" hidden="true" customHeight="true" outlineLevel="0" collapsed="false">
      <c r="A1296" s="263"/>
      <c r="B1296" s="259"/>
      <c r="C1296" s="259" t="s">
        <v>1582</v>
      </c>
      <c r="D1296" s="117" t="n">
        <v>143.98</v>
      </c>
      <c r="E1296" s="260" t="n">
        <v>1</v>
      </c>
    </row>
    <row r="1297" customFormat="false" ht="14.25" hidden="true" customHeight="true" outlineLevel="0" collapsed="false">
      <c r="A1297" s="263"/>
      <c r="B1297" s="259"/>
      <c r="C1297" s="259" t="s">
        <v>1583</v>
      </c>
      <c r="D1297" s="117" t="n">
        <v>143.98</v>
      </c>
      <c r="E1297" s="260" t="n">
        <v>1</v>
      </c>
    </row>
    <row r="1298" customFormat="false" ht="14.25" hidden="true" customHeight="true" outlineLevel="0" collapsed="false">
      <c r="A1298" s="263"/>
      <c r="B1298" s="259"/>
      <c r="C1298" s="259" t="s">
        <v>1584</v>
      </c>
      <c r="D1298" s="117" t="n">
        <v>143.98</v>
      </c>
      <c r="E1298" s="260" t="n">
        <v>1</v>
      </c>
    </row>
    <row r="1299" customFormat="false" ht="14.25" hidden="true" customHeight="true" outlineLevel="0" collapsed="false">
      <c r="A1299" s="263"/>
      <c r="B1299" s="259"/>
      <c r="C1299" s="259" t="s">
        <v>1585</v>
      </c>
      <c r="D1299" s="117" t="n">
        <v>143.98</v>
      </c>
      <c r="E1299" s="260" t="n">
        <v>1</v>
      </c>
    </row>
    <row r="1300" customFormat="false" ht="14.25" hidden="true" customHeight="true" outlineLevel="0" collapsed="false">
      <c r="A1300" s="263"/>
      <c r="B1300" s="259"/>
      <c r="C1300" s="259" t="s">
        <v>1586</v>
      </c>
      <c r="D1300" s="117" t="n">
        <v>143.98</v>
      </c>
      <c r="E1300" s="260" t="n">
        <v>1</v>
      </c>
    </row>
    <row r="1301" customFormat="false" ht="14.25" hidden="true" customHeight="true" outlineLevel="0" collapsed="false">
      <c r="A1301" s="263"/>
      <c r="B1301" s="259"/>
      <c r="C1301" s="259" t="s">
        <v>1587</v>
      </c>
      <c r="D1301" s="117" t="n">
        <v>143.98</v>
      </c>
      <c r="E1301" s="260" t="n">
        <v>1</v>
      </c>
    </row>
    <row r="1302" customFormat="false" ht="14.25" hidden="true" customHeight="true" outlineLevel="0" collapsed="false">
      <c r="A1302" s="263"/>
      <c r="B1302" s="259"/>
      <c r="C1302" s="259" t="s">
        <v>1588</v>
      </c>
      <c r="D1302" s="117" t="n">
        <v>143.98</v>
      </c>
      <c r="E1302" s="260" t="n">
        <v>1</v>
      </c>
    </row>
    <row r="1303" customFormat="false" ht="14.25" hidden="true" customHeight="true" outlineLevel="0" collapsed="false">
      <c r="A1303" s="263"/>
      <c r="B1303" s="259"/>
      <c r="C1303" s="259" t="s">
        <v>1589</v>
      </c>
      <c r="D1303" s="117" t="n">
        <v>143.98</v>
      </c>
      <c r="E1303" s="260" t="n">
        <v>1</v>
      </c>
    </row>
    <row r="1304" customFormat="false" ht="14.25" hidden="true" customHeight="true" outlineLevel="0" collapsed="false">
      <c r="A1304" s="263"/>
      <c r="B1304" s="259"/>
      <c r="C1304" s="259" t="s">
        <v>1590</v>
      </c>
      <c r="D1304" s="117" t="n">
        <v>143.98</v>
      </c>
      <c r="E1304" s="260" t="n">
        <v>1</v>
      </c>
    </row>
    <row r="1305" customFormat="false" ht="14.25" hidden="true" customHeight="true" outlineLevel="0" collapsed="false">
      <c r="A1305" s="263"/>
      <c r="B1305" s="259"/>
      <c r="C1305" s="259" t="s">
        <v>1591</v>
      </c>
      <c r="D1305" s="117" t="n">
        <v>143.98</v>
      </c>
      <c r="E1305" s="260" t="n">
        <v>1</v>
      </c>
    </row>
    <row r="1306" customFormat="false" ht="14.25" hidden="true" customHeight="true" outlineLevel="0" collapsed="false">
      <c r="A1306" s="263"/>
      <c r="B1306" s="259"/>
      <c r="C1306" s="259" t="s">
        <v>1592</v>
      </c>
      <c r="D1306" s="117" t="n">
        <v>143.98</v>
      </c>
      <c r="E1306" s="260" t="n">
        <v>1</v>
      </c>
    </row>
    <row r="1307" customFormat="false" ht="14.25" hidden="true" customHeight="true" outlineLevel="0" collapsed="false">
      <c r="A1307" s="263"/>
      <c r="B1307" s="259"/>
      <c r="C1307" s="259" t="s">
        <v>1593</v>
      </c>
      <c r="D1307" s="117" t="n">
        <v>143.98</v>
      </c>
      <c r="E1307" s="260" t="n">
        <v>1</v>
      </c>
    </row>
    <row r="1308" customFormat="false" ht="14.25" hidden="true" customHeight="true" outlineLevel="0" collapsed="false">
      <c r="A1308" s="263"/>
      <c r="B1308" s="259"/>
      <c r="C1308" s="259" t="s">
        <v>1594</v>
      </c>
      <c r="D1308" s="117" t="n">
        <v>143.98</v>
      </c>
      <c r="E1308" s="260" t="n">
        <v>1</v>
      </c>
    </row>
    <row r="1309" customFormat="false" ht="14.25" hidden="true" customHeight="true" outlineLevel="0" collapsed="false">
      <c r="A1309" s="263"/>
      <c r="B1309" s="259"/>
      <c r="C1309" s="259" t="s">
        <v>1595</v>
      </c>
      <c r="D1309" s="117" t="n">
        <v>143.98</v>
      </c>
      <c r="E1309" s="260" t="n">
        <v>1</v>
      </c>
    </row>
    <row r="1310" customFormat="false" ht="14.25" hidden="true" customHeight="true" outlineLevel="0" collapsed="false">
      <c r="A1310" s="263"/>
      <c r="B1310" s="259"/>
      <c r="C1310" s="259" t="s">
        <v>1596</v>
      </c>
      <c r="D1310" s="117" t="n">
        <v>143.98</v>
      </c>
      <c r="E1310" s="260" t="n">
        <v>1</v>
      </c>
    </row>
    <row r="1311" customFormat="false" ht="14.25" hidden="true" customHeight="true" outlineLevel="0" collapsed="false">
      <c r="A1311" s="263"/>
      <c r="B1311" s="259"/>
      <c r="C1311" s="259" t="s">
        <v>1597</v>
      </c>
      <c r="D1311" s="117" t="n">
        <v>143.98</v>
      </c>
      <c r="E1311" s="260" t="n">
        <v>1</v>
      </c>
    </row>
    <row r="1312" customFormat="false" ht="14.25" hidden="true" customHeight="true" outlineLevel="0" collapsed="false">
      <c r="A1312" s="263"/>
      <c r="B1312" s="259"/>
      <c r="C1312" s="259" t="s">
        <v>1598</v>
      </c>
      <c r="D1312" s="117" t="n">
        <v>143.98</v>
      </c>
      <c r="E1312" s="260" t="n">
        <v>1</v>
      </c>
    </row>
    <row r="1313" customFormat="false" ht="14.25" hidden="true" customHeight="true" outlineLevel="0" collapsed="false">
      <c r="A1313" s="263"/>
      <c r="B1313" s="259"/>
      <c r="C1313" s="259" t="s">
        <v>1599</v>
      </c>
      <c r="D1313" s="117" t="n">
        <v>143.98</v>
      </c>
      <c r="E1313" s="260" t="n">
        <v>1</v>
      </c>
    </row>
    <row r="1314" customFormat="false" ht="14.25" hidden="true" customHeight="true" outlineLevel="0" collapsed="false">
      <c r="A1314" s="263"/>
      <c r="B1314" s="259"/>
      <c r="C1314" s="259" t="s">
        <v>1600</v>
      </c>
      <c r="D1314" s="117" t="n">
        <v>143.98</v>
      </c>
      <c r="E1314" s="260" t="n">
        <v>1</v>
      </c>
    </row>
    <row r="1315" customFormat="false" ht="14.25" hidden="true" customHeight="true" outlineLevel="0" collapsed="false">
      <c r="A1315" s="263"/>
      <c r="B1315" s="259"/>
      <c r="C1315" s="259" t="s">
        <v>1601</v>
      </c>
      <c r="D1315" s="117" t="n">
        <v>143.98</v>
      </c>
      <c r="E1315" s="260" t="n">
        <v>1</v>
      </c>
    </row>
    <row r="1316" customFormat="false" ht="14.25" hidden="true" customHeight="true" outlineLevel="0" collapsed="false">
      <c r="A1316" s="263"/>
      <c r="B1316" s="259"/>
      <c r="C1316" s="259" t="s">
        <v>1602</v>
      </c>
      <c r="D1316" s="117" t="n">
        <v>143.98</v>
      </c>
      <c r="E1316" s="260" t="n">
        <v>1</v>
      </c>
    </row>
    <row r="1317" customFormat="false" ht="14.25" hidden="true" customHeight="true" outlineLevel="0" collapsed="false">
      <c r="A1317" s="263"/>
      <c r="B1317" s="259"/>
      <c r="C1317" s="259" t="s">
        <v>1603</v>
      </c>
      <c r="D1317" s="117" t="n">
        <v>143.98</v>
      </c>
      <c r="E1317" s="260" t="n">
        <v>1</v>
      </c>
    </row>
    <row r="1318" customFormat="false" ht="14.25" hidden="true" customHeight="true" outlineLevel="0" collapsed="false">
      <c r="A1318" s="263"/>
      <c r="B1318" s="259"/>
      <c r="C1318" s="259" t="s">
        <v>1604</v>
      </c>
      <c r="D1318" s="117" t="n">
        <v>143.98</v>
      </c>
      <c r="E1318" s="260" t="n">
        <v>1</v>
      </c>
    </row>
    <row r="1319" customFormat="false" ht="14.25" hidden="true" customHeight="true" outlineLevel="0" collapsed="false">
      <c r="A1319" s="263"/>
      <c r="B1319" s="259"/>
      <c r="C1319" s="259" t="s">
        <v>1605</v>
      </c>
      <c r="D1319" s="117" t="n">
        <v>143.98</v>
      </c>
      <c r="E1319" s="260" t="n">
        <v>1</v>
      </c>
    </row>
    <row r="1320" customFormat="false" ht="14.25" hidden="true" customHeight="true" outlineLevel="0" collapsed="false">
      <c r="A1320" s="263"/>
      <c r="B1320" s="259"/>
      <c r="C1320" s="259" t="s">
        <v>1606</v>
      </c>
      <c r="D1320" s="117" t="n">
        <v>143.98</v>
      </c>
      <c r="E1320" s="260" t="n">
        <v>1</v>
      </c>
    </row>
    <row r="1321" customFormat="false" ht="14.25" hidden="true" customHeight="true" outlineLevel="0" collapsed="false">
      <c r="A1321" s="263"/>
      <c r="B1321" s="259"/>
      <c r="C1321" s="259" t="s">
        <v>1607</v>
      </c>
      <c r="D1321" s="117" t="n">
        <v>143.98</v>
      </c>
      <c r="E1321" s="260" t="n">
        <v>1</v>
      </c>
    </row>
    <row r="1322" customFormat="false" ht="14.25" hidden="true" customHeight="true" outlineLevel="0" collapsed="false">
      <c r="A1322" s="263"/>
      <c r="B1322" s="259"/>
      <c r="C1322" s="259" t="s">
        <v>1608</v>
      </c>
      <c r="D1322" s="117" t="n">
        <v>143.98</v>
      </c>
      <c r="E1322" s="260" t="n">
        <v>1</v>
      </c>
    </row>
    <row r="1323" customFormat="false" ht="14.25" hidden="true" customHeight="true" outlineLevel="0" collapsed="false">
      <c r="A1323" s="263"/>
      <c r="B1323" s="259"/>
      <c r="C1323" s="259" t="s">
        <v>1609</v>
      </c>
      <c r="D1323" s="117" t="n">
        <v>143.98</v>
      </c>
      <c r="E1323" s="260" t="n">
        <v>1</v>
      </c>
    </row>
    <row r="1324" customFormat="false" ht="14.25" hidden="true" customHeight="true" outlineLevel="0" collapsed="false">
      <c r="A1324" s="263"/>
      <c r="B1324" s="259"/>
      <c r="C1324" s="259" t="s">
        <v>1610</v>
      </c>
      <c r="D1324" s="117" t="n">
        <v>143.98</v>
      </c>
      <c r="E1324" s="260" t="n">
        <v>1</v>
      </c>
    </row>
    <row r="1325" customFormat="false" ht="14.25" hidden="true" customHeight="true" outlineLevel="0" collapsed="false">
      <c r="A1325" s="263"/>
      <c r="B1325" s="259"/>
      <c r="C1325" s="259" t="s">
        <v>1611</v>
      </c>
      <c r="D1325" s="117" t="n">
        <v>143.98</v>
      </c>
      <c r="E1325" s="260" t="n">
        <v>1</v>
      </c>
    </row>
    <row r="1326" customFormat="false" ht="14.25" hidden="true" customHeight="true" outlineLevel="0" collapsed="false">
      <c r="A1326" s="263"/>
      <c r="B1326" s="259"/>
      <c r="C1326" s="259" t="s">
        <v>1612</v>
      </c>
      <c r="D1326" s="117" t="n">
        <v>143.98</v>
      </c>
      <c r="E1326" s="260" t="n">
        <v>1</v>
      </c>
    </row>
    <row r="1327" customFormat="false" ht="14.25" hidden="true" customHeight="true" outlineLevel="0" collapsed="false">
      <c r="A1327" s="263"/>
      <c r="B1327" s="259"/>
      <c r="C1327" s="259" t="s">
        <v>1613</v>
      </c>
      <c r="D1327" s="117" t="n">
        <v>143.98</v>
      </c>
      <c r="E1327" s="260" t="n">
        <v>1</v>
      </c>
    </row>
    <row r="1328" customFormat="false" ht="14.25" hidden="true" customHeight="true" outlineLevel="0" collapsed="false">
      <c r="A1328" s="263"/>
      <c r="B1328" s="259"/>
      <c r="C1328" s="259" t="s">
        <v>1614</v>
      </c>
      <c r="D1328" s="117" t="n">
        <v>143.98</v>
      </c>
      <c r="E1328" s="260" t="n">
        <v>1</v>
      </c>
    </row>
    <row r="1329" customFormat="false" ht="14.25" hidden="true" customHeight="true" outlineLevel="0" collapsed="false">
      <c r="A1329" s="263"/>
      <c r="B1329" s="259"/>
      <c r="C1329" s="259" t="s">
        <v>1615</v>
      </c>
      <c r="D1329" s="117" t="n">
        <v>143.98</v>
      </c>
      <c r="E1329" s="260" t="n">
        <v>1</v>
      </c>
    </row>
    <row r="1330" customFormat="false" ht="14.25" hidden="true" customHeight="true" outlineLevel="0" collapsed="false">
      <c r="A1330" s="263"/>
      <c r="B1330" s="259"/>
      <c r="C1330" s="259" t="s">
        <v>1616</v>
      </c>
      <c r="D1330" s="117" t="n">
        <v>143.98</v>
      </c>
      <c r="E1330" s="260" t="n">
        <v>1</v>
      </c>
    </row>
    <row r="1331" customFormat="false" ht="14.25" hidden="true" customHeight="true" outlineLevel="0" collapsed="false">
      <c r="A1331" s="263"/>
      <c r="B1331" s="259"/>
      <c r="C1331" s="259" t="s">
        <v>1617</v>
      </c>
      <c r="D1331" s="117" t="n">
        <v>143.98</v>
      </c>
      <c r="E1331" s="260" t="n">
        <v>1</v>
      </c>
    </row>
    <row r="1332" customFormat="false" ht="14.25" hidden="true" customHeight="true" outlineLevel="0" collapsed="false">
      <c r="A1332" s="263"/>
      <c r="B1332" s="259"/>
      <c r="C1332" s="259" t="s">
        <v>1618</v>
      </c>
      <c r="D1332" s="117" t="n">
        <v>143.98</v>
      </c>
      <c r="E1332" s="260" t="n">
        <v>1</v>
      </c>
    </row>
    <row r="1333" customFormat="false" ht="14.25" hidden="true" customHeight="true" outlineLevel="0" collapsed="false">
      <c r="A1333" s="263"/>
      <c r="B1333" s="259"/>
      <c r="C1333" s="259" t="s">
        <v>1619</v>
      </c>
      <c r="D1333" s="117" t="n">
        <v>143.98</v>
      </c>
      <c r="E1333" s="260" t="n">
        <v>1</v>
      </c>
    </row>
    <row r="1334" customFormat="false" ht="14.25" hidden="true" customHeight="true" outlineLevel="0" collapsed="false">
      <c r="A1334" s="263"/>
      <c r="B1334" s="259"/>
      <c r="C1334" s="259" t="s">
        <v>1620</v>
      </c>
      <c r="D1334" s="117" t="n">
        <v>143.98</v>
      </c>
      <c r="E1334" s="260" t="n">
        <v>1</v>
      </c>
    </row>
    <row r="1335" customFormat="false" ht="14.25" hidden="true" customHeight="true" outlineLevel="0" collapsed="false">
      <c r="A1335" s="263"/>
      <c r="B1335" s="259"/>
      <c r="C1335" s="259" t="s">
        <v>1621</v>
      </c>
      <c r="D1335" s="117" t="n">
        <v>143.98</v>
      </c>
      <c r="E1335" s="260" t="n">
        <v>1</v>
      </c>
    </row>
    <row r="1336" customFormat="false" ht="14.25" hidden="true" customHeight="true" outlineLevel="0" collapsed="false">
      <c r="A1336" s="263"/>
      <c r="B1336" s="259"/>
      <c r="C1336" s="259" t="s">
        <v>1622</v>
      </c>
      <c r="D1336" s="117" t="n">
        <v>143.98</v>
      </c>
      <c r="E1336" s="260" t="n">
        <v>1</v>
      </c>
    </row>
    <row r="1337" customFormat="false" ht="14.25" hidden="true" customHeight="true" outlineLevel="0" collapsed="false">
      <c r="A1337" s="263"/>
      <c r="B1337" s="259"/>
      <c r="C1337" s="259" t="s">
        <v>1623</v>
      </c>
      <c r="D1337" s="117" t="n">
        <v>143.98</v>
      </c>
      <c r="E1337" s="260" t="n">
        <v>1</v>
      </c>
    </row>
    <row r="1338" customFormat="false" ht="14.25" hidden="true" customHeight="true" outlineLevel="0" collapsed="false">
      <c r="A1338" s="263"/>
      <c r="B1338" s="259"/>
      <c r="C1338" s="259" t="s">
        <v>1624</v>
      </c>
      <c r="D1338" s="117" t="n">
        <v>143.98</v>
      </c>
      <c r="E1338" s="260" t="n">
        <v>1</v>
      </c>
    </row>
    <row r="1339" customFormat="false" ht="14.25" hidden="true" customHeight="true" outlineLevel="0" collapsed="false">
      <c r="A1339" s="263"/>
      <c r="B1339" s="259"/>
      <c r="C1339" s="259" t="s">
        <v>1625</v>
      </c>
      <c r="D1339" s="117" t="n">
        <v>143.98</v>
      </c>
      <c r="E1339" s="260" t="n">
        <v>1</v>
      </c>
    </row>
    <row r="1340" customFormat="false" ht="14.25" hidden="true" customHeight="true" outlineLevel="0" collapsed="false">
      <c r="A1340" s="263"/>
      <c r="B1340" s="259"/>
      <c r="C1340" s="259" t="s">
        <v>1626</v>
      </c>
      <c r="D1340" s="117" t="n">
        <v>143.98</v>
      </c>
      <c r="E1340" s="260" t="n">
        <v>1</v>
      </c>
    </row>
    <row r="1341" customFormat="false" ht="14.25" hidden="true" customHeight="true" outlineLevel="0" collapsed="false">
      <c r="A1341" s="263"/>
      <c r="B1341" s="259"/>
      <c r="C1341" s="259" t="s">
        <v>1627</v>
      </c>
      <c r="D1341" s="117" t="n">
        <v>143.98</v>
      </c>
      <c r="E1341" s="260" t="n">
        <v>1</v>
      </c>
    </row>
    <row r="1342" customFormat="false" ht="14.25" hidden="true" customHeight="true" outlineLevel="0" collapsed="false">
      <c r="A1342" s="263"/>
      <c r="B1342" s="259"/>
      <c r="C1342" s="259" t="s">
        <v>1628</v>
      </c>
      <c r="D1342" s="117" t="n">
        <v>143.98</v>
      </c>
      <c r="E1342" s="260" t="n">
        <v>1</v>
      </c>
    </row>
    <row r="1343" customFormat="false" ht="14.25" hidden="true" customHeight="true" outlineLevel="0" collapsed="false">
      <c r="A1343" s="263"/>
      <c r="B1343" s="259"/>
      <c r="C1343" s="259" t="s">
        <v>1629</v>
      </c>
      <c r="D1343" s="117" t="n">
        <v>143.98</v>
      </c>
      <c r="E1343" s="260" t="n">
        <v>1</v>
      </c>
    </row>
    <row r="1344" customFormat="false" ht="14.25" hidden="true" customHeight="true" outlineLevel="0" collapsed="false">
      <c r="A1344" s="263"/>
      <c r="B1344" s="259"/>
      <c r="C1344" s="259" t="s">
        <v>1630</v>
      </c>
      <c r="D1344" s="117" t="n">
        <v>143.98</v>
      </c>
      <c r="E1344" s="260" t="n">
        <v>1</v>
      </c>
    </row>
    <row r="1345" customFormat="false" ht="14.25" hidden="true" customHeight="true" outlineLevel="0" collapsed="false">
      <c r="A1345" s="263"/>
      <c r="B1345" s="259"/>
      <c r="C1345" s="259" t="s">
        <v>1631</v>
      </c>
      <c r="D1345" s="117" t="n">
        <v>143.98</v>
      </c>
      <c r="E1345" s="260" t="n">
        <v>1</v>
      </c>
    </row>
    <row r="1346" customFormat="false" ht="14.25" hidden="true" customHeight="true" outlineLevel="0" collapsed="false">
      <c r="A1346" s="263"/>
      <c r="B1346" s="259"/>
      <c r="C1346" s="259" t="s">
        <v>1632</v>
      </c>
      <c r="D1346" s="117" t="n">
        <v>143.98</v>
      </c>
      <c r="E1346" s="260" t="n">
        <v>1</v>
      </c>
    </row>
    <row r="1347" customFormat="false" ht="14.25" hidden="true" customHeight="true" outlineLevel="0" collapsed="false">
      <c r="A1347" s="263"/>
      <c r="B1347" s="259"/>
      <c r="C1347" s="259" t="s">
        <v>1633</v>
      </c>
      <c r="D1347" s="117" t="n">
        <v>143.98</v>
      </c>
      <c r="E1347" s="260" t="n">
        <v>1</v>
      </c>
    </row>
    <row r="1348" customFormat="false" ht="14.25" hidden="true" customHeight="true" outlineLevel="0" collapsed="false">
      <c r="A1348" s="263"/>
      <c r="B1348" s="259"/>
      <c r="C1348" s="259" t="s">
        <v>1634</v>
      </c>
      <c r="D1348" s="117" t="n">
        <v>143.98</v>
      </c>
      <c r="E1348" s="260" t="n">
        <v>1</v>
      </c>
    </row>
    <row r="1349" customFormat="false" ht="14.25" hidden="true" customHeight="true" outlineLevel="0" collapsed="false">
      <c r="A1349" s="263"/>
      <c r="B1349" s="259"/>
      <c r="C1349" s="259" t="s">
        <v>1635</v>
      </c>
      <c r="D1349" s="117" t="n">
        <v>143.98</v>
      </c>
      <c r="E1349" s="260" t="n">
        <v>1</v>
      </c>
    </row>
    <row r="1350" customFormat="false" ht="14.25" hidden="true" customHeight="true" outlineLevel="0" collapsed="false">
      <c r="A1350" s="263"/>
      <c r="B1350" s="259"/>
      <c r="C1350" s="259" t="s">
        <v>1636</v>
      </c>
      <c r="D1350" s="117" t="n">
        <v>143.98</v>
      </c>
      <c r="E1350" s="260" t="n">
        <v>1</v>
      </c>
    </row>
    <row r="1351" customFormat="false" ht="14.25" hidden="true" customHeight="true" outlineLevel="0" collapsed="false">
      <c r="A1351" s="263"/>
      <c r="B1351" s="259"/>
      <c r="C1351" s="259" t="s">
        <v>1637</v>
      </c>
      <c r="D1351" s="117" t="n">
        <v>143.98</v>
      </c>
      <c r="E1351" s="260" t="n">
        <v>1</v>
      </c>
    </row>
    <row r="1352" customFormat="false" ht="14.25" hidden="true" customHeight="true" outlineLevel="0" collapsed="false">
      <c r="A1352" s="263"/>
      <c r="B1352" s="259"/>
      <c r="C1352" s="259" t="s">
        <v>1638</v>
      </c>
      <c r="D1352" s="117" t="n">
        <v>143.98</v>
      </c>
      <c r="E1352" s="260" t="n">
        <v>1</v>
      </c>
    </row>
    <row r="1353" customFormat="false" ht="14.25" hidden="true" customHeight="true" outlineLevel="0" collapsed="false">
      <c r="A1353" s="263"/>
      <c r="B1353" s="259"/>
      <c r="C1353" s="259" t="s">
        <v>1639</v>
      </c>
      <c r="D1353" s="117" t="n">
        <v>143.98</v>
      </c>
      <c r="E1353" s="260" t="n">
        <v>1</v>
      </c>
    </row>
    <row r="1354" customFormat="false" ht="14.25" hidden="true" customHeight="true" outlineLevel="0" collapsed="false">
      <c r="A1354" s="263"/>
      <c r="B1354" s="259"/>
      <c r="C1354" s="259" t="s">
        <v>1640</v>
      </c>
      <c r="D1354" s="117" t="n">
        <v>143.98</v>
      </c>
      <c r="E1354" s="260" t="n">
        <v>1</v>
      </c>
    </row>
    <row r="1355" customFormat="false" ht="14.25" hidden="true" customHeight="true" outlineLevel="0" collapsed="false">
      <c r="A1355" s="263"/>
      <c r="B1355" s="259"/>
      <c r="C1355" s="259" t="s">
        <v>1641</v>
      </c>
      <c r="D1355" s="117" t="n">
        <v>143.98</v>
      </c>
      <c r="E1355" s="260" t="n">
        <v>1</v>
      </c>
    </row>
    <row r="1356" customFormat="false" ht="14.25" hidden="true" customHeight="true" outlineLevel="0" collapsed="false">
      <c r="A1356" s="263"/>
      <c r="B1356" s="259"/>
      <c r="C1356" s="259" t="s">
        <v>1642</v>
      </c>
      <c r="D1356" s="117" t="n">
        <v>143.98</v>
      </c>
      <c r="E1356" s="260" t="n">
        <v>1</v>
      </c>
    </row>
    <row r="1357" customFormat="false" ht="14.25" hidden="true" customHeight="true" outlineLevel="0" collapsed="false">
      <c r="A1357" s="263"/>
      <c r="B1357" s="259"/>
      <c r="C1357" s="259" t="s">
        <v>1643</v>
      </c>
      <c r="D1357" s="117" t="n">
        <v>143.98</v>
      </c>
      <c r="E1357" s="260" t="n">
        <v>1</v>
      </c>
    </row>
    <row r="1358" customFormat="false" ht="14.25" hidden="true" customHeight="true" outlineLevel="0" collapsed="false">
      <c r="A1358" s="263"/>
      <c r="B1358" s="259"/>
      <c r="C1358" s="259" t="s">
        <v>1644</v>
      </c>
      <c r="D1358" s="117" t="n">
        <v>143.98</v>
      </c>
      <c r="E1358" s="260" t="n">
        <v>1</v>
      </c>
    </row>
    <row r="1359" customFormat="false" ht="14.25" hidden="true" customHeight="true" outlineLevel="0" collapsed="false">
      <c r="A1359" s="263"/>
      <c r="B1359" s="259"/>
      <c r="C1359" s="259" t="s">
        <v>1645</v>
      </c>
      <c r="D1359" s="117" t="n">
        <v>143.98</v>
      </c>
      <c r="E1359" s="260" t="n">
        <v>1</v>
      </c>
    </row>
    <row r="1360" customFormat="false" ht="14.25" hidden="true" customHeight="true" outlineLevel="0" collapsed="false">
      <c r="A1360" s="263"/>
      <c r="B1360" s="259"/>
      <c r="C1360" s="259" t="s">
        <v>1646</v>
      </c>
      <c r="D1360" s="117" t="n">
        <v>143.98</v>
      </c>
      <c r="E1360" s="260" t="n">
        <v>1</v>
      </c>
    </row>
    <row r="1361" customFormat="false" ht="14.25" hidden="true" customHeight="true" outlineLevel="0" collapsed="false">
      <c r="A1361" s="263"/>
      <c r="B1361" s="259"/>
      <c r="C1361" s="259" t="s">
        <v>1647</v>
      </c>
      <c r="D1361" s="117" t="n">
        <v>143.98</v>
      </c>
      <c r="E1361" s="260" t="n">
        <v>1</v>
      </c>
    </row>
    <row r="1362" customFormat="false" ht="14.25" hidden="true" customHeight="true" outlineLevel="0" collapsed="false">
      <c r="A1362" s="263"/>
      <c r="B1362" s="259"/>
      <c r="C1362" s="259" t="s">
        <v>1648</v>
      </c>
      <c r="D1362" s="117" t="n">
        <v>143.98</v>
      </c>
      <c r="E1362" s="260" t="n">
        <v>1</v>
      </c>
    </row>
    <row r="1363" customFormat="false" ht="14.25" hidden="true" customHeight="true" outlineLevel="0" collapsed="false">
      <c r="A1363" s="263"/>
      <c r="B1363" s="259"/>
      <c r="C1363" s="259" t="s">
        <v>1649</v>
      </c>
      <c r="D1363" s="117" t="n">
        <v>143.98</v>
      </c>
      <c r="E1363" s="260" t="n">
        <v>1</v>
      </c>
    </row>
    <row r="1364" customFormat="false" ht="14.25" hidden="true" customHeight="true" outlineLevel="0" collapsed="false">
      <c r="A1364" s="263"/>
      <c r="B1364" s="259"/>
      <c r="C1364" s="259" t="s">
        <v>1650</v>
      </c>
      <c r="D1364" s="117" t="n">
        <v>143.98</v>
      </c>
      <c r="E1364" s="260" t="n">
        <v>1</v>
      </c>
    </row>
    <row r="1365" customFormat="false" ht="14.25" hidden="true" customHeight="true" outlineLevel="0" collapsed="false">
      <c r="A1365" s="263"/>
      <c r="B1365" s="259"/>
      <c r="C1365" s="259" t="s">
        <v>1651</v>
      </c>
      <c r="D1365" s="117" t="n">
        <v>143.98</v>
      </c>
      <c r="E1365" s="260" t="n">
        <v>1</v>
      </c>
    </row>
    <row r="1366" customFormat="false" ht="14.25" hidden="true" customHeight="true" outlineLevel="0" collapsed="false">
      <c r="A1366" s="263"/>
      <c r="B1366" s="259"/>
      <c r="C1366" s="259" t="s">
        <v>1652</v>
      </c>
      <c r="D1366" s="117" t="n">
        <v>143.98</v>
      </c>
      <c r="E1366" s="260" t="n">
        <v>1</v>
      </c>
    </row>
    <row r="1367" customFormat="false" ht="14.25" hidden="true" customHeight="true" outlineLevel="0" collapsed="false">
      <c r="A1367" s="263"/>
      <c r="B1367" s="259"/>
      <c r="C1367" s="259" t="s">
        <v>1653</v>
      </c>
      <c r="D1367" s="117" t="n">
        <v>143.98</v>
      </c>
      <c r="E1367" s="260" t="n">
        <v>1</v>
      </c>
    </row>
    <row r="1368" customFormat="false" ht="14.25" hidden="true" customHeight="true" outlineLevel="0" collapsed="false">
      <c r="A1368" s="263"/>
      <c r="B1368" s="259"/>
      <c r="C1368" s="259" t="s">
        <v>1654</v>
      </c>
      <c r="D1368" s="117" t="n">
        <v>143.98</v>
      </c>
      <c r="E1368" s="260" t="n">
        <v>1</v>
      </c>
    </row>
    <row r="1369" customFormat="false" ht="14.25" hidden="true" customHeight="true" outlineLevel="0" collapsed="false">
      <c r="A1369" s="263"/>
      <c r="B1369" s="259"/>
      <c r="C1369" s="259" t="s">
        <v>1655</v>
      </c>
      <c r="D1369" s="117" t="n">
        <v>143.98</v>
      </c>
      <c r="E1369" s="260" t="n">
        <v>1</v>
      </c>
    </row>
    <row r="1370" customFormat="false" ht="14.25" hidden="true" customHeight="true" outlineLevel="0" collapsed="false">
      <c r="A1370" s="263"/>
      <c r="B1370" s="259"/>
      <c r="C1370" s="259" t="s">
        <v>1656</v>
      </c>
      <c r="D1370" s="117" t="n">
        <v>143.98</v>
      </c>
      <c r="E1370" s="260" t="n">
        <v>1</v>
      </c>
    </row>
    <row r="1371" customFormat="false" ht="14.25" hidden="true" customHeight="true" outlineLevel="0" collapsed="false">
      <c r="A1371" s="263"/>
      <c r="B1371" s="259"/>
      <c r="C1371" s="259" t="s">
        <v>1657</v>
      </c>
      <c r="D1371" s="117" t="n">
        <v>143.98</v>
      </c>
      <c r="E1371" s="260" t="n">
        <v>1</v>
      </c>
    </row>
    <row r="1372" customFormat="false" ht="14.25" hidden="true" customHeight="true" outlineLevel="0" collapsed="false">
      <c r="A1372" s="263"/>
      <c r="B1372" s="259"/>
      <c r="C1372" s="259" t="s">
        <v>1658</v>
      </c>
      <c r="D1372" s="117" t="n">
        <v>143.98</v>
      </c>
      <c r="E1372" s="260" t="n">
        <v>1</v>
      </c>
    </row>
    <row r="1373" customFormat="false" ht="14.25" hidden="true" customHeight="true" outlineLevel="0" collapsed="false">
      <c r="A1373" s="263"/>
      <c r="B1373" s="259"/>
      <c r="C1373" s="259" t="s">
        <v>1659</v>
      </c>
      <c r="D1373" s="117" t="n">
        <v>143.98</v>
      </c>
      <c r="E1373" s="260" t="n">
        <v>1</v>
      </c>
    </row>
    <row r="1374" customFormat="false" ht="14.25" hidden="true" customHeight="true" outlineLevel="0" collapsed="false">
      <c r="A1374" s="263"/>
      <c r="B1374" s="259"/>
      <c r="C1374" s="259" t="s">
        <v>1660</v>
      </c>
      <c r="D1374" s="117" t="n">
        <v>143.98</v>
      </c>
      <c r="E1374" s="260" t="n">
        <v>1</v>
      </c>
    </row>
    <row r="1375" customFormat="false" ht="14.25" hidden="true" customHeight="true" outlineLevel="0" collapsed="false">
      <c r="A1375" s="263"/>
      <c r="B1375" s="259"/>
      <c r="C1375" s="259" t="s">
        <v>1661</v>
      </c>
      <c r="D1375" s="117" t="n">
        <v>143.98</v>
      </c>
      <c r="E1375" s="260" t="n">
        <v>1</v>
      </c>
    </row>
    <row r="1376" customFormat="false" ht="14.25" hidden="true" customHeight="true" outlineLevel="0" collapsed="false">
      <c r="A1376" s="263"/>
      <c r="B1376" s="259"/>
      <c r="C1376" s="259" t="s">
        <v>1662</v>
      </c>
      <c r="D1376" s="117" t="n">
        <v>143.98</v>
      </c>
      <c r="E1376" s="260" t="n">
        <v>1</v>
      </c>
    </row>
    <row r="1377" customFormat="false" ht="14.25" hidden="true" customHeight="true" outlineLevel="0" collapsed="false">
      <c r="A1377" s="263"/>
      <c r="B1377" s="259"/>
      <c r="C1377" s="259" t="s">
        <v>1663</v>
      </c>
      <c r="D1377" s="117" t="n">
        <v>143.98</v>
      </c>
      <c r="E1377" s="260" t="n">
        <v>1</v>
      </c>
    </row>
    <row r="1378" customFormat="false" ht="14.25" hidden="true" customHeight="true" outlineLevel="0" collapsed="false">
      <c r="A1378" s="263"/>
      <c r="B1378" s="259"/>
      <c r="C1378" s="259" t="s">
        <v>1664</v>
      </c>
      <c r="D1378" s="117" t="n">
        <v>143.98</v>
      </c>
      <c r="E1378" s="260" t="n">
        <v>1</v>
      </c>
    </row>
    <row r="1379" customFormat="false" ht="14.25" hidden="true" customHeight="true" outlineLevel="0" collapsed="false">
      <c r="A1379" s="263"/>
      <c r="B1379" s="259"/>
      <c r="C1379" s="259" t="s">
        <v>1665</v>
      </c>
      <c r="D1379" s="117" t="n">
        <v>143.98</v>
      </c>
      <c r="E1379" s="260" t="n">
        <v>1</v>
      </c>
    </row>
    <row r="1380" customFormat="false" ht="14.25" hidden="true" customHeight="true" outlineLevel="0" collapsed="false">
      <c r="A1380" s="263"/>
      <c r="B1380" s="259"/>
      <c r="C1380" s="259" t="s">
        <v>1666</v>
      </c>
      <c r="D1380" s="117" t="n">
        <v>143.98</v>
      </c>
      <c r="E1380" s="260" t="n">
        <v>1</v>
      </c>
    </row>
    <row r="1381" customFormat="false" ht="14.25" hidden="true" customHeight="true" outlineLevel="0" collapsed="false">
      <c r="A1381" s="263"/>
      <c r="B1381" s="259"/>
      <c r="C1381" s="259" t="s">
        <v>1667</v>
      </c>
      <c r="D1381" s="117" t="n">
        <v>143.98</v>
      </c>
      <c r="E1381" s="260" t="n">
        <v>1</v>
      </c>
    </row>
    <row r="1382" customFormat="false" ht="14.25" hidden="true" customHeight="true" outlineLevel="0" collapsed="false">
      <c r="A1382" s="263"/>
      <c r="B1382" s="259"/>
      <c r="C1382" s="259" t="s">
        <v>1668</v>
      </c>
      <c r="D1382" s="117" t="n">
        <v>143.98</v>
      </c>
      <c r="E1382" s="260" t="n">
        <v>1</v>
      </c>
    </row>
    <row r="1383" customFormat="false" ht="14.25" hidden="true" customHeight="true" outlineLevel="0" collapsed="false">
      <c r="A1383" s="263"/>
      <c r="B1383" s="259"/>
      <c r="C1383" s="259" t="s">
        <v>1669</v>
      </c>
      <c r="D1383" s="117" t="n">
        <v>143.98</v>
      </c>
      <c r="E1383" s="260" t="n">
        <v>1</v>
      </c>
    </row>
    <row r="1384" customFormat="false" ht="14.25" hidden="true" customHeight="true" outlineLevel="0" collapsed="false">
      <c r="A1384" s="263"/>
      <c r="B1384" s="259"/>
      <c r="C1384" s="259" t="s">
        <v>1670</v>
      </c>
      <c r="D1384" s="117" t="n">
        <v>143.98</v>
      </c>
      <c r="E1384" s="260" t="n">
        <v>1</v>
      </c>
    </row>
    <row r="1385" customFormat="false" ht="14.25" hidden="true" customHeight="true" outlineLevel="0" collapsed="false">
      <c r="A1385" s="263"/>
      <c r="B1385" s="259"/>
      <c r="C1385" s="259" t="s">
        <v>1671</v>
      </c>
      <c r="D1385" s="117" t="n">
        <v>143.98</v>
      </c>
      <c r="E1385" s="260" t="n">
        <v>1</v>
      </c>
    </row>
    <row r="1386" customFormat="false" ht="14.25" hidden="true" customHeight="true" outlineLevel="0" collapsed="false">
      <c r="A1386" s="263"/>
      <c r="B1386" s="259"/>
      <c r="C1386" s="259" t="s">
        <v>1672</v>
      </c>
      <c r="D1386" s="117" t="n">
        <v>143.98</v>
      </c>
      <c r="E1386" s="260" t="n">
        <v>1</v>
      </c>
    </row>
    <row r="1387" customFormat="false" ht="14.25" hidden="true" customHeight="true" outlineLevel="0" collapsed="false">
      <c r="A1387" s="263"/>
      <c r="B1387" s="259"/>
      <c r="C1387" s="259" t="s">
        <v>1673</v>
      </c>
      <c r="D1387" s="117" t="n">
        <v>143.98</v>
      </c>
      <c r="E1387" s="260" t="n">
        <v>1</v>
      </c>
    </row>
    <row r="1388" customFormat="false" ht="14.25" hidden="true" customHeight="true" outlineLevel="0" collapsed="false">
      <c r="A1388" s="263"/>
      <c r="B1388" s="259"/>
      <c r="C1388" s="259" t="s">
        <v>1674</v>
      </c>
      <c r="D1388" s="117" t="n">
        <v>143.98</v>
      </c>
      <c r="E1388" s="260" t="n">
        <v>1</v>
      </c>
    </row>
    <row r="1389" customFormat="false" ht="14.25" hidden="true" customHeight="true" outlineLevel="0" collapsed="false">
      <c r="A1389" s="263"/>
      <c r="B1389" s="259"/>
      <c r="C1389" s="259" t="s">
        <v>1675</v>
      </c>
      <c r="D1389" s="117" t="n">
        <v>143.98</v>
      </c>
      <c r="E1389" s="260" t="n">
        <v>1</v>
      </c>
    </row>
    <row r="1390" customFormat="false" ht="14.25" hidden="true" customHeight="true" outlineLevel="0" collapsed="false">
      <c r="A1390" s="263"/>
      <c r="B1390" s="259"/>
      <c r="C1390" s="259" t="s">
        <v>1676</v>
      </c>
      <c r="D1390" s="117" t="n">
        <v>143.98</v>
      </c>
      <c r="E1390" s="260" t="n">
        <v>1</v>
      </c>
    </row>
    <row r="1391" customFormat="false" ht="14.25" hidden="true" customHeight="true" outlineLevel="0" collapsed="false">
      <c r="A1391" s="263"/>
      <c r="B1391" s="259"/>
      <c r="C1391" s="259" t="s">
        <v>1677</v>
      </c>
      <c r="D1391" s="117" t="n">
        <v>143.98</v>
      </c>
      <c r="E1391" s="260" t="n">
        <v>1</v>
      </c>
    </row>
    <row r="1392" customFormat="false" ht="14.25" hidden="true" customHeight="true" outlineLevel="0" collapsed="false">
      <c r="A1392" s="263"/>
      <c r="B1392" s="259"/>
      <c r="C1392" s="259" t="s">
        <v>1678</v>
      </c>
      <c r="D1392" s="117" t="n">
        <v>143.98</v>
      </c>
      <c r="E1392" s="260" t="n">
        <v>1</v>
      </c>
    </row>
    <row r="1393" customFormat="false" ht="14.25" hidden="true" customHeight="true" outlineLevel="0" collapsed="false">
      <c r="A1393" s="263"/>
      <c r="B1393" s="259"/>
      <c r="C1393" s="259" t="s">
        <v>1679</v>
      </c>
      <c r="D1393" s="117" t="n">
        <v>143.98</v>
      </c>
      <c r="E1393" s="260" t="n">
        <v>1</v>
      </c>
    </row>
    <row r="1394" customFormat="false" ht="14.25" hidden="true" customHeight="true" outlineLevel="0" collapsed="false">
      <c r="A1394" s="263"/>
      <c r="B1394" s="259"/>
      <c r="C1394" s="259" t="s">
        <v>1680</v>
      </c>
      <c r="D1394" s="117" t="n">
        <v>143.98</v>
      </c>
      <c r="E1394" s="260" t="n">
        <v>1</v>
      </c>
    </row>
    <row r="1395" customFormat="false" ht="14.25" hidden="true" customHeight="true" outlineLevel="0" collapsed="false">
      <c r="A1395" s="263"/>
      <c r="B1395" s="259"/>
      <c r="C1395" s="259" t="s">
        <v>1681</v>
      </c>
      <c r="D1395" s="117" t="n">
        <v>143.98</v>
      </c>
      <c r="E1395" s="260" t="n">
        <v>1</v>
      </c>
    </row>
    <row r="1396" customFormat="false" ht="14.25" hidden="true" customHeight="true" outlineLevel="0" collapsed="false">
      <c r="A1396" s="263"/>
      <c r="B1396" s="259"/>
      <c r="C1396" s="259" t="s">
        <v>1682</v>
      </c>
      <c r="D1396" s="117" t="n">
        <v>143.98</v>
      </c>
      <c r="E1396" s="260" t="n">
        <v>1</v>
      </c>
    </row>
    <row r="1397" customFormat="false" ht="14.25" hidden="true" customHeight="true" outlineLevel="0" collapsed="false">
      <c r="A1397" s="263"/>
      <c r="B1397" s="259"/>
      <c r="C1397" s="259" t="s">
        <v>1683</v>
      </c>
      <c r="D1397" s="117" t="n">
        <v>143.98</v>
      </c>
      <c r="E1397" s="260" t="n">
        <v>1</v>
      </c>
    </row>
    <row r="1398" customFormat="false" ht="14.25" hidden="true" customHeight="true" outlineLevel="0" collapsed="false">
      <c r="A1398" s="263"/>
      <c r="B1398" s="259"/>
      <c r="C1398" s="259" t="s">
        <v>1684</v>
      </c>
      <c r="D1398" s="117" t="n">
        <v>143.98</v>
      </c>
      <c r="E1398" s="260" t="n">
        <v>1</v>
      </c>
    </row>
    <row r="1399" customFormat="false" ht="14.25" hidden="true" customHeight="true" outlineLevel="0" collapsed="false">
      <c r="A1399" s="263"/>
      <c r="B1399" s="259"/>
      <c r="C1399" s="259" t="s">
        <v>1685</v>
      </c>
      <c r="D1399" s="117" t="n">
        <v>143.98</v>
      </c>
      <c r="E1399" s="260" t="n">
        <v>1</v>
      </c>
    </row>
    <row r="1400" customFormat="false" ht="14.25" hidden="true" customHeight="true" outlineLevel="0" collapsed="false">
      <c r="A1400" s="263"/>
      <c r="B1400" s="259"/>
      <c r="C1400" s="259" t="s">
        <v>1686</v>
      </c>
      <c r="D1400" s="117" t="n">
        <v>143.98</v>
      </c>
      <c r="E1400" s="260" t="n">
        <v>1</v>
      </c>
    </row>
    <row r="1401" customFormat="false" ht="14.25" hidden="true" customHeight="true" outlineLevel="0" collapsed="false">
      <c r="A1401" s="263"/>
      <c r="B1401" s="259"/>
      <c r="C1401" s="259" t="s">
        <v>1687</v>
      </c>
      <c r="D1401" s="117" t="n">
        <v>143.98</v>
      </c>
      <c r="E1401" s="260" t="n">
        <v>1</v>
      </c>
    </row>
    <row r="1402" customFormat="false" ht="14.25" hidden="true" customHeight="true" outlineLevel="0" collapsed="false">
      <c r="A1402" s="263"/>
      <c r="B1402" s="259"/>
      <c r="C1402" s="259" t="s">
        <v>1688</v>
      </c>
      <c r="D1402" s="117" t="n">
        <v>140.95</v>
      </c>
      <c r="E1402" s="260" t="n">
        <v>2</v>
      </c>
    </row>
    <row r="1403" customFormat="false" ht="14.25" hidden="true" customHeight="true" outlineLevel="0" collapsed="false">
      <c r="A1403" s="263"/>
      <c r="B1403" s="259"/>
      <c r="C1403" s="259" t="s">
        <v>1689</v>
      </c>
      <c r="D1403" s="117" t="n">
        <v>140.51</v>
      </c>
      <c r="E1403" s="260" t="n">
        <v>2</v>
      </c>
    </row>
    <row r="1404" customFormat="false" ht="14.25" hidden="true" customHeight="true" outlineLevel="0" collapsed="false">
      <c r="A1404" s="263"/>
      <c r="B1404" s="259"/>
      <c r="C1404" s="259" t="s">
        <v>1690</v>
      </c>
      <c r="D1404" s="117" t="n">
        <v>139.35</v>
      </c>
      <c r="E1404" s="260" t="n">
        <v>3</v>
      </c>
    </row>
    <row r="1405" customFormat="false" ht="14.25" hidden="true" customHeight="true" outlineLevel="0" collapsed="false">
      <c r="A1405" s="263"/>
      <c r="B1405" s="259"/>
      <c r="C1405" s="259" t="s">
        <v>1691</v>
      </c>
      <c r="D1405" s="117" t="n">
        <v>137.22</v>
      </c>
      <c r="E1405" s="260" t="n">
        <v>1</v>
      </c>
    </row>
    <row r="1406" customFormat="false" ht="14.25" hidden="true" customHeight="true" outlineLevel="0" collapsed="false">
      <c r="A1406" s="263"/>
      <c r="B1406" s="259"/>
      <c r="C1406" s="259" t="s">
        <v>1692</v>
      </c>
      <c r="D1406" s="117" t="n">
        <v>135.53</v>
      </c>
      <c r="E1406" s="260" t="n">
        <v>1</v>
      </c>
    </row>
    <row r="1407" customFormat="false" ht="14.25" hidden="true" customHeight="true" outlineLevel="0" collapsed="false">
      <c r="A1407" s="263"/>
      <c r="B1407" s="259"/>
      <c r="C1407" s="259" t="s">
        <v>1693</v>
      </c>
      <c r="D1407" s="117" t="n">
        <v>135.53</v>
      </c>
      <c r="E1407" s="260" t="n">
        <v>1</v>
      </c>
    </row>
    <row r="1408" customFormat="false" ht="14.25" hidden="true" customHeight="true" outlineLevel="0" collapsed="false">
      <c r="A1408" s="263"/>
      <c r="B1408" s="259"/>
      <c r="C1408" s="259" t="s">
        <v>1694</v>
      </c>
      <c r="D1408" s="117" t="n">
        <v>135.51</v>
      </c>
      <c r="E1408" s="260" t="n">
        <v>1</v>
      </c>
    </row>
    <row r="1409" customFormat="false" ht="14.25" hidden="true" customHeight="true" outlineLevel="0" collapsed="false">
      <c r="A1409" s="263"/>
      <c r="B1409" s="259"/>
      <c r="C1409" s="259" t="s">
        <v>1695</v>
      </c>
      <c r="D1409" s="117" t="n">
        <v>135.51</v>
      </c>
      <c r="E1409" s="260" t="n">
        <v>1</v>
      </c>
    </row>
    <row r="1410" customFormat="false" ht="14.25" hidden="true" customHeight="true" outlineLevel="0" collapsed="false">
      <c r="A1410" s="263"/>
      <c r="B1410" s="259"/>
      <c r="C1410" s="259" t="s">
        <v>1696</v>
      </c>
      <c r="D1410" s="117" t="n">
        <v>135.51</v>
      </c>
      <c r="E1410" s="260" t="n">
        <v>1</v>
      </c>
    </row>
    <row r="1411" customFormat="false" ht="14.25" hidden="true" customHeight="true" outlineLevel="0" collapsed="false">
      <c r="A1411" s="263"/>
      <c r="B1411" s="259"/>
      <c r="C1411" s="259" t="s">
        <v>1697</v>
      </c>
      <c r="D1411" s="117" t="n">
        <v>135.51</v>
      </c>
      <c r="E1411" s="260" t="n">
        <v>1</v>
      </c>
    </row>
    <row r="1412" customFormat="false" ht="14.25" hidden="true" customHeight="true" outlineLevel="0" collapsed="false">
      <c r="A1412" s="263"/>
      <c r="B1412" s="259"/>
      <c r="C1412" s="259" t="s">
        <v>1698</v>
      </c>
      <c r="D1412" s="117" t="n">
        <v>135.51</v>
      </c>
      <c r="E1412" s="260" t="n">
        <v>1</v>
      </c>
    </row>
    <row r="1413" customFormat="false" ht="14.25" hidden="true" customHeight="true" outlineLevel="0" collapsed="false">
      <c r="A1413" s="263"/>
      <c r="B1413" s="259"/>
      <c r="C1413" s="259" t="s">
        <v>1699</v>
      </c>
      <c r="D1413" s="117" t="n">
        <v>135.51</v>
      </c>
      <c r="E1413" s="260" t="n">
        <v>1</v>
      </c>
    </row>
    <row r="1414" customFormat="false" ht="14.25" hidden="true" customHeight="true" outlineLevel="0" collapsed="false">
      <c r="A1414" s="263"/>
      <c r="B1414" s="259"/>
      <c r="C1414" s="259" t="s">
        <v>1700</v>
      </c>
      <c r="D1414" s="117" t="n">
        <v>135.42</v>
      </c>
      <c r="E1414" s="260" t="n">
        <v>2</v>
      </c>
    </row>
    <row r="1415" customFormat="false" ht="14.25" hidden="true" customHeight="true" outlineLevel="0" collapsed="false">
      <c r="A1415" s="263"/>
      <c r="B1415" s="259"/>
      <c r="C1415" s="259" t="s">
        <v>1701</v>
      </c>
      <c r="D1415" s="117" t="n">
        <v>133.73</v>
      </c>
      <c r="E1415" s="260" t="n">
        <v>2</v>
      </c>
    </row>
    <row r="1416" customFormat="false" ht="14.25" hidden="true" customHeight="true" outlineLevel="0" collapsed="false">
      <c r="A1416" s="263"/>
      <c r="B1416" s="259"/>
      <c r="C1416" s="259" t="s">
        <v>1702</v>
      </c>
      <c r="D1416" s="117" t="n">
        <v>133.5</v>
      </c>
      <c r="E1416" s="260" t="n">
        <v>1</v>
      </c>
    </row>
    <row r="1417" customFormat="false" ht="14.25" hidden="true" customHeight="true" outlineLevel="0" collapsed="false">
      <c r="A1417" s="263"/>
      <c r="B1417" s="259"/>
      <c r="C1417" s="259" t="s">
        <v>1703</v>
      </c>
      <c r="D1417" s="117" t="n">
        <v>133.49</v>
      </c>
      <c r="E1417" s="260" t="n">
        <v>1</v>
      </c>
    </row>
    <row r="1418" customFormat="false" ht="14.25" hidden="true" customHeight="true" outlineLevel="0" collapsed="false">
      <c r="A1418" s="263"/>
      <c r="B1418" s="259"/>
      <c r="C1418" s="259" t="s">
        <v>1704</v>
      </c>
      <c r="D1418" s="117" t="n">
        <v>133.49</v>
      </c>
      <c r="E1418" s="260" t="n">
        <v>1</v>
      </c>
    </row>
    <row r="1419" customFormat="false" ht="14.25" hidden="true" customHeight="true" outlineLevel="0" collapsed="false">
      <c r="A1419" s="263"/>
      <c r="B1419" s="259"/>
      <c r="C1419" s="259" t="s">
        <v>1705</v>
      </c>
      <c r="D1419" s="117" t="n">
        <v>133.12</v>
      </c>
      <c r="E1419" s="260" t="n">
        <v>2</v>
      </c>
    </row>
    <row r="1420" customFormat="false" ht="14.25" hidden="true" customHeight="true" outlineLevel="0" collapsed="false">
      <c r="A1420" s="263"/>
      <c r="B1420" s="259"/>
      <c r="C1420" s="259" t="s">
        <v>1706</v>
      </c>
      <c r="D1420" s="117" t="n">
        <v>133.12</v>
      </c>
      <c r="E1420" s="260" t="n">
        <v>2</v>
      </c>
    </row>
    <row r="1421" customFormat="false" ht="14.25" hidden="true" customHeight="true" outlineLevel="0" collapsed="false">
      <c r="A1421" s="263"/>
      <c r="B1421" s="259"/>
      <c r="C1421" s="259" t="s">
        <v>1707</v>
      </c>
      <c r="D1421" s="117" t="n">
        <v>132.03</v>
      </c>
      <c r="E1421" s="260" t="n">
        <v>2</v>
      </c>
    </row>
    <row r="1422" customFormat="false" ht="14.25" hidden="true" customHeight="true" outlineLevel="0" collapsed="false">
      <c r="A1422" s="263"/>
      <c r="B1422" s="259"/>
      <c r="C1422" s="259" t="s">
        <v>1708</v>
      </c>
      <c r="D1422" s="117" t="n">
        <v>131.11</v>
      </c>
      <c r="E1422" s="260" t="n">
        <v>1</v>
      </c>
    </row>
    <row r="1423" customFormat="false" ht="14.25" hidden="true" customHeight="true" outlineLevel="0" collapsed="false">
      <c r="A1423" s="263"/>
      <c r="B1423" s="259"/>
      <c r="C1423" s="259" t="s">
        <v>1709</v>
      </c>
      <c r="D1423" s="117" t="n">
        <v>129.59</v>
      </c>
      <c r="E1423" s="260" t="n">
        <v>1</v>
      </c>
    </row>
    <row r="1424" customFormat="false" ht="14.25" hidden="true" customHeight="true" outlineLevel="0" collapsed="false">
      <c r="A1424" s="263"/>
      <c r="B1424" s="259"/>
      <c r="C1424" s="259" t="s">
        <v>1710</v>
      </c>
      <c r="D1424" s="117" t="n">
        <v>129.59</v>
      </c>
      <c r="E1424" s="260" t="n">
        <v>1</v>
      </c>
    </row>
    <row r="1425" customFormat="false" ht="14.25" hidden="true" customHeight="true" outlineLevel="0" collapsed="false">
      <c r="A1425" s="263"/>
      <c r="B1425" s="259"/>
      <c r="C1425" s="259" t="s">
        <v>1711</v>
      </c>
      <c r="D1425" s="117" t="n">
        <v>129.59</v>
      </c>
      <c r="E1425" s="260" t="n">
        <v>1</v>
      </c>
    </row>
    <row r="1426" customFormat="false" ht="14.25" hidden="true" customHeight="true" outlineLevel="0" collapsed="false">
      <c r="A1426" s="263"/>
      <c r="B1426" s="259"/>
      <c r="C1426" s="259" t="s">
        <v>1712</v>
      </c>
      <c r="D1426" s="117" t="n">
        <v>129.59</v>
      </c>
      <c r="E1426" s="260" t="n">
        <v>1</v>
      </c>
    </row>
    <row r="1427" customFormat="false" ht="14.25" hidden="true" customHeight="true" outlineLevel="0" collapsed="false">
      <c r="A1427" s="263"/>
      <c r="B1427" s="259"/>
      <c r="C1427" s="259" t="s">
        <v>1713</v>
      </c>
      <c r="D1427" s="117" t="n">
        <v>129.59</v>
      </c>
      <c r="E1427" s="260" t="n">
        <v>1</v>
      </c>
    </row>
    <row r="1428" customFormat="false" ht="14.25" hidden="true" customHeight="true" outlineLevel="0" collapsed="false">
      <c r="A1428" s="263"/>
      <c r="B1428" s="259"/>
      <c r="C1428" s="259" t="s">
        <v>1714</v>
      </c>
      <c r="D1428" s="117" t="n">
        <v>129.59</v>
      </c>
      <c r="E1428" s="260" t="n">
        <v>1</v>
      </c>
    </row>
    <row r="1429" customFormat="false" ht="14.25" hidden="true" customHeight="true" outlineLevel="0" collapsed="false">
      <c r="A1429" s="263"/>
      <c r="B1429" s="259"/>
      <c r="C1429" s="259" t="s">
        <v>1715</v>
      </c>
      <c r="D1429" s="117" t="n">
        <v>129.59</v>
      </c>
      <c r="E1429" s="260" t="n">
        <v>1</v>
      </c>
    </row>
    <row r="1430" customFormat="false" ht="14.25" hidden="true" customHeight="true" outlineLevel="0" collapsed="false">
      <c r="A1430" s="263"/>
      <c r="B1430" s="259"/>
      <c r="C1430" s="259" t="s">
        <v>1716</v>
      </c>
      <c r="D1430" s="117" t="n">
        <v>129.59</v>
      </c>
      <c r="E1430" s="260" t="n">
        <v>1</v>
      </c>
    </row>
    <row r="1431" customFormat="false" ht="14.25" hidden="true" customHeight="true" outlineLevel="0" collapsed="false">
      <c r="A1431" s="263"/>
      <c r="B1431" s="259"/>
      <c r="C1431" s="259" t="s">
        <v>1717</v>
      </c>
      <c r="D1431" s="117" t="n">
        <v>129.59</v>
      </c>
      <c r="E1431" s="260" t="n">
        <v>1</v>
      </c>
    </row>
    <row r="1432" customFormat="false" ht="14.25" hidden="true" customHeight="true" outlineLevel="0" collapsed="false">
      <c r="A1432" s="263"/>
      <c r="B1432" s="259"/>
      <c r="C1432" s="259" t="s">
        <v>1718</v>
      </c>
      <c r="D1432" s="117" t="n">
        <v>129.59</v>
      </c>
      <c r="E1432" s="260" t="n">
        <v>1</v>
      </c>
    </row>
    <row r="1433" customFormat="false" ht="14.25" hidden="true" customHeight="true" outlineLevel="0" collapsed="false">
      <c r="A1433" s="263"/>
      <c r="B1433" s="259"/>
      <c r="C1433" s="259" t="s">
        <v>1719</v>
      </c>
      <c r="D1433" s="117" t="n">
        <v>129.59</v>
      </c>
      <c r="E1433" s="260" t="n">
        <v>1</v>
      </c>
    </row>
    <row r="1434" customFormat="false" ht="14.25" hidden="true" customHeight="true" outlineLevel="0" collapsed="false">
      <c r="A1434" s="263"/>
      <c r="B1434" s="259"/>
      <c r="C1434" s="259" t="s">
        <v>1720</v>
      </c>
      <c r="D1434" s="117" t="n">
        <v>129.59</v>
      </c>
      <c r="E1434" s="260" t="n">
        <v>1</v>
      </c>
    </row>
    <row r="1435" customFormat="false" ht="14.25" hidden="true" customHeight="true" outlineLevel="0" collapsed="false">
      <c r="A1435" s="263"/>
      <c r="B1435" s="259"/>
      <c r="C1435" s="259" t="s">
        <v>1721</v>
      </c>
      <c r="D1435" s="117" t="n">
        <v>129.59</v>
      </c>
      <c r="E1435" s="260" t="n">
        <v>1</v>
      </c>
    </row>
    <row r="1436" customFormat="false" ht="14.25" hidden="true" customHeight="true" outlineLevel="0" collapsed="false">
      <c r="A1436" s="263"/>
      <c r="B1436" s="259"/>
      <c r="C1436" s="259" t="s">
        <v>1722</v>
      </c>
      <c r="D1436" s="117" t="n">
        <v>129.59</v>
      </c>
      <c r="E1436" s="260" t="n">
        <v>1</v>
      </c>
    </row>
    <row r="1437" customFormat="false" ht="14.25" hidden="true" customHeight="true" outlineLevel="0" collapsed="false">
      <c r="A1437" s="263"/>
      <c r="B1437" s="259"/>
      <c r="C1437" s="259" t="s">
        <v>1723</v>
      </c>
      <c r="D1437" s="117" t="n">
        <v>129.59</v>
      </c>
      <c r="E1437" s="260" t="n">
        <v>1</v>
      </c>
    </row>
    <row r="1438" customFormat="false" ht="14.25" hidden="true" customHeight="true" outlineLevel="0" collapsed="false">
      <c r="A1438" s="263"/>
      <c r="B1438" s="259"/>
      <c r="C1438" s="259" t="s">
        <v>1724</v>
      </c>
      <c r="D1438" s="117" t="n">
        <v>129.59</v>
      </c>
      <c r="E1438" s="260" t="n">
        <v>1</v>
      </c>
    </row>
    <row r="1439" customFormat="false" ht="14.25" hidden="true" customHeight="true" outlineLevel="0" collapsed="false">
      <c r="A1439" s="263"/>
      <c r="B1439" s="259"/>
      <c r="C1439" s="259" t="s">
        <v>1725</v>
      </c>
      <c r="D1439" s="117" t="n">
        <v>129.59</v>
      </c>
      <c r="E1439" s="260" t="n">
        <v>1</v>
      </c>
    </row>
    <row r="1440" customFormat="false" ht="14.25" hidden="true" customHeight="true" outlineLevel="0" collapsed="false">
      <c r="A1440" s="263"/>
      <c r="B1440" s="259"/>
      <c r="C1440" s="259" t="s">
        <v>1726</v>
      </c>
      <c r="D1440" s="117" t="n">
        <v>129.59</v>
      </c>
      <c r="E1440" s="260" t="n">
        <v>1</v>
      </c>
    </row>
    <row r="1441" customFormat="false" ht="14.25" hidden="true" customHeight="true" outlineLevel="0" collapsed="false">
      <c r="A1441" s="263"/>
      <c r="B1441" s="259"/>
      <c r="C1441" s="259" t="s">
        <v>1727</v>
      </c>
      <c r="D1441" s="117" t="n">
        <v>129.59</v>
      </c>
      <c r="E1441" s="260" t="n">
        <v>1</v>
      </c>
    </row>
    <row r="1442" customFormat="false" ht="14.25" hidden="true" customHeight="true" outlineLevel="0" collapsed="false">
      <c r="A1442" s="263"/>
      <c r="B1442" s="259"/>
      <c r="C1442" s="259" t="s">
        <v>1728</v>
      </c>
      <c r="D1442" s="117" t="n">
        <v>129.59</v>
      </c>
      <c r="E1442" s="260" t="n">
        <v>1</v>
      </c>
    </row>
    <row r="1443" customFormat="false" ht="14.25" hidden="true" customHeight="true" outlineLevel="0" collapsed="false">
      <c r="A1443" s="263"/>
      <c r="B1443" s="259"/>
      <c r="C1443" s="259" t="s">
        <v>1729</v>
      </c>
      <c r="D1443" s="117" t="n">
        <v>129.59</v>
      </c>
      <c r="E1443" s="260" t="n">
        <v>1</v>
      </c>
    </row>
    <row r="1444" customFormat="false" ht="14.25" hidden="true" customHeight="true" outlineLevel="0" collapsed="false">
      <c r="A1444" s="263"/>
      <c r="B1444" s="259"/>
      <c r="C1444" s="259" t="s">
        <v>1730</v>
      </c>
      <c r="D1444" s="117" t="n">
        <v>129.59</v>
      </c>
      <c r="E1444" s="260" t="n">
        <v>1</v>
      </c>
    </row>
    <row r="1445" customFormat="false" ht="14.25" hidden="true" customHeight="true" outlineLevel="0" collapsed="false">
      <c r="A1445" s="263"/>
      <c r="B1445" s="259"/>
      <c r="C1445" s="259" t="s">
        <v>1731</v>
      </c>
      <c r="D1445" s="117" t="n">
        <v>129.59</v>
      </c>
      <c r="E1445" s="260" t="n">
        <v>1</v>
      </c>
    </row>
    <row r="1446" customFormat="false" ht="14.25" hidden="true" customHeight="true" outlineLevel="0" collapsed="false">
      <c r="A1446" s="263"/>
      <c r="B1446" s="259"/>
      <c r="C1446" s="259" t="s">
        <v>1732</v>
      </c>
      <c r="D1446" s="117" t="n">
        <v>129.59</v>
      </c>
      <c r="E1446" s="260" t="n">
        <v>1</v>
      </c>
    </row>
    <row r="1447" customFormat="false" ht="14.25" hidden="true" customHeight="true" outlineLevel="0" collapsed="false">
      <c r="A1447" s="263"/>
      <c r="B1447" s="259"/>
      <c r="C1447" s="259" t="s">
        <v>1733</v>
      </c>
      <c r="D1447" s="117" t="n">
        <v>129.59</v>
      </c>
      <c r="E1447" s="260" t="n">
        <v>1</v>
      </c>
    </row>
    <row r="1448" customFormat="false" ht="14.25" hidden="true" customHeight="true" outlineLevel="0" collapsed="false">
      <c r="A1448" s="263"/>
      <c r="B1448" s="259"/>
      <c r="C1448" s="259" t="s">
        <v>1734</v>
      </c>
      <c r="D1448" s="117" t="n">
        <v>129.59</v>
      </c>
      <c r="E1448" s="260" t="n">
        <v>1</v>
      </c>
    </row>
    <row r="1449" customFormat="false" ht="14.25" hidden="true" customHeight="true" outlineLevel="0" collapsed="false">
      <c r="A1449" s="263"/>
      <c r="B1449" s="259"/>
      <c r="C1449" s="259" t="s">
        <v>1735</v>
      </c>
      <c r="D1449" s="117" t="n">
        <v>129.59</v>
      </c>
      <c r="E1449" s="260" t="n">
        <v>1</v>
      </c>
    </row>
    <row r="1450" customFormat="false" ht="14.25" hidden="true" customHeight="true" outlineLevel="0" collapsed="false">
      <c r="A1450" s="263"/>
      <c r="B1450" s="259"/>
      <c r="C1450" s="259" t="s">
        <v>1736</v>
      </c>
      <c r="D1450" s="117" t="n">
        <v>129.59</v>
      </c>
      <c r="E1450" s="260" t="n">
        <v>1</v>
      </c>
    </row>
    <row r="1451" customFormat="false" ht="14.25" hidden="true" customHeight="true" outlineLevel="0" collapsed="false">
      <c r="A1451" s="263"/>
      <c r="B1451" s="259"/>
      <c r="C1451" s="259" t="s">
        <v>1737</v>
      </c>
      <c r="D1451" s="117" t="n">
        <v>129.59</v>
      </c>
      <c r="E1451" s="260" t="n">
        <v>1</v>
      </c>
    </row>
    <row r="1452" customFormat="false" ht="14.25" hidden="true" customHeight="true" outlineLevel="0" collapsed="false">
      <c r="A1452" s="263"/>
      <c r="B1452" s="259"/>
      <c r="C1452" s="259" t="s">
        <v>1738</v>
      </c>
      <c r="D1452" s="117" t="n">
        <v>129.59</v>
      </c>
      <c r="E1452" s="260" t="n">
        <v>1</v>
      </c>
    </row>
    <row r="1453" customFormat="false" ht="14.25" hidden="true" customHeight="true" outlineLevel="0" collapsed="false">
      <c r="A1453" s="263"/>
      <c r="B1453" s="259"/>
      <c r="C1453" s="259" t="s">
        <v>1739</v>
      </c>
      <c r="D1453" s="117" t="n">
        <v>129.59</v>
      </c>
      <c r="E1453" s="260" t="n">
        <v>1</v>
      </c>
    </row>
    <row r="1454" customFormat="false" ht="14.25" hidden="true" customHeight="true" outlineLevel="0" collapsed="false">
      <c r="A1454" s="263"/>
      <c r="B1454" s="259"/>
      <c r="C1454" s="259" t="s">
        <v>1740</v>
      </c>
      <c r="D1454" s="117" t="n">
        <v>129.59</v>
      </c>
      <c r="E1454" s="260" t="n">
        <v>1</v>
      </c>
    </row>
    <row r="1455" customFormat="false" ht="14.25" hidden="true" customHeight="true" outlineLevel="0" collapsed="false">
      <c r="A1455" s="263"/>
      <c r="B1455" s="259"/>
      <c r="C1455" s="259" t="s">
        <v>1741</v>
      </c>
      <c r="D1455" s="117" t="n">
        <v>129.59</v>
      </c>
      <c r="E1455" s="260" t="n">
        <v>1</v>
      </c>
    </row>
    <row r="1456" customFormat="false" ht="14.25" hidden="true" customHeight="true" outlineLevel="0" collapsed="false">
      <c r="A1456" s="263"/>
      <c r="B1456" s="259"/>
      <c r="C1456" s="259" t="s">
        <v>1742</v>
      </c>
      <c r="D1456" s="117" t="n">
        <v>129.59</v>
      </c>
      <c r="E1456" s="260" t="n">
        <v>1</v>
      </c>
    </row>
    <row r="1457" customFormat="false" ht="14.25" hidden="true" customHeight="true" outlineLevel="0" collapsed="false">
      <c r="A1457" s="263"/>
      <c r="B1457" s="259"/>
      <c r="C1457" s="259" t="s">
        <v>1743</v>
      </c>
      <c r="D1457" s="117" t="n">
        <v>129.59</v>
      </c>
      <c r="E1457" s="260" t="n">
        <v>1</v>
      </c>
    </row>
    <row r="1458" customFormat="false" ht="14.25" hidden="true" customHeight="true" outlineLevel="0" collapsed="false">
      <c r="A1458" s="263"/>
      <c r="B1458" s="259"/>
      <c r="C1458" s="259" t="s">
        <v>1744</v>
      </c>
      <c r="D1458" s="117" t="n">
        <v>129.59</v>
      </c>
      <c r="E1458" s="260" t="n">
        <v>1</v>
      </c>
    </row>
    <row r="1459" customFormat="false" ht="14.25" hidden="true" customHeight="true" outlineLevel="0" collapsed="false">
      <c r="A1459" s="263"/>
      <c r="B1459" s="259"/>
      <c r="C1459" s="259" t="s">
        <v>1745</v>
      </c>
      <c r="D1459" s="117" t="n">
        <v>129.59</v>
      </c>
      <c r="E1459" s="260" t="n">
        <v>1</v>
      </c>
    </row>
    <row r="1460" customFormat="false" ht="14.25" hidden="true" customHeight="true" outlineLevel="0" collapsed="false">
      <c r="A1460" s="263"/>
      <c r="B1460" s="259"/>
      <c r="C1460" s="259" t="s">
        <v>1746</v>
      </c>
      <c r="D1460" s="117" t="n">
        <v>129.59</v>
      </c>
      <c r="E1460" s="260" t="n">
        <v>1</v>
      </c>
    </row>
    <row r="1461" customFormat="false" ht="14.25" hidden="true" customHeight="true" outlineLevel="0" collapsed="false">
      <c r="A1461" s="263"/>
      <c r="B1461" s="259"/>
      <c r="C1461" s="259" t="s">
        <v>1747</v>
      </c>
      <c r="D1461" s="117" t="n">
        <v>129.59</v>
      </c>
      <c r="E1461" s="260" t="n">
        <v>1</v>
      </c>
    </row>
    <row r="1462" customFormat="false" ht="14.25" hidden="true" customHeight="true" outlineLevel="0" collapsed="false">
      <c r="A1462" s="263"/>
      <c r="B1462" s="259"/>
      <c r="C1462" s="259" t="s">
        <v>1748</v>
      </c>
      <c r="D1462" s="117" t="n">
        <v>129.59</v>
      </c>
      <c r="E1462" s="260" t="n">
        <v>1</v>
      </c>
    </row>
    <row r="1463" customFormat="false" ht="14.25" hidden="true" customHeight="true" outlineLevel="0" collapsed="false">
      <c r="A1463" s="263"/>
      <c r="B1463" s="259"/>
      <c r="C1463" s="259" t="s">
        <v>1749</v>
      </c>
      <c r="D1463" s="117" t="n">
        <v>129.59</v>
      </c>
      <c r="E1463" s="260" t="n">
        <v>1</v>
      </c>
    </row>
    <row r="1464" customFormat="false" ht="14.25" hidden="true" customHeight="true" outlineLevel="0" collapsed="false">
      <c r="A1464" s="263"/>
      <c r="B1464" s="259"/>
      <c r="C1464" s="259" t="s">
        <v>1750</v>
      </c>
      <c r="D1464" s="117" t="n">
        <v>129.59</v>
      </c>
      <c r="E1464" s="260" t="n">
        <v>1</v>
      </c>
    </row>
    <row r="1465" customFormat="false" ht="14.25" hidden="true" customHeight="true" outlineLevel="0" collapsed="false">
      <c r="A1465" s="263"/>
      <c r="B1465" s="259"/>
      <c r="C1465" s="259" t="s">
        <v>1751</v>
      </c>
      <c r="D1465" s="117" t="n">
        <v>129.59</v>
      </c>
      <c r="E1465" s="260" t="n">
        <v>1</v>
      </c>
    </row>
    <row r="1466" customFormat="false" ht="14.25" hidden="true" customHeight="true" outlineLevel="0" collapsed="false">
      <c r="A1466" s="263"/>
      <c r="B1466" s="259"/>
      <c r="C1466" s="259" t="s">
        <v>1752</v>
      </c>
      <c r="D1466" s="117" t="n">
        <v>129.59</v>
      </c>
      <c r="E1466" s="260" t="n">
        <v>1</v>
      </c>
    </row>
    <row r="1467" customFormat="false" ht="14.25" hidden="true" customHeight="true" outlineLevel="0" collapsed="false">
      <c r="A1467" s="263"/>
      <c r="B1467" s="259"/>
      <c r="C1467" s="259" t="s">
        <v>1753</v>
      </c>
      <c r="D1467" s="117" t="n">
        <v>129.59</v>
      </c>
      <c r="E1467" s="260" t="n">
        <v>1</v>
      </c>
    </row>
    <row r="1468" customFormat="false" ht="14.25" hidden="true" customHeight="true" outlineLevel="0" collapsed="false">
      <c r="A1468" s="263"/>
      <c r="B1468" s="259"/>
      <c r="C1468" s="259" t="s">
        <v>1754</v>
      </c>
      <c r="D1468" s="117" t="n">
        <v>129.59</v>
      </c>
      <c r="E1468" s="260" t="n">
        <v>1</v>
      </c>
    </row>
    <row r="1469" customFormat="false" ht="14.25" hidden="true" customHeight="true" outlineLevel="0" collapsed="false">
      <c r="A1469" s="263"/>
      <c r="B1469" s="259"/>
      <c r="C1469" s="259" t="s">
        <v>1755</v>
      </c>
      <c r="D1469" s="117" t="n">
        <v>129.59</v>
      </c>
      <c r="E1469" s="260" t="n">
        <v>1</v>
      </c>
    </row>
    <row r="1470" customFormat="false" ht="14.25" hidden="true" customHeight="true" outlineLevel="0" collapsed="false">
      <c r="A1470" s="263"/>
      <c r="B1470" s="259"/>
      <c r="C1470" s="259" t="s">
        <v>1756</v>
      </c>
      <c r="D1470" s="117" t="n">
        <v>129.59</v>
      </c>
      <c r="E1470" s="260" t="n">
        <v>1</v>
      </c>
    </row>
    <row r="1471" customFormat="false" ht="14.25" hidden="true" customHeight="true" outlineLevel="0" collapsed="false">
      <c r="A1471" s="263"/>
      <c r="B1471" s="259"/>
      <c r="C1471" s="259" t="s">
        <v>1757</v>
      </c>
      <c r="D1471" s="117" t="n">
        <v>129.59</v>
      </c>
      <c r="E1471" s="260" t="n">
        <v>1</v>
      </c>
    </row>
    <row r="1472" customFormat="false" ht="14.25" hidden="true" customHeight="true" outlineLevel="0" collapsed="false">
      <c r="A1472" s="263"/>
      <c r="B1472" s="259"/>
      <c r="C1472" s="259" t="s">
        <v>1758</v>
      </c>
      <c r="D1472" s="117" t="n">
        <v>129.59</v>
      </c>
      <c r="E1472" s="260" t="n">
        <v>1</v>
      </c>
    </row>
    <row r="1473" customFormat="false" ht="14.25" hidden="true" customHeight="true" outlineLevel="0" collapsed="false">
      <c r="A1473" s="263"/>
      <c r="B1473" s="259"/>
      <c r="C1473" s="259" t="s">
        <v>1759</v>
      </c>
      <c r="D1473" s="117" t="n">
        <v>129.59</v>
      </c>
      <c r="E1473" s="260" t="n">
        <v>1</v>
      </c>
    </row>
    <row r="1474" customFormat="false" ht="14.25" hidden="true" customHeight="true" outlineLevel="0" collapsed="false">
      <c r="A1474" s="263"/>
      <c r="B1474" s="259"/>
      <c r="C1474" s="259" t="s">
        <v>1760</v>
      </c>
      <c r="D1474" s="117" t="n">
        <v>129.59</v>
      </c>
      <c r="E1474" s="260" t="n">
        <v>1</v>
      </c>
    </row>
    <row r="1475" customFormat="false" ht="14.25" hidden="true" customHeight="true" outlineLevel="0" collapsed="false">
      <c r="A1475" s="263"/>
      <c r="B1475" s="259"/>
      <c r="C1475" s="259" t="s">
        <v>1761</v>
      </c>
      <c r="D1475" s="117" t="n">
        <v>129.59</v>
      </c>
      <c r="E1475" s="260" t="n">
        <v>1</v>
      </c>
    </row>
    <row r="1476" customFormat="false" ht="14.25" hidden="true" customHeight="true" outlineLevel="0" collapsed="false">
      <c r="A1476" s="263"/>
      <c r="B1476" s="259"/>
      <c r="C1476" s="259" t="s">
        <v>1762</v>
      </c>
      <c r="D1476" s="117" t="n">
        <v>129.59</v>
      </c>
      <c r="E1476" s="260" t="n">
        <v>1</v>
      </c>
    </row>
    <row r="1477" customFormat="false" ht="14.25" hidden="true" customHeight="true" outlineLevel="0" collapsed="false">
      <c r="A1477" s="263"/>
      <c r="B1477" s="259"/>
      <c r="C1477" s="259" t="s">
        <v>1763</v>
      </c>
      <c r="D1477" s="117" t="n">
        <v>129.59</v>
      </c>
      <c r="E1477" s="260" t="n">
        <v>1</v>
      </c>
    </row>
    <row r="1478" customFormat="false" ht="14.25" hidden="true" customHeight="true" outlineLevel="0" collapsed="false">
      <c r="A1478" s="263"/>
      <c r="B1478" s="259"/>
      <c r="C1478" s="259" t="s">
        <v>1764</v>
      </c>
      <c r="D1478" s="117" t="n">
        <v>129.59</v>
      </c>
      <c r="E1478" s="260" t="n">
        <v>1</v>
      </c>
    </row>
    <row r="1479" customFormat="false" ht="14.25" hidden="true" customHeight="true" outlineLevel="0" collapsed="false">
      <c r="A1479" s="263"/>
      <c r="B1479" s="259"/>
      <c r="C1479" s="259" t="s">
        <v>1765</v>
      </c>
      <c r="D1479" s="117" t="n">
        <v>129.59</v>
      </c>
      <c r="E1479" s="260" t="n">
        <v>1</v>
      </c>
    </row>
    <row r="1480" customFormat="false" ht="14.25" hidden="true" customHeight="true" outlineLevel="0" collapsed="false">
      <c r="A1480" s="263"/>
      <c r="B1480" s="259"/>
      <c r="C1480" s="259" t="s">
        <v>1766</v>
      </c>
      <c r="D1480" s="117" t="n">
        <v>129.59</v>
      </c>
      <c r="E1480" s="260" t="n">
        <v>1</v>
      </c>
    </row>
    <row r="1481" customFormat="false" ht="14.25" hidden="true" customHeight="true" outlineLevel="0" collapsed="false">
      <c r="A1481" s="263"/>
      <c r="B1481" s="259"/>
      <c r="C1481" s="259" t="s">
        <v>1767</v>
      </c>
      <c r="D1481" s="117" t="n">
        <v>129.59</v>
      </c>
      <c r="E1481" s="260" t="n">
        <v>1</v>
      </c>
    </row>
    <row r="1482" customFormat="false" ht="14.25" hidden="true" customHeight="true" outlineLevel="0" collapsed="false">
      <c r="A1482" s="263"/>
      <c r="B1482" s="259"/>
      <c r="C1482" s="259" t="s">
        <v>1768</v>
      </c>
      <c r="D1482" s="117" t="n">
        <v>129.59</v>
      </c>
      <c r="E1482" s="260" t="n">
        <v>1</v>
      </c>
    </row>
    <row r="1483" customFormat="false" ht="14.25" hidden="true" customHeight="true" outlineLevel="0" collapsed="false">
      <c r="A1483" s="263"/>
      <c r="B1483" s="259"/>
      <c r="C1483" s="259" t="s">
        <v>1769</v>
      </c>
      <c r="D1483" s="117" t="n">
        <v>129.59</v>
      </c>
      <c r="E1483" s="260" t="n">
        <v>1</v>
      </c>
    </row>
    <row r="1484" customFormat="false" ht="14.25" hidden="true" customHeight="true" outlineLevel="0" collapsed="false">
      <c r="A1484" s="263"/>
      <c r="B1484" s="259"/>
      <c r="C1484" s="259" t="s">
        <v>1770</v>
      </c>
      <c r="D1484" s="117" t="n">
        <v>129.59</v>
      </c>
      <c r="E1484" s="260" t="n">
        <v>1</v>
      </c>
    </row>
    <row r="1485" customFormat="false" ht="14.25" hidden="true" customHeight="true" outlineLevel="0" collapsed="false">
      <c r="A1485" s="263"/>
      <c r="B1485" s="259"/>
      <c r="C1485" s="259" t="s">
        <v>1771</v>
      </c>
      <c r="D1485" s="117" t="n">
        <v>129.59</v>
      </c>
      <c r="E1485" s="260" t="n">
        <v>1</v>
      </c>
    </row>
    <row r="1486" customFormat="false" ht="14.25" hidden="true" customHeight="true" outlineLevel="0" collapsed="false">
      <c r="A1486" s="263"/>
      <c r="B1486" s="259"/>
      <c r="C1486" s="259" t="s">
        <v>1772</v>
      </c>
      <c r="D1486" s="117" t="n">
        <v>129.59</v>
      </c>
      <c r="E1486" s="260" t="n">
        <v>1</v>
      </c>
    </row>
    <row r="1487" customFormat="false" ht="14.25" hidden="true" customHeight="true" outlineLevel="0" collapsed="false">
      <c r="A1487" s="263"/>
      <c r="B1487" s="259"/>
      <c r="C1487" s="259" t="s">
        <v>1773</v>
      </c>
      <c r="D1487" s="117" t="n">
        <v>129.59</v>
      </c>
      <c r="E1487" s="260" t="n">
        <v>1</v>
      </c>
    </row>
    <row r="1488" customFormat="false" ht="14.25" hidden="true" customHeight="true" outlineLevel="0" collapsed="false">
      <c r="A1488" s="263"/>
      <c r="B1488" s="259"/>
      <c r="C1488" s="259" t="s">
        <v>1774</v>
      </c>
      <c r="D1488" s="117" t="n">
        <v>129.59</v>
      </c>
      <c r="E1488" s="260" t="n">
        <v>1</v>
      </c>
    </row>
    <row r="1489" customFormat="false" ht="14.25" hidden="true" customHeight="true" outlineLevel="0" collapsed="false">
      <c r="A1489" s="263"/>
      <c r="B1489" s="259"/>
      <c r="C1489" s="259" t="s">
        <v>1775</v>
      </c>
      <c r="D1489" s="117" t="n">
        <v>129.59</v>
      </c>
      <c r="E1489" s="260" t="n">
        <v>1</v>
      </c>
    </row>
    <row r="1490" customFormat="false" ht="14.25" hidden="true" customHeight="true" outlineLevel="0" collapsed="false">
      <c r="A1490" s="263"/>
      <c r="B1490" s="259"/>
      <c r="C1490" s="259" t="s">
        <v>1776</v>
      </c>
      <c r="D1490" s="117" t="n">
        <v>129.59</v>
      </c>
      <c r="E1490" s="260" t="n">
        <v>1</v>
      </c>
    </row>
    <row r="1491" customFormat="false" ht="14.25" hidden="true" customHeight="true" outlineLevel="0" collapsed="false">
      <c r="A1491" s="263"/>
      <c r="B1491" s="259"/>
      <c r="C1491" s="259" t="s">
        <v>1777</v>
      </c>
      <c r="D1491" s="117" t="n">
        <v>129.59</v>
      </c>
      <c r="E1491" s="260" t="n">
        <v>1</v>
      </c>
    </row>
    <row r="1492" customFormat="false" ht="14.25" hidden="true" customHeight="true" outlineLevel="0" collapsed="false">
      <c r="A1492" s="263"/>
      <c r="B1492" s="259"/>
      <c r="C1492" s="259" t="s">
        <v>1778</v>
      </c>
      <c r="D1492" s="117" t="n">
        <v>129.59</v>
      </c>
      <c r="E1492" s="260" t="n">
        <v>1</v>
      </c>
    </row>
    <row r="1493" customFormat="false" ht="14.25" hidden="true" customHeight="true" outlineLevel="0" collapsed="false">
      <c r="A1493" s="263"/>
      <c r="B1493" s="259"/>
      <c r="C1493" s="259" t="s">
        <v>1779</v>
      </c>
      <c r="D1493" s="117" t="n">
        <v>129.59</v>
      </c>
      <c r="E1493" s="260" t="n">
        <v>1</v>
      </c>
    </row>
    <row r="1494" customFormat="false" ht="14.25" hidden="true" customHeight="true" outlineLevel="0" collapsed="false">
      <c r="A1494" s="263"/>
      <c r="B1494" s="259"/>
      <c r="C1494" s="259" t="s">
        <v>1780</v>
      </c>
      <c r="D1494" s="117" t="n">
        <v>129.59</v>
      </c>
      <c r="E1494" s="260" t="n">
        <v>1</v>
      </c>
    </row>
    <row r="1495" customFormat="false" ht="14.25" hidden="true" customHeight="true" outlineLevel="0" collapsed="false">
      <c r="A1495" s="263"/>
      <c r="B1495" s="259"/>
      <c r="C1495" s="259" t="s">
        <v>1781</v>
      </c>
      <c r="D1495" s="117" t="n">
        <v>129.59</v>
      </c>
      <c r="E1495" s="260" t="n">
        <v>1</v>
      </c>
    </row>
    <row r="1496" customFormat="false" ht="14.25" hidden="true" customHeight="true" outlineLevel="0" collapsed="false">
      <c r="A1496" s="263"/>
      <c r="B1496" s="259"/>
      <c r="C1496" s="259" t="s">
        <v>1782</v>
      </c>
      <c r="D1496" s="117" t="n">
        <v>129.59</v>
      </c>
      <c r="E1496" s="260" t="n">
        <v>1</v>
      </c>
    </row>
    <row r="1497" customFormat="false" ht="14.25" hidden="true" customHeight="true" outlineLevel="0" collapsed="false">
      <c r="A1497" s="263"/>
      <c r="B1497" s="259"/>
      <c r="C1497" s="259" t="s">
        <v>1783</v>
      </c>
      <c r="D1497" s="117" t="n">
        <v>129.59</v>
      </c>
      <c r="E1497" s="260" t="n">
        <v>1</v>
      </c>
    </row>
    <row r="1498" customFormat="false" ht="14.25" hidden="true" customHeight="true" outlineLevel="0" collapsed="false">
      <c r="A1498" s="263"/>
      <c r="B1498" s="259"/>
      <c r="C1498" s="259" t="s">
        <v>1784</v>
      </c>
      <c r="D1498" s="117" t="n">
        <v>129.59</v>
      </c>
      <c r="E1498" s="260" t="n">
        <v>1</v>
      </c>
    </row>
    <row r="1499" customFormat="false" ht="14.25" hidden="true" customHeight="true" outlineLevel="0" collapsed="false">
      <c r="A1499" s="263"/>
      <c r="B1499" s="259"/>
      <c r="C1499" s="259" t="s">
        <v>1785</v>
      </c>
      <c r="D1499" s="117" t="n">
        <v>129.59</v>
      </c>
      <c r="E1499" s="260" t="n">
        <v>1</v>
      </c>
    </row>
    <row r="1500" customFormat="false" ht="14.25" hidden="true" customHeight="true" outlineLevel="0" collapsed="false">
      <c r="A1500" s="263"/>
      <c r="B1500" s="259"/>
      <c r="C1500" s="259" t="s">
        <v>1786</v>
      </c>
      <c r="D1500" s="117" t="n">
        <v>129.59</v>
      </c>
      <c r="E1500" s="260" t="n">
        <v>1</v>
      </c>
    </row>
    <row r="1501" customFormat="false" ht="14.25" hidden="true" customHeight="true" outlineLevel="0" collapsed="false">
      <c r="A1501" s="263"/>
      <c r="B1501" s="259"/>
      <c r="C1501" s="259" t="s">
        <v>1787</v>
      </c>
      <c r="D1501" s="117" t="n">
        <v>129.59</v>
      </c>
      <c r="E1501" s="260" t="n">
        <v>1</v>
      </c>
    </row>
    <row r="1502" customFormat="false" ht="14.25" hidden="true" customHeight="true" outlineLevel="0" collapsed="false">
      <c r="A1502" s="263"/>
      <c r="B1502" s="259"/>
      <c r="C1502" s="259" t="s">
        <v>1788</v>
      </c>
      <c r="D1502" s="117" t="n">
        <v>129.59</v>
      </c>
      <c r="E1502" s="260" t="n">
        <v>1</v>
      </c>
    </row>
    <row r="1503" customFormat="false" ht="14.25" hidden="true" customHeight="true" outlineLevel="0" collapsed="false">
      <c r="A1503" s="263"/>
      <c r="B1503" s="259"/>
      <c r="C1503" s="259" t="s">
        <v>1789</v>
      </c>
      <c r="D1503" s="117" t="n">
        <v>129.59</v>
      </c>
      <c r="E1503" s="260" t="n">
        <v>1</v>
      </c>
    </row>
    <row r="1504" customFormat="false" ht="14.25" hidden="true" customHeight="true" outlineLevel="0" collapsed="false">
      <c r="A1504" s="263"/>
      <c r="B1504" s="259"/>
      <c r="C1504" s="259" t="s">
        <v>1790</v>
      </c>
      <c r="D1504" s="117" t="n">
        <v>129.59</v>
      </c>
      <c r="E1504" s="260" t="n">
        <v>1</v>
      </c>
    </row>
    <row r="1505" customFormat="false" ht="14.25" hidden="true" customHeight="true" outlineLevel="0" collapsed="false">
      <c r="A1505" s="263"/>
      <c r="B1505" s="259"/>
      <c r="C1505" s="259" t="s">
        <v>1791</v>
      </c>
      <c r="D1505" s="117" t="n">
        <v>129.59</v>
      </c>
      <c r="E1505" s="260" t="n">
        <v>1</v>
      </c>
    </row>
    <row r="1506" customFormat="false" ht="14.25" hidden="true" customHeight="true" outlineLevel="0" collapsed="false">
      <c r="A1506" s="263"/>
      <c r="B1506" s="259"/>
      <c r="C1506" s="259" t="s">
        <v>1792</v>
      </c>
      <c r="D1506" s="117" t="n">
        <v>129.59</v>
      </c>
      <c r="E1506" s="260" t="n">
        <v>1</v>
      </c>
    </row>
    <row r="1507" customFormat="false" ht="14.25" hidden="true" customHeight="true" outlineLevel="0" collapsed="false">
      <c r="A1507" s="263"/>
      <c r="B1507" s="259"/>
      <c r="C1507" s="259" t="s">
        <v>1793</v>
      </c>
      <c r="D1507" s="117" t="n">
        <v>129.59</v>
      </c>
      <c r="E1507" s="260" t="n">
        <v>1</v>
      </c>
    </row>
    <row r="1508" customFormat="false" ht="14.25" hidden="true" customHeight="true" outlineLevel="0" collapsed="false">
      <c r="A1508" s="263"/>
      <c r="B1508" s="259"/>
      <c r="C1508" s="259" t="s">
        <v>1794</v>
      </c>
      <c r="D1508" s="117" t="n">
        <v>129.59</v>
      </c>
      <c r="E1508" s="260" t="n">
        <v>1</v>
      </c>
    </row>
    <row r="1509" customFormat="false" ht="14.25" hidden="true" customHeight="true" outlineLevel="0" collapsed="false">
      <c r="A1509" s="263"/>
      <c r="B1509" s="259"/>
      <c r="C1509" s="259" t="s">
        <v>1795</v>
      </c>
      <c r="D1509" s="117" t="n">
        <v>129.59</v>
      </c>
      <c r="E1509" s="260" t="n">
        <v>1</v>
      </c>
    </row>
    <row r="1510" customFormat="false" ht="14.25" hidden="true" customHeight="true" outlineLevel="0" collapsed="false">
      <c r="A1510" s="263"/>
      <c r="B1510" s="259"/>
      <c r="C1510" s="259" t="s">
        <v>1796</v>
      </c>
      <c r="D1510" s="117" t="n">
        <v>129.59</v>
      </c>
      <c r="E1510" s="260" t="n">
        <v>1</v>
      </c>
    </row>
    <row r="1511" customFormat="false" ht="14.25" hidden="true" customHeight="true" outlineLevel="0" collapsed="false">
      <c r="A1511" s="263"/>
      <c r="B1511" s="259"/>
      <c r="C1511" s="259" t="s">
        <v>1797</v>
      </c>
      <c r="D1511" s="117" t="n">
        <v>129.59</v>
      </c>
      <c r="E1511" s="260" t="n">
        <v>1</v>
      </c>
    </row>
    <row r="1512" customFormat="false" ht="14.25" hidden="true" customHeight="true" outlineLevel="0" collapsed="false">
      <c r="A1512" s="263"/>
      <c r="B1512" s="259"/>
      <c r="C1512" s="259" t="s">
        <v>1798</v>
      </c>
      <c r="D1512" s="117" t="n">
        <v>129.59</v>
      </c>
      <c r="E1512" s="260" t="n">
        <v>1</v>
      </c>
    </row>
    <row r="1513" customFormat="false" ht="14.25" hidden="true" customHeight="true" outlineLevel="0" collapsed="false">
      <c r="A1513" s="263"/>
      <c r="B1513" s="259"/>
      <c r="C1513" s="259" t="s">
        <v>1799</v>
      </c>
      <c r="D1513" s="117" t="n">
        <v>129.59</v>
      </c>
      <c r="E1513" s="260" t="n">
        <v>1</v>
      </c>
    </row>
    <row r="1514" customFormat="false" ht="14.25" hidden="true" customHeight="true" outlineLevel="0" collapsed="false">
      <c r="A1514" s="263"/>
      <c r="B1514" s="259"/>
      <c r="C1514" s="259" t="s">
        <v>1800</v>
      </c>
      <c r="D1514" s="117" t="n">
        <v>129.59</v>
      </c>
      <c r="E1514" s="260" t="n">
        <v>1</v>
      </c>
    </row>
    <row r="1515" customFormat="false" ht="14.25" hidden="true" customHeight="true" outlineLevel="0" collapsed="false">
      <c r="A1515" s="263"/>
      <c r="B1515" s="259"/>
      <c r="C1515" s="259" t="s">
        <v>1801</v>
      </c>
      <c r="D1515" s="117" t="n">
        <v>129.59</v>
      </c>
      <c r="E1515" s="260" t="n">
        <v>1</v>
      </c>
    </row>
    <row r="1516" customFormat="false" ht="14.25" hidden="true" customHeight="true" outlineLevel="0" collapsed="false">
      <c r="A1516" s="263"/>
      <c r="B1516" s="259"/>
      <c r="C1516" s="259" t="s">
        <v>1802</v>
      </c>
      <c r="D1516" s="117" t="n">
        <v>129.59</v>
      </c>
      <c r="E1516" s="260" t="n">
        <v>1</v>
      </c>
    </row>
    <row r="1517" customFormat="false" ht="14.25" hidden="true" customHeight="true" outlineLevel="0" collapsed="false">
      <c r="A1517" s="263"/>
      <c r="B1517" s="259"/>
      <c r="C1517" s="259" t="s">
        <v>1803</v>
      </c>
      <c r="D1517" s="117" t="n">
        <v>129.59</v>
      </c>
      <c r="E1517" s="260" t="n">
        <v>1</v>
      </c>
    </row>
    <row r="1518" customFormat="false" ht="14.25" hidden="true" customHeight="true" outlineLevel="0" collapsed="false">
      <c r="A1518" s="263"/>
      <c r="B1518" s="259"/>
      <c r="C1518" s="259" t="s">
        <v>1804</v>
      </c>
      <c r="D1518" s="117" t="n">
        <v>129.59</v>
      </c>
      <c r="E1518" s="260" t="n">
        <v>1</v>
      </c>
    </row>
    <row r="1519" customFormat="false" ht="14.25" hidden="true" customHeight="true" outlineLevel="0" collapsed="false">
      <c r="A1519" s="263"/>
      <c r="B1519" s="259"/>
      <c r="C1519" s="259" t="s">
        <v>1805</v>
      </c>
      <c r="D1519" s="117" t="n">
        <v>129.59</v>
      </c>
      <c r="E1519" s="260" t="n">
        <v>1</v>
      </c>
    </row>
    <row r="1520" customFormat="false" ht="14.25" hidden="true" customHeight="true" outlineLevel="0" collapsed="false">
      <c r="A1520" s="263"/>
      <c r="B1520" s="259"/>
      <c r="C1520" s="259" t="s">
        <v>1806</v>
      </c>
      <c r="D1520" s="117" t="n">
        <v>129.59</v>
      </c>
      <c r="E1520" s="260" t="n">
        <v>1</v>
      </c>
    </row>
    <row r="1521" customFormat="false" ht="14.25" hidden="true" customHeight="true" outlineLevel="0" collapsed="false">
      <c r="A1521" s="263"/>
      <c r="B1521" s="259"/>
      <c r="C1521" s="259" t="s">
        <v>1807</v>
      </c>
      <c r="D1521" s="117" t="n">
        <v>129.59</v>
      </c>
      <c r="E1521" s="260" t="n">
        <v>1</v>
      </c>
    </row>
    <row r="1522" customFormat="false" ht="14.25" hidden="true" customHeight="true" outlineLevel="0" collapsed="false">
      <c r="A1522" s="263"/>
      <c r="B1522" s="259"/>
      <c r="C1522" s="259" t="s">
        <v>1808</v>
      </c>
      <c r="D1522" s="117" t="n">
        <v>129.58</v>
      </c>
      <c r="E1522" s="260" t="n">
        <v>1</v>
      </c>
    </row>
    <row r="1523" customFormat="false" ht="14.25" hidden="true" customHeight="true" outlineLevel="0" collapsed="false">
      <c r="A1523" s="263"/>
      <c r="B1523" s="259"/>
      <c r="C1523" s="259" t="s">
        <v>1809</v>
      </c>
      <c r="D1523" s="117" t="n">
        <v>129.58</v>
      </c>
      <c r="E1523" s="260" t="n">
        <v>1</v>
      </c>
    </row>
    <row r="1524" customFormat="false" ht="14.25" hidden="true" customHeight="true" outlineLevel="0" collapsed="false">
      <c r="A1524" s="263"/>
      <c r="B1524" s="259"/>
      <c r="C1524" s="259" t="s">
        <v>1810</v>
      </c>
      <c r="D1524" s="117" t="n">
        <v>129.58</v>
      </c>
      <c r="E1524" s="260" t="n">
        <v>1</v>
      </c>
    </row>
    <row r="1525" customFormat="false" ht="14.25" hidden="true" customHeight="true" outlineLevel="0" collapsed="false">
      <c r="A1525" s="263"/>
      <c r="B1525" s="259"/>
      <c r="C1525" s="259" t="s">
        <v>1811</v>
      </c>
      <c r="D1525" s="117" t="n">
        <v>129.58</v>
      </c>
      <c r="E1525" s="260" t="n">
        <v>1</v>
      </c>
    </row>
    <row r="1526" customFormat="false" ht="14.25" hidden="true" customHeight="true" outlineLevel="0" collapsed="false">
      <c r="A1526" s="263"/>
      <c r="B1526" s="259"/>
      <c r="C1526" s="259" t="s">
        <v>1812</v>
      </c>
      <c r="D1526" s="117" t="n">
        <v>129.58</v>
      </c>
      <c r="E1526" s="260" t="n">
        <v>1</v>
      </c>
    </row>
    <row r="1527" customFormat="false" ht="14.25" hidden="true" customHeight="true" outlineLevel="0" collapsed="false">
      <c r="A1527" s="263"/>
      <c r="B1527" s="259"/>
      <c r="C1527" s="259" t="s">
        <v>1813</v>
      </c>
      <c r="D1527" s="117" t="n">
        <v>129.58</v>
      </c>
      <c r="E1527" s="260" t="n">
        <v>1</v>
      </c>
    </row>
    <row r="1528" customFormat="false" ht="14.25" hidden="true" customHeight="true" outlineLevel="0" collapsed="false">
      <c r="A1528" s="263"/>
      <c r="B1528" s="259"/>
      <c r="C1528" s="259" t="s">
        <v>1814</v>
      </c>
      <c r="D1528" s="117" t="n">
        <v>129.58</v>
      </c>
      <c r="E1528" s="260" t="n">
        <v>1</v>
      </c>
    </row>
    <row r="1529" customFormat="false" ht="14.25" hidden="true" customHeight="true" outlineLevel="0" collapsed="false">
      <c r="A1529" s="263"/>
      <c r="B1529" s="259"/>
      <c r="C1529" s="259" t="s">
        <v>1815</v>
      </c>
      <c r="D1529" s="117" t="n">
        <v>129.58</v>
      </c>
      <c r="E1529" s="260" t="n">
        <v>1</v>
      </c>
    </row>
    <row r="1530" customFormat="false" ht="14.25" hidden="true" customHeight="true" outlineLevel="0" collapsed="false">
      <c r="A1530" s="263"/>
      <c r="B1530" s="259"/>
      <c r="C1530" s="259" t="s">
        <v>1816</v>
      </c>
      <c r="D1530" s="117" t="n">
        <v>129.58</v>
      </c>
      <c r="E1530" s="260" t="n">
        <v>1</v>
      </c>
    </row>
    <row r="1531" customFormat="false" ht="14.25" hidden="true" customHeight="true" outlineLevel="0" collapsed="false">
      <c r="A1531" s="263"/>
      <c r="B1531" s="259"/>
      <c r="C1531" s="259" t="s">
        <v>1817</v>
      </c>
      <c r="D1531" s="117" t="n">
        <v>129.58</v>
      </c>
      <c r="E1531" s="260" t="n">
        <v>1</v>
      </c>
    </row>
    <row r="1532" customFormat="false" ht="14.25" hidden="true" customHeight="true" outlineLevel="0" collapsed="false">
      <c r="A1532" s="263"/>
      <c r="B1532" s="259"/>
      <c r="C1532" s="259" t="s">
        <v>1818</v>
      </c>
      <c r="D1532" s="117" t="n">
        <v>129.58</v>
      </c>
      <c r="E1532" s="260" t="n">
        <v>1</v>
      </c>
    </row>
    <row r="1533" customFormat="false" ht="14.25" hidden="true" customHeight="true" outlineLevel="0" collapsed="false">
      <c r="A1533" s="263"/>
      <c r="B1533" s="259"/>
      <c r="C1533" s="259" t="s">
        <v>1819</v>
      </c>
      <c r="D1533" s="117" t="n">
        <v>129.58</v>
      </c>
      <c r="E1533" s="260" t="n">
        <v>1</v>
      </c>
    </row>
    <row r="1534" customFormat="false" ht="14.25" hidden="true" customHeight="true" outlineLevel="0" collapsed="false">
      <c r="A1534" s="263"/>
      <c r="B1534" s="259"/>
      <c r="C1534" s="259" t="s">
        <v>1820</v>
      </c>
      <c r="D1534" s="117" t="n">
        <v>129.58</v>
      </c>
      <c r="E1534" s="260" t="n">
        <v>1</v>
      </c>
    </row>
    <row r="1535" customFormat="false" ht="14.25" hidden="true" customHeight="true" outlineLevel="0" collapsed="false">
      <c r="A1535" s="263"/>
      <c r="B1535" s="259"/>
      <c r="C1535" s="259" t="s">
        <v>1821</v>
      </c>
      <c r="D1535" s="117" t="n">
        <v>129.58</v>
      </c>
      <c r="E1535" s="260" t="n">
        <v>1</v>
      </c>
    </row>
    <row r="1536" customFormat="false" ht="14.25" hidden="true" customHeight="true" outlineLevel="0" collapsed="false">
      <c r="A1536" s="263"/>
      <c r="B1536" s="259"/>
      <c r="C1536" s="259" t="s">
        <v>1822</v>
      </c>
      <c r="D1536" s="117" t="n">
        <v>129.58</v>
      </c>
      <c r="E1536" s="260" t="n">
        <v>1</v>
      </c>
    </row>
    <row r="1537" customFormat="false" ht="14.25" hidden="true" customHeight="true" outlineLevel="0" collapsed="false">
      <c r="A1537" s="263"/>
      <c r="B1537" s="259"/>
      <c r="C1537" s="259" t="s">
        <v>1823</v>
      </c>
      <c r="D1537" s="117" t="n">
        <v>129.58</v>
      </c>
      <c r="E1537" s="260" t="n">
        <v>1</v>
      </c>
    </row>
    <row r="1538" customFormat="false" ht="14.25" hidden="true" customHeight="true" outlineLevel="0" collapsed="false">
      <c r="A1538" s="263"/>
      <c r="B1538" s="259"/>
      <c r="C1538" s="259" t="s">
        <v>1824</v>
      </c>
      <c r="D1538" s="117" t="n">
        <v>129.58</v>
      </c>
      <c r="E1538" s="260" t="n">
        <v>1</v>
      </c>
    </row>
    <row r="1539" customFormat="false" ht="14.25" hidden="true" customHeight="true" outlineLevel="0" collapsed="false">
      <c r="A1539" s="263"/>
      <c r="B1539" s="259"/>
      <c r="C1539" s="259" t="s">
        <v>1825</v>
      </c>
      <c r="D1539" s="117" t="n">
        <v>129.58</v>
      </c>
      <c r="E1539" s="260" t="n">
        <v>1</v>
      </c>
    </row>
    <row r="1540" customFormat="false" ht="14.25" hidden="true" customHeight="true" outlineLevel="0" collapsed="false">
      <c r="A1540" s="263"/>
      <c r="B1540" s="259"/>
      <c r="C1540" s="259" t="s">
        <v>1826</v>
      </c>
      <c r="D1540" s="117" t="n">
        <v>129.58</v>
      </c>
      <c r="E1540" s="260" t="n">
        <v>1</v>
      </c>
    </row>
    <row r="1541" customFormat="false" ht="14.25" hidden="true" customHeight="true" outlineLevel="0" collapsed="false">
      <c r="A1541" s="263"/>
      <c r="B1541" s="259"/>
      <c r="C1541" s="259" t="s">
        <v>1827</v>
      </c>
      <c r="D1541" s="117" t="n">
        <v>129.58</v>
      </c>
      <c r="E1541" s="260" t="n">
        <v>1</v>
      </c>
    </row>
    <row r="1542" customFormat="false" ht="14.25" hidden="true" customHeight="true" outlineLevel="0" collapsed="false">
      <c r="A1542" s="263"/>
      <c r="B1542" s="259"/>
      <c r="C1542" s="259" t="s">
        <v>1828</v>
      </c>
      <c r="D1542" s="117" t="n">
        <v>129.58</v>
      </c>
      <c r="E1542" s="260" t="n">
        <v>1</v>
      </c>
    </row>
    <row r="1543" customFormat="false" ht="14.25" hidden="true" customHeight="true" outlineLevel="0" collapsed="false">
      <c r="A1543" s="263"/>
      <c r="B1543" s="259"/>
      <c r="C1543" s="259" t="s">
        <v>1829</v>
      </c>
      <c r="D1543" s="117" t="n">
        <v>129.58</v>
      </c>
      <c r="E1543" s="260" t="n">
        <v>1</v>
      </c>
    </row>
    <row r="1544" customFormat="false" ht="14.25" hidden="true" customHeight="true" outlineLevel="0" collapsed="false">
      <c r="A1544" s="263"/>
      <c r="B1544" s="259"/>
      <c r="C1544" s="259" t="s">
        <v>1830</v>
      </c>
      <c r="D1544" s="117" t="n">
        <v>129.58</v>
      </c>
      <c r="E1544" s="260" t="n">
        <v>1</v>
      </c>
    </row>
    <row r="1545" customFormat="false" ht="14.25" hidden="true" customHeight="true" outlineLevel="0" collapsed="false">
      <c r="A1545" s="263"/>
      <c r="B1545" s="259"/>
      <c r="C1545" s="259" t="s">
        <v>1831</v>
      </c>
      <c r="D1545" s="117" t="n">
        <v>129.58</v>
      </c>
      <c r="E1545" s="260" t="n">
        <v>1</v>
      </c>
    </row>
    <row r="1546" customFormat="false" ht="14.25" hidden="true" customHeight="true" outlineLevel="0" collapsed="false">
      <c r="A1546" s="263"/>
      <c r="B1546" s="259"/>
      <c r="C1546" s="259" t="s">
        <v>1832</v>
      </c>
      <c r="D1546" s="117" t="n">
        <v>129.58</v>
      </c>
      <c r="E1546" s="260" t="n">
        <v>1</v>
      </c>
    </row>
    <row r="1547" customFormat="false" ht="14.25" hidden="true" customHeight="true" outlineLevel="0" collapsed="false">
      <c r="A1547" s="263"/>
      <c r="B1547" s="259"/>
      <c r="C1547" s="259" t="s">
        <v>1833</v>
      </c>
      <c r="D1547" s="117" t="n">
        <v>129.58</v>
      </c>
      <c r="E1547" s="260" t="n">
        <v>1</v>
      </c>
    </row>
    <row r="1548" customFormat="false" ht="14.25" hidden="true" customHeight="true" outlineLevel="0" collapsed="false">
      <c r="A1548" s="263"/>
      <c r="B1548" s="259"/>
      <c r="C1548" s="259" t="s">
        <v>1834</v>
      </c>
      <c r="D1548" s="117" t="n">
        <v>129.58</v>
      </c>
      <c r="E1548" s="260" t="n">
        <v>1</v>
      </c>
    </row>
    <row r="1549" customFormat="false" ht="14.25" hidden="true" customHeight="true" outlineLevel="0" collapsed="false">
      <c r="A1549" s="263"/>
      <c r="B1549" s="259"/>
      <c r="C1549" s="259" t="s">
        <v>1835</v>
      </c>
      <c r="D1549" s="117" t="n">
        <v>129.58</v>
      </c>
      <c r="E1549" s="260" t="n">
        <v>1</v>
      </c>
    </row>
    <row r="1550" customFormat="false" ht="14.25" hidden="true" customHeight="true" outlineLevel="0" collapsed="false">
      <c r="A1550" s="263"/>
      <c r="B1550" s="259"/>
      <c r="C1550" s="259" t="s">
        <v>1836</v>
      </c>
      <c r="D1550" s="117" t="n">
        <v>129.58</v>
      </c>
      <c r="E1550" s="260" t="n">
        <v>1</v>
      </c>
    </row>
    <row r="1551" customFormat="false" ht="14.25" hidden="true" customHeight="true" outlineLevel="0" collapsed="false">
      <c r="A1551" s="263"/>
      <c r="B1551" s="259"/>
      <c r="C1551" s="259" t="s">
        <v>1837</v>
      </c>
      <c r="D1551" s="117" t="n">
        <v>129.58</v>
      </c>
      <c r="E1551" s="260" t="n">
        <v>1</v>
      </c>
    </row>
    <row r="1552" customFormat="false" ht="14.25" hidden="true" customHeight="true" outlineLevel="0" collapsed="false">
      <c r="A1552" s="263"/>
      <c r="B1552" s="259"/>
      <c r="C1552" s="259" t="s">
        <v>1838</v>
      </c>
      <c r="D1552" s="117" t="n">
        <v>129.58</v>
      </c>
      <c r="E1552" s="260" t="n">
        <v>1</v>
      </c>
    </row>
    <row r="1553" customFormat="false" ht="14.25" hidden="true" customHeight="true" outlineLevel="0" collapsed="false">
      <c r="A1553" s="263"/>
      <c r="B1553" s="259"/>
      <c r="C1553" s="259" t="s">
        <v>1839</v>
      </c>
      <c r="D1553" s="117" t="n">
        <v>129.58</v>
      </c>
      <c r="E1553" s="260" t="n">
        <v>1</v>
      </c>
    </row>
    <row r="1554" customFormat="false" ht="14.25" hidden="true" customHeight="true" outlineLevel="0" collapsed="false">
      <c r="A1554" s="263"/>
      <c r="B1554" s="259"/>
      <c r="C1554" s="259" t="s">
        <v>1840</v>
      </c>
      <c r="D1554" s="117" t="n">
        <v>129.58</v>
      </c>
      <c r="E1554" s="260" t="n">
        <v>1</v>
      </c>
    </row>
    <row r="1555" customFormat="false" ht="14.25" hidden="true" customHeight="true" outlineLevel="0" collapsed="false">
      <c r="A1555" s="263"/>
      <c r="B1555" s="259"/>
      <c r="C1555" s="259" t="s">
        <v>1841</v>
      </c>
      <c r="D1555" s="117" t="n">
        <v>129.58</v>
      </c>
      <c r="E1555" s="260" t="n">
        <v>1</v>
      </c>
    </row>
    <row r="1556" customFormat="false" ht="14.25" hidden="true" customHeight="true" outlineLevel="0" collapsed="false">
      <c r="A1556" s="263"/>
      <c r="B1556" s="259"/>
      <c r="C1556" s="259" t="s">
        <v>1842</v>
      </c>
      <c r="D1556" s="117" t="n">
        <v>129.58</v>
      </c>
      <c r="E1556" s="260" t="n">
        <v>1</v>
      </c>
    </row>
    <row r="1557" customFormat="false" ht="14.25" hidden="true" customHeight="true" outlineLevel="0" collapsed="false">
      <c r="A1557" s="263"/>
      <c r="B1557" s="259"/>
      <c r="C1557" s="259" t="s">
        <v>1843</v>
      </c>
      <c r="D1557" s="117" t="n">
        <v>129.58</v>
      </c>
      <c r="E1557" s="260" t="n">
        <v>1</v>
      </c>
    </row>
    <row r="1558" customFormat="false" ht="14.25" hidden="true" customHeight="true" outlineLevel="0" collapsed="false">
      <c r="A1558" s="263"/>
      <c r="B1558" s="259"/>
      <c r="C1558" s="259" t="s">
        <v>1844</v>
      </c>
      <c r="D1558" s="117" t="n">
        <v>129.58</v>
      </c>
      <c r="E1558" s="260" t="n">
        <v>1</v>
      </c>
    </row>
    <row r="1559" customFormat="false" ht="14.25" hidden="true" customHeight="true" outlineLevel="0" collapsed="false">
      <c r="A1559" s="263"/>
      <c r="B1559" s="259"/>
      <c r="C1559" s="259" t="s">
        <v>1845</v>
      </c>
      <c r="D1559" s="117" t="n">
        <v>129.58</v>
      </c>
      <c r="E1559" s="260" t="n">
        <v>1</v>
      </c>
    </row>
    <row r="1560" customFormat="false" ht="14.25" hidden="true" customHeight="true" outlineLevel="0" collapsed="false">
      <c r="A1560" s="263"/>
      <c r="B1560" s="259"/>
      <c r="C1560" s="259" t="s">
        <v>1846</v>
      </c>
      <c r="D1560" s="117" t="n">
        <v>129.58</v>
      </c>
      <c r="E1560" s="260" t="n">
        <v>1</v>
      </c>
    </row>
    <row r="1561" customFormat="false" ht="14.25" hidden="true" customHeight="true" outlineLevel="0" collapsed="false">
      <c r="A1561" s="263"/>
      <c r="B1561" s="259"/>
      <c r="C1561" s="259" t="s">
        <v>1847</v>
      </c>
      <c r="D1561" s="117" t="n">
        <v>129.58</v>
      </c>
      <c r="E1561" s="260" t="n">
        <v>1</v>
      </c>
    </row>
    <row r="1562" customFormat="false" ht="14.25" hidden="true" customHeight="true" outlineLevel="0" collapsed="false">
      <c r="A1562" s="263"/>
      <c r="B1562" s="259"/>
      <c r="C1562" s="259" t="s">
        <v>1848</v>
      </c>
      <c r="D1562" s="117" t="n">
        <v>129.58</v>
      </c>
      <c r="E1562" s="260" t="n">
        <v>1</v>
      </c>
    </row>
    <row r="1563" customFormat="false" ht="14.25" hidden="true" customHeight="true" outlineLevel="0" collapsed="false">
      <c r="A1563" s="263"/>
      <c r="B1563" s="259"/>
      <c r="C1563" s="259" t="s">
        <v>1849</v>
      </c>
      <c r="D1563" s="117" t="n">
        <v>129.58</v>
      </c>
      <c r="E1563" s="260" t="n">
        <v>1</v>
      </c>
    </row>
    <row r="1564" customFormat="false" ht="14.25" hidden="true" customHeight="true" outlineLevel="0" collapsed="false">
      <c r="A1564" s="263"/>
      <c r="B1564" s="259"/>
      <c r="C1564" s="259" t="s">
        <v>1850</v>
      </c>
      <c r="D1564" s="117" t="n">
        <v>129.58</v>
      </c>
      <c r="E1564" s="260" t="n">
        <v>1</v>
      </c>
    </row>
    <row r="1565" customFormat="false" ht="14.25" hidden="true" customHeight="true" outlineLevel="0" collapsed="false">
      <c r="A1565" s="263"/>
      <c r="B1565" s="259"/>
      <c r="C1565" s="259" t="s">
        <v>1851</v>
      </c>
      <c r="D1565" s="117" t="n">
        <v>129.58</v>
      </c>
      <c r="E1565" s="260" t="n">
        <v>1</v>
      </c>
    </row>
    <row r="1566" customFormat="false" ht="14.25" hidden="true" customHeight="true" outlineLevel="0" collapsed="false">
      <c r="A1566" s="263"/>
      <c r="B1566" s="259"/>
      <c r="C1566" s="259" t="s">
        <v>1852</v>
      </c>
      <c r="D1566" s="117" t="n">
        <v>129.58</v>
      </c>
      <c r="E1566" s="260" t="n">
        <v>1</v>
      </c>
    </row>
    <row r="1567" customFormat="false" ht="14.25" hidden="true" customHeight="true" outlineLevel="0" collapsed="false">
      <c r="A1567" s="263"/>
      <c r="B1567" s="259"/>
      <c r="C1567" s="259" t="s">
        <v>1853</v>
      </c>
      <c r="D1567" s="117" t="n">
        <v>129.58</v>
      </c>
      <c r="E1567" s="260" t="n">
        <v>1</v>
      </c>
    </row>
    <row r="1568" customFormat="false" ht="14.25" hidden="true" customHeight="true" outlineLevel="0" collapsed="false">
      <c r="A1568" s="263"/>
      <c r="B1568" s="259"/>
      <c r="C1568" s="259" t="s">
        <v>1854</v>
      </c>
      <c r="D1568" s="117" t="n">
        <v>129.58</v>
      </c>
      <c r="E1568" s="260" t="n">
        <v>1</v>
      </c>
    </row>
    <row r="1569" customFormat="false" ht="14.25" hidden="true" customHeight="true" outlineLevel="0" collapsed="false">
      <c r="A1569" s="263"/>
      <c r="B1569" s="259"/>
      <c r="C1569" s="259" t="s">
        <v>1855</v>
      </c>
      <c r="D1569" s="117" t="n">
        <v>129.58</v>
      </c>
      <c r="E1569" s="260" t="n">
        <v>1</v>
      </c>
    </row>
    <row r="1570" customFormat="false" ht="14.25" hidden="true" customHeight="true" outlineLevel="0" collapsed="false">
      <c r="A1570" s="263"/>
      <c r="B1570" s="259"/>
      <c r="C1570" s="259" t="s">
        <v>1856</v>
      </c>
      <c r="D1570" s="117" t="n">
        <v>129.58</v>
      </c>
      <c r="E1570" s="260" t="n">
        <v>1</v>
      </c>
    </row>
    <row r="1571" customFormat="false" ht="14.25" hidden="true" customHeight="true" outlineLevel="0" collapsed="false">
      <c r="A1571" s="263"/>
      <c r="B1571" s="259"/>
      <c r="C1571" s="259" t="s">
        <v>1857</v>
      </c>
      <c r="D1571" s="117" t="n">
        <v>129.58</v>
      </c>
      <c r="E1571" s="260" t="n">
        <v>1</v>
      </c>
    </row>
    <row r="1572" customFormat="false" ht="14.25" hidden="true" customHeight="true" outlineLevel="0" collapsed="false">
      <c r="A1572" s="263"/>
      <c r="B1572" s="259"/>
      <c r="C1572" s="259" t="s">
        <v>1858</v>
      </c>
      <c r="D1572" s="117" t="n">
        <v>129.58</v>
      </c>
      <c r="E1572" s="260" t="n">
        <v>1</v>
      </c>
    </row>
    <row r="1573" customFormat="false" ht="14.25" hidden="true" customHeight="true" outlineLevel="0" collapsed="false">
      <c r="A1573" s="263"/>
      <c r="B1573" s="259"/>
      <c r="C1573" s="259" t="s">
        <v>1859</v>
      </c>
      <c r="D1573" s="117" t="n">
        <v>129.58</v>
      </c>
      <c r="E1573" s="260" t="n">
        <v>1</v>
      </c>
    </row>
    <row r="1574" customFormat="false" ht="14.25" hidden="true" customHeight="true" outlineLevel="0" collapsed="false">
      <c r="A1574" s="263"/>
      <c r="B1574" s="259"/>
      <c r="C1574" s="259" t="s">
        <v>1860</v>
      </c>
      <c r="D1574" s="117" t="n">
        <v>129.58</v>
      </c>
      <c r="E1574" s="260" t="n">
        <v>1</v>
      </c>
    </row>
    <row r="1575" customFormat="false" ht="14.25" hidden="true" customHeight="true" outlineLevel="0" collapsed="false">
      <c r="A1575" s="263"/>
      <c r="B1575" s="259"/>
      <c r="C1575" s="259" t="s">
        <v>1861</v>
      </c>
      <c r="D1575" s="117" t="n">
        <v>129.58</v>
      </c>
      <c r="E1575" s="260" t="n">
        <v>1</v>
      </c>
    </row>
    <row r="1576" customFormat="false" ht="14.25" hidden="true" customHeight="true" outlineLevel="0" collapsed="false">
      <c r="A1576" s="263"/>
      <c r="B1576" s="259"/>
      <c r="C1576" s="259" t="s">
        <v>1862</v>
      </c>
      <c r="D1576" s="117" t="n">
        <v>129.58</v>
      </c>
      <c r="E1576" s="260" t="n">
        <v>1</v>
      </c>
    </row>
    <row r="1577" customFormat="false" ht="14.25" hidden="true" customHeight="true" outlineLevel="0" collapsed="false">
      <c r="A1577" s="263"/>
      <c r="B1577" s="259"/>
      <c r="C1577" s="259" t="s">
        <v>1863</v>
      </c>
      <c r="D1577" s="117" t="n">
        <v>129.58</v>
      </c>
      <c r="E1577" s="260" t="n">
        <v>1</v>
      </c>
    </row>
    <row r="1578" customFormat="false" ht="14.25" hidden="true" customHeight="true" outlineLevel="0" collapsed="false">
      <c r="A1578" s="263"/>
      <c r="B1578" s="259"/>
      <c r="C1578" s="259" t="s">
        <v>1864</v>
      </c>
      <c r="D1578" s="117" t="n">
        <v>129.58</v>
      </c>
      <c r="E1578" s="260" t="n">
        <v>1</v>
      </c>
    </row>
    <row r="1579" customFormat="false" ht="14.25" hidden="true" customHeight="true" outlineLevel="0" collapsed="false">
      <c r="A1579" s="263"/>
      <c r="B1579" s="259"/>
      <c r="C1579" s="259" t="s">
        <v>1865</v>
      </c>
      <c r="D1579" s="117" t="n">
        <v>129.58</v>
      </c>
      <c r="E1579" s="260" t="n">
        <v>1</v>
      </c>
    </row>
    <row r="1580" customFormat="false" ht="14.25" hidden="true" customHeight="true" outlineLevel="0" collapsed="false">
      <c r="A1580" s="263"/>
      <c r="B1580" s="259"/>
      <c r="C1580" s="259" t="s">
        <v>1866</v>
      </c>
      <c r="D1580" s="117" t="n">
        <v>129.51</v>
      </c>
      <c r="E1580" s="260" t="n">
        <v>2</v>
      </c>
    </row>
    <row r="1581" customFormat="false" ht="14.25" hidden="true" customHeight="true" outlineLevel="0" collapsed="false">
      <c r="A1581" s="263"/>
      <c r="B1581" s="259"/>
      <c r="C1581" s="259" t="s">
        <v>1867</v>
      </c>
      <c r="D1581" s="117" t="n">
        <v>129.51</v>
      </c>
      <c r="E1581" s="260" t="n">
        <v>2</v>
      </c>
    </row>
    <row r="1582" customFormat="false" ht="14.25" hidden="true" customHeight="true" outlineLevel="0" collapsed="false">
      <c r="A1582" s="263"/>
      <c r="B1582" s="259"/>
      <c r="C1582" s="259" t="s">
        <v>1868</v>
      </c>
      <c r="D1582" s="117" t="n">
        <v>128.35</v>
      </c>
      <c r="E1582" s="260" t="n">
        <v>1</v>
      </c>
    </row>
    <row r="1583" customFormat="false" ht="14.25" hidden="true" customHeight="true" outlineLevel="0" collapsed="false">
      <c r="A1583" s="263"/>
      <c r="B1583" s="259"/>
      <c r="C1583" s="259" t="s">
        <v>1869</v>
      </c>
      <c r="D1583" s="117" t="n">
        <v>127.82</v>
      </c>
      <c r="E1583" s="260" t="n">
        <v>2</v>
      </c>
    </row>
    <row r="1584" customFormat="false" ht="14.25" hidden="true" customHeight="true" outlineLevel="0" collapsed="false">
      <c r="A1584" s="263"/>
      <c r="B1584" s="259"/>
      <c r="C1584" s="259" t="s">
        <v>1870</v>
      </c>
      <c r="D1584" s="117" t="n">
        <v>127.82</v>
      </c>
      <c r="E1584" s="260" t="n">
        <v>2</v>
      </c>
    </row>
    <row r="1585" customFormat="false" ht="14.25" hidden="true" customHeight="true" outlineLevel="0" collapsed="false">
      <c r="A1585" s="263"/>
      <c r="B1585" s="259"/>
      <c r="C1585" s="259" t="s">
        <v>1871</v>
      </c>
      <c r="D1585" s="117" t="n">
        <v>127.81</v>
      </c>
      <c r="E1585" s="260" t="n">
        <v>2</v>
      </c>
    </row>
    <row r="1586" customFormat="false" ht="14.25" hidden="true" customHeight="true" outlineLevel="0" collapsed="false">
      <c r="A1586" s="263"/>
      <c r="B1586" s="259"/>
      <c r="C1586" s="259" t="s">
        <v>1872</v>
      </c>
      <c r="D1586" s="117" t="n">
        <v>127.04</v>
      </c>
      <c r="E1586" s="260" t="n">
        <v>1</v>
      </c>
    </row>
    <row r="1587" customFormat="false" ht="14.25" hidden="true" customHeight="true" outlineLevel="0" collapsed="false">
      <c r="A1587" s="263"/>
      <c r="B1587" s="259"/>
      <c r="C1587" s="259" t="s">
        <v>1873</v>
      </c>
      <c r="D1587" s="117" t="n">
        <v>127.04</v>
      </c>
      <c r="E1587" s="260" t="n">
        <v>1</v>
      </c>
    </row>
    <row r="1588" customFormat="false" ht="14.25" hidden="true" customHeight="true" outlineLevel="0" collapsed="false">
      <c r="A1588" s="263"/>
      <c r="B1588" s="259"/>
      <c r="C1588" s="259" t="s">
        <v>1874</v>
      </c>
      <c r="D1588" s="117" t="n">
        <v>127.03</v>
      </c>
      <c r="E1588" s="260" t="n">
        <v>1</v>
      </c>
    </row>
    <row r="1589" customFormat="false" ht="14.25" hidden="true" customHeight="true" outlineLevel="0" collapsed="false">
      <c r="A1589" s="263"/>
      <c r="B1589" s="259"/>
      <c r="C1589" s="259" t="s">
        <v>1875</v>
      </c>
      <c r="D1589" s="117" t="n">
        <v>127.03</v>
      </c>
      <c r="E1589" s="260" t="n">
        <v>1</v>
      </c>
    </row>
    <row r="1590" customFormat="false" ht="14.25" hidden="true" customHeight="true" outlineLevel="0" collapsed="false">
      <c r="A1590" s="263"/>
      <c r="B1590" s="259"/>
      <c r="C1590" s="259" t="s">
        <v>1876</v>
      </c>
      <c r="D1590" s="117" t="n">
        <v>126.95</v>
      </c>
      <c r="E1590" s="260" t="n">
        <v>2</v>
      </c>
    </row>
    <row r="1591" customFormat="false" ht="14.25" hidden="true" customHeight="true" outlineLevel="0" collapsed="false">
      <c r="A1591" s="263"/>
      <c r="B1591" s="259"/>
      <c r="C1591" s="259" t="s">
        <v>1877</v>
      </c>
      <c r="D1591" s="117" t="n">
        <v>125.27</v>
      </c>
      <c r="E1591" s="260" t="n">
        <v>2</v>
      </c>
    </row>
    <row r="1592" customFormat="false" ht="14.25" hidden="true" customHeight="true" outlineLevel="0" collapsed="false">
      <c r="A1592" s="263"/>
      <c r="B1592" s="259"/>
      <c r="C1592" s="259" t="s">
        <v>1878</v>
      </c>
      <c r="D1592" s="117" t="n">
        <v>123.56</v>
      </c>
      <c r="E1592" s="260" t="n">
        <v>2</v>
      </c>
    </row>
    <row r="1593" customFormat="false" ht="14.25" hidden="true" customHeight="true" outlineLevel="0" collapsed="false">
      <c r="A1593" s="263"/>
      <c r="B1593" s="259"/>
      <c r="C1593" s="259" t="s">
        <v>1879</v>
      </c>
      <c r="D1593" s="117" t="n">
        <v>122.64</v>
      </c>
      <c r="E1593" s="260" t="n">
        <v>2</v>
      </c>
    </row>
    <row r="1594" customFormat="false" ht="14.25" hidden="true" customHeight="true" outlineLevel="0" collapsed="false">
      <c r="A1594" s="263"/>
      <c r="B1594" s="259"/>
      <c r="C1594" s="259" t="s">
        <v>1880</v>
      </c>
      <c r="D1594" s="117" t="n">
        <v>121.96</v>
      </c>
      <c r="E1594" s="260" t="n">
        <v>1</v>
      </c>
    </row>
    <row r="1595" customFormat="false" ht="14.25" hidden="true" customHeight="true" outlineLevel="0" collapsed="false">
      <c r="A1595" s="263"/>
      <c r="B1595" s="259"/>
      <c r="C1595" s="259" t="s">
        <v>1881</v>
      </c>
      <c r="D1595" s="117" t="n">
        <v>121.88</v>
      </c>
      <c r="E1595" s="260" t="n">
        <v>2</v>
      </c>
    </row>
    <row r="1596" customFormat="false" ht="14.25" hidden="true" customHeight="true" outlineLevel="0" collapsed="false">
      <c r="A1596" s="263"/>
      <c r="B1596" s="259"/>
      <c r="C1596" s="259" t="s">
        <v>1882</v>
      </c>
      <c r="D1596" s="117" t="n">
        <v>120.25</v>
      </c>
      <c r="E1596" s="260" t="n">
        <v>1</v>
      </c>
    </row>
    <row r="1597" customFormat="false" ht="14.25" hidden="true" customHeight="true" outlineLevel="0" collapsed="false">
      <c r="A1597" s="263"/>
      <c r="B1597" s="259"/>
      <c r="C1597" s="259" t="s">
        <v>1883</v>
      </c>
      <c r="D1597" s="117" t="n">
        <v>115.86</v>
      </c>
      <c r="E1597" s="260" t="n">
        <v>1</v>
      </c>
    </row>
    <row r="1598" customFormat="false" ht="14.25" hidden="true" customHeight="true" outlineLevel="0" collapsed="false">
      <c r="A1598" s="263"/>
      <c r="B1598" s="259"/>
      <c r="C1598" s="259" t="s">
        <v>1884</v>
      </c>
      <c r="D1598" s="117" t="n">
        <v>115.19</v>
      </c>
      <c r="E1598" s="260" t="n">
        <v>1</v>
      </c>
    </row>
    <row r="1599" customFormat="false" ht="14.25" hidden="true" customHeight="true" outlineLevel="0" collapsed="false">
      <c r="A1599" s="263"/>
      <c r="B1599" s="259"/>
      <c r="C1599" s="259" t="s">
        <v>1885</v>
      </c>
      <c r="D1599" s="117" t="n">
        <v>115.19</v>
      </c>
      <c r="E1599" s="260" t="n">
        <v>1</v>
      </c>
    </row>
    <row r="1600" customFormat="false" ht="14.25" hidden="true" customHeight="true" outlineLevel="0" collapsed="false">
      <c r="A1600" s="263"/>
      <c r="B1600" s="259"/>
      <c r="C1600" s="259" t="s">
        <v>1886</v>
      </c>
      <c r="D1600" s="117" t="n">
        <v>115.19</v>
      </c>
      <c r="E1600" s="260" t="n">
        <v>1</v>
      </c>
    </row>
    <row r="1601" customFormat="false" ht="14.25" hidden="true" customHeight="true" outlineLevel="0" collapsed="false">
      <c r="A1601" s="263"/>
      <c r="B1601" s="259"/>
      <c r="C1601" s="259" t="s">
        <v>1887</v>
      </c>
      <c r="D1601" s="117" t="n">
        <v>115.19</v>
      </c>
      <c r="E1601" s="260" t="n">
        <v>1</v>
      </c>
    </row>
    <row r="1602" customFormat="false" ht="14.25" hidden="true" customHeight="true" outlineLevel="0" collapsed="false">
      <c r="A1602" s="263"/>
      <c r="B1602" s="259"/>
      <c r="C1602" s="259" t="s">
        <v>1888</v>
      </c>
      <c r="D1602" s="117" t="n">
        <v>115.19</v>
      </c>
      <c r="E1602" s="260" t="n">
        <v>1</v>
      </c>
    </row>
    <row r="1603" customFormat="false" ht="14.25" hidden="true" customHeight="true" outlineLevel="0" collapsed="false">
      <c r="A1603" s="263"/>
      <c r="B1603" s="259"/>
      <c r="C1603" s="259" t="s">
        <v>1889</v>
      </c>
      <c r="D1603" s="117" t="n">
        <v>115.19</v>
      </c>
      <c r="E1603" s="260" t="n">
        <v>1</v>
      </c>
    </row>
    <row r="1604" customFormat="false" ht="14.25" hidden="true" customHeight="true" outlineLevel="0" collapsed="false">
      <c r="A1604" s="263"/>
      <c r="B1604" s="259"/>
      <c r="C1604" s="259" t="s">
        <v>1890</v>
      </c>
      <c r="D1604" s="117" t="n">
        <v>115.19</v>
      </c>
      <c r="E1604" s="260" t="n">
        <v>1</v>
      </c>
    </row>
    <row r="1605" customFormat="false" ht="14.25" hidden="true" customHeight="true" outlineLevel="0" collapsed="false">
      <c r="A1605" s="263"/>
      <c r="B1605" s="259"/>
      <c r="C1605" s="259" t="s">
        <v>1891</v>
      </c>
      <c r="D1605" s="117" t="n">
        <v>115.19</v>
      </c>
      <c r="E1605" s="260" t="n">
        <v>1</v>
      </c>
    </row>
    <row r="1606" customFormat="false" ht="14.25" hidden="true" customHeight="true" outlineLevel="0" collapsed="false">
      <c r="A1606" s="263"/>
      <c r="B1606" s="259"/>
      <c r="C1606" s="259" t="s">
        <v>1892</v>
      </c>
      <c r="D1606" s="117" t="n">
        <v>115.19</v>
      </c>
      <c r="E1606" s="260" t="n">
        <v>1</v>
      </c>
    </row>
    <row r="1607" customFormat="false" ht="14.25" hidden="true" customHeight="true" outlineLevel="0" collapsed="false">
      <c r="A1607" s="263"/>
      <c r="B1607" s="259"/>
      <c r="C1607" s="259" t="s">
        <v>1893</v>
      </c>
      <c r="D1607" s="117" t="n">
        <v>115.19</v>
      </c>
      <c r="E1607" s="260" t="n">
        <v>1</v>
      </c>
    </row>
    <row r="1608" customFormat="false" ht="14.25" hidden="true" customHeight="true" outlineLevel="0" collapsed="false">
      <c r="A1608" s="263"/>
      <c r="B1608" s="259"/>
      <c r="C1608" s="259" t="s">
        <v>1894</v>
      </c>
      <c r="D1608" s="117" t="n">
        <v>115.19</v>
      </c>
      <c r="E1608" s="260" t="n">
        <v>1</v>
      </c>
    </row>
    <row r="1609" customFormat="false" ht="14.25" hidden="true" customHeight="true" outlineLevel="0" collapsed="false">
      <c r="A1609" s="263"/>
      <c r="B1609" s="259"/>
      <c r="C1609" s="259" t="s">
        <v>1895</v>
      </c>
      <c r="D1609" s="117" t="n">
        <v>115.19</v>
      </c>
      <c r="E1609" s="260" t="n">
        <v>1</v>
      </c>
    </row>
    <row r="1610" customFormat="false" ht="14.25" hidden="true" customHeight="true" outlineLevel="0" collapsed="false">
      <c r="A1610" s="263"/>
      <c r="B1610" s="259"/>
      <c r="C1610" s="259" t="s">
        <v>1896</v>
      </c>
      <c r="D1610" s="117" t="n">
        <v>115.19</v>
      </c>
      <c r="E1610" s="260" t="n">
        <v>1</v>
      </c>
    </row>
    <row r="1611" customFormat="false" ht="14.25" hidden="true" customHeight="true" outlineLevel="0" collapsed="false">
      <c r="A1611" s="263"/>
      <c r="B1611" s="259"/>
      <c r="C1611" s="259" t="s">
        <v>1897</v>
      </c>
      <c r="D1611" s="117" t="n">
        <v>115.19</v>
      </c>
      <c r="E1611" s="260" t="n">
        <v>1</v>
      </c>
    </row>
    <row r="1612" customFormat="false" ht="14.25" hidden="true" customHeight="true" outlineLevel="0" collapsed="false">
      <c r="A1612" s="263"/>
      <c r="B1612" s="259"/>
      <c r="C1612" s="259" t="s">
        <v>1898</v>
      </c>
      <c r="D1612" s="117" t="n">
        <v>115.19</v>
      </c>
      <c r="E1612" s="260" t="n">
        <v>1</v>
      </c>
    </row>
    <row r="1613" customFormat="false" ht="14.25" hidden="true" customHeight="true" outlineLevel="0" collapsed="false">
      <c r="A1613" s="263"/>
      <c r="B1613" s="259"/>
      <c r="C1613" s="259" t="s">
        <v>1899</v>
      </c>
      <c r="D1613" s="117" t="n">
        <v>115.19</v>
      </c>
      <c r="E1613" s="260" t="n">
        <v>1</v>
      </c>
    </row>
    <row r="1614" customFormat="false" ht="14.25" hidden="true" customHeight="true" outlineLevel="0" collapsed="false">
      <c r="A1614" s="263"/>
      <c r="B1614" s="259"/>
      <c r="C1614" s="259" t="s">
        <v>1900</v>
      </c>
      <c r="D1614" s="117" t="n">
        <v>115.19</v>
      </c>
      <c r="E1614" s="260" t="n">
        <v>1</v>
      </c>
    </row>
    <row r="1615" customFormat="false" ht="14.25" hidden="true" customHeight="true" outlineLevel="0" collapsed="false">
      <c r="A1615" s="263"/>
      <c r="B1615" s="259"/>
      <c r="C1615" s="259" t="s">
        <v>1901</v>
      </c>
      <c r="D1615" s="117" t="n">
        <v>115.19</v>
      </c>
      <c r="E1615" s="260" t="n">
        <v>1</v>
      </c>
    </row>
    <row r="1616" customFormat="false" ht="14.25" hidden="true" customHeight="true" outlineLevel="0" collapsed="false">
      <c r="A1616" s="263"/>
      <c r="B1616" s="259"/>
      <c r="C1616" s="259" t="s">
        <v>1902</v>
      </c>
      <c r="D1616" s="117" t="n">
        <v>115.19</v>
      </c>
      <c r="E1616" s="260" t="n">
        <v>1</v>
      </c>
    </row>
    <row r="1617" customFormat="false" ht="14.25" hidden="true" customHeight="true" outlineLevel="0" collapsed="false">
      <c r="A1617" s="263"/>
      <c r="B1617" s="259"/>
      <c r="C1617" s="259" t="s">
        <v>1903</v>
      </c>
      <c r="D1617" s="117" t="n">
        <v>115.19</v>
      </c>
      <c r="E1617" s="260" t="n">
        <v>1</v>
      </c>
    </row>
    <row r="1618" customFormat="false" ht="14.25" hidden="true" customHeight="true" outlineLevel="0" collapsed="false">
      <c r="A1618" s="263"/>
      <c r="B1618" s="259"/>
      <c r="C1618" s="259" t="s">
        <v>1904</v>
      </c>
      <c r="D1618" s="117" t="n">
        <v>115.19</v>
      </c>
      <c r="E1618" s="260" t="n">
        <v>1</v>
      </c>
    </row>
    <row r="1619" customFormat="false" ht="14.25" hidden="true" customHeight="true" outlineLevel="0" collapsed="false">
      <c r="A1619" s="263"/>
      <c r="B1619" s="259"/>
      <c r="C1619" s="259" t="s">
        <v>1905</v>
      </c>
      <c r="D1619" s="117" t="n">
        <v>115.19</v>
      </c>
      <c r="E1619" s="260" t="n">
        <v>1</v>
      </c>
    </row>
    <row r="1620" customFormat="false" ht="14.25" hidden="true" customHeight="true" outlineLevel="0" collapsed="false">
      <c r="A1620" s="263"/>
      <c r="B1620" s="259"/>
      <c r="C1620" s="259" t="s">
        <v>1906</v>
      </c>
      <c r="D1620" s="117" t="n">
        <v>115.19</v>
      </c>
      <c r="E1620" s="260" t="n">
        <v>1</v>
      </c>
    </row>
    <row r="1621" customFormat="false" ht="14.25" hidden="true" customHeight="true" outlineLevel="0" collapsed="false">
      <c r="A1621" s="263"/>
      <c r="B1621" s="259"/>
      <c r="C1621" s="259" t="s">
        <v>1907</v>
      </c>
      <c r="D1621" s="117" t="n">
        <v>115.19</v>
      </c>
      <c r="E1621" s="260" t="n">
        <v>1</v>
      </c>
    </row>
    <row r="1622" customFormat="false" ht="14.25" hidden="true" customHeight="true" outlineLevel="0" collapsed="false">
      <c r="A1622" s="263"/>
      <c r="B1622" s="259"/>
      <c r="C1622" s="259" t="s">
        <v>1908</v>
      </c>
      <c r="D1622" s="117" t="n">
        <v>115.19</v>
      </c>
      <c r="E1622" s="260" t="n">
        <v>1</v>
      </c>
    </row>
    <row r="1623" customFormat="false" ht="14.25" hidden="true" customHeight="true" outlineLevel="0" collapsed="false">
      <c r="A1623" s="263"/>
      <c r="B1623" s="259"/>
      <c r="C1623" s="259" t="s">
        <v>1909</v>
      </c>
      <c r="D1623" s="117" t="n">
        <v>115.19</v>
      </c>
      <c r="E1623" s="260" t="n">
        <v>1</v>
      </c>
    </row>
    <row r="1624" customFormat="false" ht="14.25" hidden="true" customHeight="true" outlineLevel="0" collapsed="false">
      <c r="A1624" s="263"/>
      <c r="B1624" s="259"/>
      <c r="C1624" s="259" t="s">
        <v>1910</v>
      </c>
      <c r="D1624" s="117" t="n">
        <v>115.19</v>
      </c>
      <c r="E1624" s="260" t="n">
        <v>1</v>
      </c>
    </row>
    <row r="1625" customFormat="false" ht="14.25" hidden="true" customHeight="true" outlineLevel="0" collapsed="false">
      <c r="A1625" s="263"/>
      <c r="B1625" s="259"/>
      <c r="C1625" s="259" t="s">
        <v>1911</v>
      </c>
      <c r="D1625" s="117" t="n">
        <v>115.19</v>
      </c>
      <c r="E1625" s="260" t="n">
        <v>1</v>
      </c>
    </row>
    <row r="1626" customFormat="false" ht="14.25" hidden="true" customHeight="true" outlineLevel="0" collapsed="false">
      <c r="A1626" s="263"/>
      <c r="B1626" s="259"/>
      <c r="C1626" s="259" t="s">
        <v>1912</v>
      </c>
      <c r="D1626" s="117" t="n">
        <v>115.19</v>
      </c>
      <c r="E1626" s="260" t="n">
        <v>1</v>
      </c>
    </row>
    <row r="1627" customFormat="false" ht="14.25" hidden="true" customHeight="true" outlineLevel="0" collapsed="false">
      <c r="A1627" s="263"/>
      <c r="B1627" s="259"/>
      <c r="C1627" s="259" t="s">
        <v>1913</v>
      </c>
      <c r="D1627" s="117" t="n">
        <v>115.19</v>
      </c>
      <c r="E1627" s="260" t="n">
        <v>1</v>
      </c>
    </row>
    <row r="1628" customFormat="false" ht="14.25" hidden="true" customHeight="true" outlineLevel="0" collapsed="false">
      <c r="A1628" s="263"/>
      <c r="B1628" s="259"/>
      <c r="C1628" s="259" t="s">
        <v>1914</v>
      </c>
      <c r="D1628" s="117" t="n">
        <v>115.19</v>
      </c>
      <c r="E1628" s="260" t="n">
        <v>1</v>
      </c>
    </row>
    <row r="1629" customFormat="false" ht="14.25" hidden="true" customHeight="true" outlineLevel="0" collapsed="false">
      <c r="A1629" s="263"/>
      <c r="B1629" s="259"/>
      <c r="C1629" s="259" t="s">
        <v>1915</v>
      </c>
      <c r="D1629" s="117" t="n">
        <v>115.19</v>
      </c>
      <c r="E1629" s="260" t="n">
        <v>1</v>
      </c>
    </row>
    <row r="1630" customFormat="false" ht="14.25" hidden="true" customHeight="true" outlineLevel="0" collapsed="false">
      <c r="A1630" s="263"/>
      <c r="B1630" s="259"/>
      <c r="C1630" s="259" t="s">
        <v>1916</v>
      </c>
      <c r="D1630" s="117" t="n">
        <v>115.19</v>
      </c>
      <c r="E1630" s="260" t="n">
        <v>1</v>
      </c>
    </row>
    <row r="1631" customFormat="false" ht="14.25" hidden="true" customHeight="true" outlineLevel="0" collapsed="false">
      <c r="A1631" s="263"/>
      <c r="B1631" s="259"/>
      <c r="C1631" s="259" t="s">
        <v>1917</v>
      </c>
      <c r="D1631" s="117" t="n">
        <v>115.19</v>
      </c>
      <c r="E1631" s="260" t="n">
        <v>1</v>
      </c>
    </row>
    <row r="1632" customFormat="false" ht="14.25" hidden="true" customHeight="true" outlineLevel="0" collapsed="false">
      <c r="A1632" s="263"/>
      <c r="B1632" s="259"/>
      <c r="C1632" s="259" t="s">
        <v>1918</v>
      </c>
      <c r="D1632" s="117" t="n">
        <v>115.19</v>
      </c>
      <c r="E1632" s="260" t="n">
        <v>1</v>
      </c>
    </row>
    <row r="1633" customFormat="false" ht="14.25" hidden="true" customHeight="true" outlineLevel="0" collapsed="false">
      <c r="A1633" s="263"/>
      <c r="B1633" s="259"/>
      <c r="C1633" s="259" t="s">
        <v>1919</v>
      </c>
      <c r="D1633" s="117" t="n">
        <v>115.19</v>
      </c>
      <c r="E1633" s="260" t="n">
        <v>1</v>
      </c>
    </row>
    <row r="1634" customFormat="false" ht="14.25" hidden="true" customHeight="true" outlineLevel="0" collapsed="false">
      <c r="A1634" s="263"/>
      <c r="B1634" s="259"/>
      <c r="C1634" s="259" t="s">
        <v>1920</v>
      </c>
      <c r="D1634" s="117" t="n">
        <v>115.19</v>
      </c>
      <c r="E1634" s="260" t="n">
        <v>1</v>
      </c>
    </row>
    <row r="1635" customFormat="false" ht="14.25" hidden="true" customHeight="true" outlineLevel="0" collapsed="false">
      <c r="A1635" s="263"/>
      <c r="B1635" s="259"/>
      <c r="C1635" s="259" t="s">
        <v>1921</v>
      </c>
      <c r="D1635" s="117" t="n">
        <v>115.19</v>
      </c>
      <c r="E1635" s="260" t="n">
        <v>1</v>
      </c>
    </row>
    <row r="1636" customFormat="false" ht="14.25" hidden="true" customHeight="true" outlineLevel="0" collapsed="false">
      <c r="A1636" s="263"/>
      <c r="B1636" s="259"/>
      <c r="C1636" s="259" t="s">
        <v>1922</v>
      </c>
      <c r="D1636" s="117" t="n">
        <v>115.19</v>
      </c>
      <c r="E1636" s="260" t="n">
        <v>1</v>
      </c>
    </row>
    <row r="1637" customFormat="false" ht="14.25" hidden="true" customHeight="true" outlineLevel="0" collapsed="false">
      <c r="A1637" s="263"/>
      <c r="B1637" s="259"/>
      <c r="C1637" s="259" t="s">
        <v>1923</v>
      </c>
      <c r="D1637" s="117" t="n">
        <v>115.19</v>
      </c>
      <c r="E1637" s="260" t="n">
        <v>1</v>
      </c>
    </row>
    <row r="1638" customFormat="false" ht="14.25" hidden="true" customHeight="true" outlineLevel="0" collapsed="false">
      <c r="A1638" s="263"/>
      <c r="B1638" s="259"/>
      <c r="C1638" s="259" t="s">
        <v>1924</v>
      </c>
      <c r="D1638" s="117" t="n">
        <v>115.19</v>
      </c>
      <c r="E1638" s="260" t="n">
        <v>1</v>
      </c>
    </row>
    <row r="1639" customFormat="false" ht="14.25" hidden="true" customHeight="true" outlineLevel="0" collapsed="false">
      <c r="A1639" s="263"/>
      <c r="B1639" s="259"/>
      <c r="C1639" s="259" t="s">
        <v>1925</v>
      </c>
      <c r="D1639" s="117" t="n">
        <v>115.19</v>
      </c>
      <c r="E1639" s="260" t="n">
        <v>1</v>
      </c>
    </row>
    <row r="1640" customFormat="false" ht="14.25" hidden="true" customHeight="true" outlineLevel="0" collapsed="false">
      <c r="A1640" s="263"/>
      <c r="B1640" s="259"/>
      <c r="C1640" s="259" t="s">
        <v>1926</v>
      </c>
      <c r="D1640" s="117" t="n">
        <v>115.19</v>
      </c>
      <c r="E1640" s="260" t="n">
        <v>1</v>
      </c>
    </row>
    <row r="1641" customFormat="false" ht="14.25" hidden="true" customHeight="true" outlineLevel="0" collapsed="false">
      <c r="A1641" s="263"/>
      <c r="B1641" s="259"/>
      <c r="C1641" s="259" t="s">
        <v>1927</v>
      </c>
      <c r="D1641" s="117" t="n">
        <v>115.19</v>
      </c>
      <c r="E1641" s="260" t="n">
        <v>1</v>
      </c>
    </row>
    <row r="1642" customFormat="false" ht="14.25" hidden="true" customHeight="true" outlineLevel="0" collapsed="false">
      <c r="A1642" s="263"/>
      <c r="B1642" s="259"/>
      <c r="C1642" s="259" t="s">
        <v>1928</v>
      </c>
      <c r="D1642" s="117" t="n">
        <v>115.19</v>
      </c>
      <c r="E1642" s="260" t="n">
        <v>1</v>
      </c>
    </row>
    <row r="1643" customFormat="false" ht="14.25" hidden="true" customHeight="true" outlineLevel="0" collapsed="false">
      <c r="A1643" s="263"/>
      <c r="B1643" s="259"/>
      <c r="C1643" s="259" t="s">
        <v>1929</v>
      </c>
      <c r="D1643" s="117" t="n">
        <v>115.19</v>
      </c>
      <c r="E1643" s="260" t="n">
        <v>1</v>
      </c>
    </row>
    <row r="1644" customFormat="false" ht="14.25" hidden="true" customHeight="true" outlineLevel="0" collapsed="false">
      <c r="A1644" s="263"/>
      <c r="B1644" s="259"/>
      <c r="C1644" s="259" t="s">
        <v>1930</v>
      </c>
      <c r="D1644" s="117" t="n">
        <v>115.19</v>
      </c>
      <c r="E1644" s="260" t="n">
        <v>1</v>
      </c>
    </row>
    <row r="1645" customFormat="false" ht="14.25" hidden="true" customHeight="true" outlineLevel="0" collapsed="false">
      <c r="A1645" s="263"/>
      <c r="B1645" s="259"/>
      <c r="C1645" s="259" t="s">
        <v>1931</v>
      </c>
      <c r="D1645" s="117" t="n">
        <v>115.19</v>
      </c>
      <c r="E1645" s="260" t="n">
        <v>1</v>
      </c>
    </row>
    <row r="1646" customFormat="false" ht="14.25" hidden="true" customHeight="true" outlineLevel="0" collapsed="false">
      <c r="A1646" s="263"/>
      <c r="B1646" s="259"/>
      <c r="C1646" s="259" t="s">
        <v>1932</v>
      </c>
      <c r="D1646" s="117" t="n">
        <v>115.19</v>
      </c>
      <c r="E1646" s="260" t="n">
        <v>1</v>
      </c>
    </row>
    <row r="1647" customFormat="false" ht="14.25" hidden="true" customHeight="true" outlineLevel="0" collapsed="false">
      <c r="A1647" s="263"/>
      <c r="B1647" s="259"/>
      <c r="C1647" s="259" t="s">
        <v>1933</v>
      </c>
      <c r="D1647" s="117" t="n">
        <v>115.19</v>
      </c>
      <c r="E1647" s="260" t="n">
        <v>1</v>
      </c>
    </row>
    <row r="1648" customFormat="false" ht="14.25" hidden="true" customHeight="true" outlineLevel="0" collapsed="false">
      <c r="A1648" s="263"/>
      <c r="B1648" s="259"/>
      <c r="C1648" s="259" t="s">
        <v>1934</v>
      </c>
      <c r="D1648" s="117" t="n">
        <v>115.19</v>
      </c>
      <c r="E1648" s="260" t="n">
        <v>1</v>
      </c>
    </row>
    <row r="1649" customFormat="false" ht="14.25" hidden="true" customHeight="true" outlineLevel="0" collapsed="false">
      <c r="A1649" s="263"/>
      <c r="B1649" s="259"/>
      <c r="C1649" s="259" t="s">
        <v>1935</v>
      </c>
      <c r="D1649" s="117" t="n">
        <v>115.19</v>
      </c>
      <c r="E1649" s="260" t="n">
        <v>1</v>
      </c>
    </row>
    <row r="1650" customFormat="false" ht="14.25" hidden="true" customHeight="true" outlineLevel="0" collapsed="false">
      <c r="A1650" s="263"/>
      <c r="B1650" s="259"/>
      <c r="C1650" s="259" t="s">
        <v>1936</v>
      </c>
      <c r="D1650" s="117" t="n">
        <v>115.19</v>
      </c>
      <c r="E1650" s="260" t="n">
        <v>1</v>
      </c>
    </row>
    <row r="1651" customFormat="false" ht="14.25" hidden="true" customHeight="true" outlineLevel="0" collapsed="false">
      <c r="A1651" s="263"/>
      <c r="B1651" s="259"/>
      <c r="C1651" s="259" t="s">
        <v>1937</v>
      </c>
      <c r="D1651" s="117" t="n">
        <v>115.19</v>
      </c>
      <c r="E1651" s="260" t="n">
        <v>1</v>
      </c>
    </row>
    <row r="1652" customFormat="false" ht="14.25" hidden="true" customHeight="true" outlineLevel="0" collapsed="false">
      <c r="A1652" s="263"/>
      <c r="B1652" s="259"/>
      <c r="C1652" s="259" t="s">
        <v>1938</v>
      </c>
      <c r="D1652" s="117" t="n">
        <v>115.19</v>
      </c>
      <c r="E1652" s="260" t="n">
        <v>1</v>
      </c>
    </row>
    <row r="1653" customFormat="false" ht="14.25" hidden="true" customHeight="true" outlineLevel="0" collapsed="false">
      <c r="A1653" s="263"/>
      <c r="B1653" s="259"/>
      <c r="C1653" s="259" t="s">
        <v>1939</v>
      </c>
      <c r="D1653" s="117" t="n">
        <v>115.19</v>
      </c>
      <c r="E1653" s="260" t="n">
        <v>1</v>
      </c>
    </row>
    <row r="1654" customFormat="false" ht="14.25" hidden="true" customHeight="true" outlineLevel="0" collapsed="false">
      <c r="A1654" s="263"/>
      <c r="B1654" s="259"/>
      <c r="C1654" s="259" t="s">
        <v>1940</v>
      </c>
      <c r="D1654" s="117" t="n">
        <v>115.19</v>
      </c>
      <c r="E1654" s="260" t="n">
        <v>1</v>
      </c>
    </row>
    <row r="1655" customFormat="false" ht="14.25" hidden="true" customHeight="true" outlineLevel="0" collapsed="false">
      <c r="A1655" s="263"/>
      <c r="B1655" s="259"/>
      <c r="C1655" s="259" t="s">
        <v>1941</v>
      </c>
      <c r="D1655" s="117" t="n">
        <v>115.19</v>
      </c>
      <c r="E1655" s="260" t="n">
        <v>1</v>
      </c>
    </row>
    <row r="1656" customFormat="false" ht="14.25" hidden="true" customHeight="true" outlineLevel="0" collapsed="false">
      <c r="A1656" s="263"/>
      <c r="B1656" s="259"/>
      <c r="C1656" s="259" t="s">
        <v>1942</v>
      </c>
      <c r="D1656" s="117" t="n">
        <v>115.19</v>
      </c>
      <c r="E1656" s="260" t="n">
        <v>1</v>
      </c>
    </row>
    <row r="1657" customFormat="false" ht="14.25" hidden="true" customHeight="true" outlineLevel="0" collapsed="false">
      <c r="A1657" s="263"/>
      <c r="B1657" s="259"/>
      <c r="C1657" s="259" t="s">
        <v>1943</v>
      </c>
      <c r="D1657" s="117" t="n">
        <v>115.19</v>
      </c>
      <c r="E1657" s="260" t="n">
        <v>1</v>
      </c>
    </row>
    <row r="1658" customFormat="false" ht="14.25" hidden="true" customHeight="true" outlineLevel="0" collapsed="false">
      <c r="A1658" s="263"/>
      <c r="B1658" s="259"/>
      <c r="C1658" s="259" t="s">
        <v>1944</v>
      </c>
      <c r="D1658" s="117" t="n">
        <v>115.19</v>
      </c>
      <c r="E1658" s="260" t="n">
        <v>1</v>
      </c>
    </row>
    <row r="1659" customFormat="false" ht="14.25" hidden="true" customHeight="true" outlineLevel="0" collapsed="false">
      <c r="A1659" s="263"/>
      <c r="B1659" s="259"/>
      <c r="C1659" s="259" t="s">
        <v>1945</v>
      </c>
      <c r="D1659" s="117" t="n">
        <v>115.19</v>
      </c>
      <c r="E1659" s="260" t="n">
        <v>1</v>
      </c>
    </row>
    <row r="1660" customFormat="false" ht="14.25" hidden="true" customHeight="true" outlineLevel="0" collapsed="false">
      <c r="A1660" s="263"/>
      <c r="B1660" s="259"/>
      <c r="C1660" s="259" t="s">
        <v>1946</v>
      </c>
      <c r="D1660" s="117" t="n">
        <v>115.19</v>
      </c>
      <c r="E1660" s="260" t="n">
        <v>1</v>
      </c>
    </row>
    <row r="1661" customFormat="false" ht="14.25" hidden="true" customHeight="true" outlineLevel="0" collapsed="false">
      <c r="A1661" s="263"/>
      <c r="B1661" s="259"/>
      <c r="C1661" s="259" t="s">
        <v>1947</v>
      </c>
      <c r="D1661" s="117" t="n">
        <v>115.19</v>
      </c>
      <c r="E1661" s="260" t="n">
        <v>1</v>
      </c>
    </row>
    <row r="1662" customFormat="false" ht="14.25" hidden="true" customHeight="true" outlineLevel="0" collapsed="false">
      <c r="A1662" s="263"/>
      <c r="B1662" s="259"/>
      <c r="C1662" s="259" t="s">
        <v>1948</v>
      </c>
      <c r="D1662" s="117" t="n">
        <v>115.19</v>
      </c>
      <c r="E1662" s="260" t="n">
        <v>1</v>
      </c>
    </row>
    <row r="1663" customFormat="false" ht="14.25" hidden="true" customHeight="true" outlineLevel="0" collapsed="false">
      <c r="A1663" s="263"/>
      <c r="B1663" s="259"/>
      <c r="C1663" s="259" t="s">
        <v>1949</v>
      </c>
      <c r="D1663" s="117" t="n">
        <v>115.19</v>
      </c>
      <c r="E1663" s="260" t="n">
        <v>1</v>
      </c>
    </row>
    <row r="1664" customFormat="false" ht="14.25" hidden="true" customHeight="true" outlineLevel="0" collapsed="false">
      <c r="A1664" s="263"/>
      <c r="B1664" s="259"/>
      <c r="C1664" s="259" t="s">
        <v>1950</v>
      </c>
      <c r="D1664" s="117" t="n">
        <v>115.19</v>
      </c>
      <c r="E1664" s="260" t="n">
        <v>1</v>
      </c>
    </row>
    <row r="1665" customFormat="false" ht="14.25" hidden="true" customHeight="true" outlineLevel="0" collapsed="false">
      <c r="A1665" s="263"/>
      <c r="B1665" s="259"/>
      <c r="C1665" s="259" t="s">
        <v>1951</v>
      </c>
      <c r="D1665" s="117" t="n">
        <v>115.19</v>
      </c>
      <c r="E1665" s="260" t="n">
        <v>1</v>
      </c>
    </row>
    <row r="1666" customFormat="false" ht="14.25" hidden="true" customHeight="true" outlineLevel="0" collapsed="false">
      <c r="A1666" s="263"/>
      <c r="B1666" s="259"/>
      <c r="C1666" s="259" t="s">
        <v>1952</v>
      </c>
      <c r="D1666" s="117" t="n">
        <v>115.19</v>
      </c>
      <c r="E1666" s="260" t="n">
        <v>1</v>
      </c>
    </row>
    <row r="1667" customFormat="false" ht="14.25" hidden="true" customHeight="true" outlineLevel="0" collapsed="false">
      <c r="A1667" s="263"/>
      <c r="B1667" s="259"/>
      <c r="C1667" s="259" t="s">
        <v>1953</v>
      </c>
      <c r="D1667" s="117" t="n">
        <v>115.19</v>
      </c>
      <c r="E1667" s="260" t="n">
        <v>1</v>
      </c>
    </row>
    <row r="1668" customFormat="false" ht="14.25" hidden="true" customHeight="true" outlineLevel="0" collapsed="false">
      <c r="A1668" s="263"/>
      <c r="B1668" s="259"/>
      <c r="C1668" s="259" t="s">
        <v>1954</v>
      </c>
      <c r="D1668" s="117" t="n">
        <v>115.19</v>
      </c>
      <c r="E1668" s="260" t="n">
        <v>1</v>
      </c>
    </row>
    <row r="1669" customFormat="false" ht="14.25" hidden="true" customHeight="true" outlineLevel="0" collapsed="false">
      <c r="A1669" s="263"/>
      <c r="B1669" s="259"/>
      <c r="C1669" s="259" t="s">
        <v>1955</v>
      </c>
      <c r="D1669" s="117" t="n">
        <v>115.19</v>
      </c>
      <c r="E1669" s="260" t="n">
        <v>1</v>
      </c>
    </row>
    <row r="1670" customFormat="false" ht="14.25" hidden="true" customHeight="true" outlineLevel="0" collapsed="false">
      <c r="A1670" s="263"/>
      <c r="B1670" s="259"/>
      <c r="C1670" s="259" t="s">
        <v>1956</v>
      </c>
      <c r="D1670" s="117" t="n">
        <v>115.19</v>
      </c>
      <c r="E1670" s="260" t="n">
        <v>1</v>
      </c>
    </row>
    <row r="1671" customFormat="false" ht="14.25" hidden="true" customHeight="true" outlineLevel="0" collapsed="false">
      <c r="A1671" s="263"/>
      <c r="B1671" s="259"/>
      <c r="C1671" s="259" t="s">
        <v>1957</v>
      </c>
      <c r="D1671" s="117" t="n">
        <v>115.19</v>
      </c>
      <c r="E1671" s="260" t="n">
        <v>1</v>
      </c>
    </row>
    <row r="1672" customFormat="false" ht="14.25" hidden="true" customHeight="true" outlineLevel="0" collapsed="false">
      <c r="A1672" s="263"/>
      <c r="B1672" s="259"/>
      <c r="C1672" s="259" t="s">
        <v>1958</v>
      </c>
      <c r="D1672" s="117" t="n">
        <v>115.19</v>
      </c>
      <c r="E1672" s="260" t="n">
        <v>1</v>
      </c>
    </row>
    <row r="1673" customFormat="false" ht="14.25" hidden="true" customHeight="true" outlineLevel="0" collapsed="false">
      <c r="A1673" s="263"/>
      <c r="B1673" s="259"/>
      <c r="C1673" s="259" t="s">
        <v>1959</v>
      </c>
      <c r="D1673" s="117" t="n">
        <v>115.19</v>
      </c>
      <c r="E1673" s="260" t="n">
        <v>1</v>
      </c>
    </row>
    <row r="1674" customFormat="false" ht="14.25" hidden="true" customHeight="true" outlineLevel="0" collapsed="false">
      <c r="A1674" s="263"/>
      <c r="B1674" s="259"/>
      <c r="C1674" s="259" t="s">
        <v>1960</v>
      </c>
      <c r="D1674" s="117" t="n">
        <v>115.19</v>
      </c>
      <c r="E1674" s="260" t="n">
        <v>1</v>
      </c>
    </row>
    <row r="1675" customFormat="false" ht="14.25" hidden="true" customHeight="true" outlineLevel="0" collapsed="false">
      <c r="A1675" s="263"/>
      <c r="B1675" s="259"/>
      <c r="C1675" s="259" t="s">
        <v>1961</v>
      </c>
      <c r="D1675" s="117" t="n">
        <v>115.19</v>
      </c>
      <c r="E1675" s="260" t="n">
        <v>1</v>
      </c>
    </row>
    <row r="1676" customFormat="false" ht="14.25" hidden="true" customHeight="true" outlineLevel="0" collapsed="false">
      <c r="A1676" s="263"/>
      <c r="B1676" s="259"/>
      <c r="C1676" s="259" t="s">
        <v>1962</v>
      </c>
      <c r="D1676" s="117" t="n">
        <v>115.19</v>
      </c>
      <c r="E1676" s="260" t="n">
        <v>1</v>
      </c>
    </row>
    <row r="1677" customFormat="false" ht="14.25" hidden="true" customHeight="true" outlineLevel="0" collapsed="false">
      <c r="A1677" s="263"/>
      <c r="B1677" s="259"/>
      <c r="C1677" s="259" t="s">
        <v>1963</v>
      </c>
      <c r="D1677" s="117" t="n">
        <v>115.19</v>
      </c>
      <c r="E1677" s="260" t="n">
        <v>1</v>
      </c>
    </row>
    <row r="1678" customFormat="false" ht="14.25" hidden="true" customHeight="true" outlineLevel="0" collapsed="false">
      <c r="A1678" s="263"/>
      <c r="B1678" s="259"/>
      <c r="C1678" s="259" t="s">
        <v>1964</v>
      </c>
      <c r="D1678" s="117" t="n">
        <v>115.19</v>
      </c>
      <c r="E1678" s="260" t="n">
        <v>1</v>
      </c>
    </row>
    <row r="1679" customFormat="false" ht="14.25" hidden="true" customHeight="true" outlineLevel="0" collapsed="false">
      <c r="A1679" s="263"/>
      <c r="B1679" s="259"/>
      <c r="C1679" s="259" t="s">
        <v>1965</v>
      </c>
      <c r="D1679" s="117" t="n">
        <v>115.19</v>
      </c>
      <c r="E1679" s="260" t="n">
        <v>1</v>
      </c>
    </row>
    <row r="1680" customFormat="false" ht="14.25" hidden="true" customHeight="true" outlineLevel="0" collapsed="false">
      <c r="A1680" s="263"/>
      <c r="B1680" s="259"/>
      <c r="C1680" s="259" t="s">
        <v>1966</v>
      </c>
      <c r="D1680" s="117" t="n">
        <v>115.19</v>
      </c>
      <c r="E1680" s="260" t="n">
        <v>1</v>
      </c>
    </row>
    <row r="1681" customFormat="false" ht="14.25" hidden="true" customHeight="true" outlineLevel="0" collapsed="false">
      <c r="A1681" s="263"/>
      <c r="B1681" s="259"/>
      <c r="C1681" s="259" t="s">
        <v>1967</v>
      </c>
      <c r="D1681" s="117" t="n">
        <v>115.19</v>
      </c>
      <c r="E1681" s="260" t="n">
        <v>1</v>
      </c>
    </row>
    <row r="1682" customFormat="false" ht="14.25" hidden="true" customHeight="true" outlineLevel="0" collapsed="false">
      <c r="A1682" s="263"/>
      <c r="B1682" s="259"/>
      <c r="C1682" s="259" t="s">
        <v>1968</v>
      </c>
      <c r="D1682" s="117" t="n">
        <v>115.19</v>
      </c>
      <c r="E1682" s="260" t="n">
        <v>1</v>
      </c>
    </row>
    <row r="1683" customFormat="false" ht="14.25" hidden="true" customHeight="true" outlineLevel="0" collapsed="false">
      <c r="A1683" s="263"/>
      <c r="B1683" s="259"/>
      <c r="C1683" s="259" t="s">
        <v>1969</v>
      </c>
      <c r="D1683" s="117" t="n">
        <v>115.19</v>
      </c>
      <c r="E1683" s="260" t="n">
        <v>1</v>
      </c>
    </row>
    <row r="1684" customFormat="false" ht="14.25" hidden="true" customHeight="true" outlineLevel="0" collapsed="false">
      <c r="A1684" s="263"/>
      <c r="B1684" s="259"/>
      <c r="C1684" s="259" t="s">
        <v>1970</v>
      </c>
      <c r="D1684" s="117" t="n">
        <v>115.19</v>
      </c>
      <c r="E1684" s="260" t="n">
        <v>1</v>
      </c>
    </row>
    <row r="1685" customFormat="false" ht="14.25" hidden="true" customHeight="true" outlineLevel="0" collapsed="false">
      <c r="A1685" s="263"/>
      <c r="B1685" s="259"/>
      <c r="C1685" s="259" t="s">
        <v>1971</v>
      </c>
      <c r="D1685" s="117" t="n">
        <v>115.19</v>
      </c>
      <c r="E1685" s="260" t="n">
        <v>1</v>
      </c>
    </row>
    <row r="1686" customFormat="false" ht="14.25" hidden="true" customHeight="true" outlineLevel="0" collapsed="false">
      <c r="A1686" s="263"/>
      <c r="B1686" s="259"/>
      <c r="C1686" s="259" t="s">
        <v>1972</v>
      </c>
      <c r="D1686" s="117" t="n">
        <v>115.19</v>
      </c>
      <c r="E1686" s="260" t="n">
        <v>1</v>
      </c>
    </row>
    <row r="1687" customFormat="false" ht="14.25" hidden="true" customHeight="true" outlineLevel="0" collapsed="false">
      <c r="A1687" s="263"/>
      <c r="B1687" s="259"/>
      <c r="C1687" s="259" t="s">
        <v>1973</v>
      </c>
      <c r="D1687" s="117" t="n">
        <v>115.19</v>
      </c>
      <c r="E1687" s="260" t="n">
        <v>1</v>
      </c>
    </row>
    <row r="1688" customFormat="false" ht="14.25" hidden="true" customHeight="true" outlineLevel="0" collapsed="false">
      <c r="A1688" s="263"/>
      <c r="B1688" s="259"/>
      <c r="C1688" s="259" t="s">
        <v>1974</v>
      </c>
      <c r="D1688" s="117" t="n">
        <v>115.19</v>
      </c>
      <c r="E1688" s="260" t="n">
        <v>1</v>
      </c>
    </row>
    <row r="1689" customFormat="false" ht="14.25" hidden="true" customHeight="true" outlineLevel="0" collapsed="false">
      <c r="A1689" s="263"/>
      <c r="B1689" s="259"/>
      <c r="C1689" s="259" t="s">
        <v>1975</v>
      </c>
      <c r="D1689" s="117" t="n">
        <v>115.19</v>
      </c>
      <c r="E1689" s="260" t="n">
        <v>1</v>
      </c>
    </row>
    <row r="1690" customFormat="false" ht="14.25" hidden="true" customHeight="true" outlineLevel="0" collapsed="false">
      <c r="A1690" s="263"/>
      <c r="B1690" s="259"/>
      <c r="C1690" s="259" t="s">
        <v>1976</v>
      </c>
      <c r="D1690" s="117" t="n">
        <v>115.19</v>
      </c>
      <c r="E1690" s="260" t="n">
        <v>1</v>
      </c>
    </row>
    <row r="1691" customFormat="false" ht="14.25" hidden="true" customHeight="true" outlineLevel="0" collapsed="false">
      <c r="A1691" s="263"/>
      <c r="B1691" s="259"/>
      <c r="C1691" s="259" t="s">
        <v>1977</v>
      </c>
      <c r="D1691" s="117" t="n">
        <v>115.19</v>
      </c>
      <c r="E1691" s="260" t="n">
        <v>1</v>
      </c>
    </row>
    <row r="1692" customFormat="false" ht="14.25" hidden="true" customHeight="true" outlineLevel="0" collapsed="false">
      <c r="A1692" s="263"/>
      <c r="B1692" s="259"/>
      <c r="C1692" s="259" t="s">
        <v>1978</v>
      </c>
      <c r="D1692" s="117" t="n">
        <v>115.19</v>
      </c>
      <c r="E1692" s="260" t="n">
        <v>1</v>
      </c>
    </row>
    <row r="1693" customFormat="false" ht="14.25" hidden="true" customHeight="true" outlineLevel="0" collapsed="false">
      <c r="A1693" s="263"/>
      <c r="B1693" s="259"/>
      <c r="C1693" s="259" t="s">
        <v>1979</v>
      </c>
      <c r="D1693" s="117" t="n">
        <v>115.19</v>
      </c>
      <c r="E1693" s="260" t="n">
        <v>1</v>
      </c>
    </row>
    <row r="1694" customFormat="false" ht="14.25" hidden="true" customHeight="true" outlineLevel="0" collapsed="false">
      <c r="A1694" s="263"/>
      <c r="B1694" s="259"/>
      <c r="C1694" s="259" t="s">
        <v>1980</v>
      </c>
      <c r="D1694" s="117" t="n">
        <v>115.19</v>
      </c>
      <c r="E1694" s="260" t="n">
        <v>1</v>
      </c>
    </row>
    <row r="1695" customFormat="false" ht="14.25" hidden="true" customHeight="true" outlineLevel="0" collapsed="false">
      <c r="A1695" s="263"/>
      <c r="B1695" s="259"/>
      <c r="C1695" s="259" t="s">
        <v>1981</v>
      </c>
      <c r="D1695" s="117" t="n">
        <v>115.19</v>
      </c>
      <c r="E1695" s="260" t="n">
        <v>1</v>
      </c>
    </row>
    <row r="1696" customFormat="false" ht="14.25" hidden="true" customHeight="true" outlineLevel="0" collapsed="false">
      <c r="A1696" s="263"/>
      <c r="B1696" s="259"/>
      <c r="C1696" s="259" t="s">
        <v>1982</v>
      </c>
      <c r="D1696" s="117" t="n">
        <v>115.19</v>
      </c>
      <c r="E1696" s="260" t="n">
        <v>1</v>
      </c>
    </row>
    <row r="1697" customFormat="false" ht="14.25" hidden="true" customHeight="true" outlineLevel="0" collapsed="false">
      <c r="A1697" s="263"/>
      <c r="B1697" s="259"/>
      <c r="C1697" s="259" t="s">
        <v>1983</v>
      </c>
      <c r="D1697" s="117" t="n">
        <v>115.19</v>
      </c>
      <c r="E1697" s="260" t="n">
        <v>1</v>
      </c>
    </row>
    <row r="1698" customFormat="false" ht="14.25" hidden="true" customHeight="true" outlineLevel="0" collapsed="false">
      <c r="A1698" s="263"/>
      <c r="B1698" s="259"/>
      <c r="C1698" s="259" t="s">
        <v>1984</v>
      </c>
      <c r="D1698" s="117" t="n">
        <v>115.19</v>
      </c>
      <c r="E1698" s="260" t="n">
        <v>1</v>
      </c>
    </row>
    <row r="1699" customFormat="false" ht="14.25" hidden="true" customHeight="true" outlineLevel="0" collapsed="false">
      <c r="A1699" s="263"/>
      <c r="B1699" s="259"/>
      <c r="C1699" s="259" t="s">
        <v>1985</v>
      </c>
      <c r="D1699" s="117" t="n">
        <v>115.19</v>
      </c>
      <c r="E1699" s="260" t="n">
        <v>1</v>
      </c>
    </row>
    <row r="1700" customFormat="false" ht="14.25" hidden="true" customHeight="true" outlineLevel="0" collapsed="false">
      <c r="A1700" s="263"/>
      <c r="B1700" s="259"/>
      <c r="C1700" s="259" t="s">
        <v>1986</v>
      </c>
      <c r="D1700" s="117" t="n">
        <v>115.19</v>
      </c>
      <c r="E1700" s="260" t="n">
        <v>1</v>
      </c>
    </row>
    <row r="1701" customFormat="false" ht="14.25" hidden="true" customHeight="true" outlineLevel="0" collapsed="false">
      <c r="A1701" s="263"/>
      <c r="B1701" s="259"/>
      <c r="C1701" s="259" t="s">
        <v>1987</v>
      </c>
      <c r="D1701" s="117" t="n">
        <v>115.18</v>
      </c>
      <c r="E1701" s="260" t="n">
        <v>1</v>
      </c>
    </row>
    <row r="1702" customFormat="false" ht="14.25" hidden="true" customHeight="true" outlineLevel="0" collapsed="false">
      <c r="A1702" s="263"/>
      <c r="B1702" s="259"/>
      <c r="C1702" s="259" t="s">
        <v>1988</v>
      </c>
      <c r="D1702" s="117" t="n">
        <v>115.18</v>
      </c>
      <c r="E1702" s="260" t="n">
        <v>1</v>
      </c>
    </row>
    <row r="1703" customFormat="false" ht="14.25" hidden="true" customHeight="true" outlineLevel="0" collapsed="false">
      <c r="A1703" s="263"/>
      <c r="B1703" s="259"/>
      <c r="C1703" s="259" t="s">
        <v>1989</v>
      </c>
      <c r="D1703" s="117" t="n">
        <v>115.18</v>
      </c>
      <c r="E1703" s="260" t="n">
        <v>1</v>
      </c>
    </row>
    <row r="1704" customFormat="false" ht="14.25" hidden="true" customHeight="true" outlineLevel="0" collapsed="false">
      <c r="A1704" s="263"/>
      <c r="B1704" s="259"/>
      <c r="C1704" s="259" t="s">
        <v>1990</v>
      </c>
      <c r="D1704" s="117" t="n">
        <v>115.18</v>
      </c>
      <c r="E1704" s="260" t="n">
        <v>1</v>
      </c>
    </row>
    <row r="1705" customFormat="false" ht="14.25" hidden="true" customHeight="true" outlineLevel="0" collapsed="false">
      <c r="A1705" s="263"/>
      <c r="B1705" s="259"/>
      <c r="C1705" s="259" t="s">
        <v>1991</v>
      </c>
      <c r="D1705" s="117" t="n">
        <v>115.18</v>
      </c>
      <c r="E1705" s="260" t="n">
        <v>1</v>
      </c>
    </row>
    <row r="1706" customFormat="false" ht="14.25" hidden="true" customHeight="true" outlineLevel="0" collapsed="false">
      <c r="A1706" s="263"/>
      <c r="B1706" s="259"/>
      <c r="C1706" s="259" t="s">
        <v>1992</v>
      </c>
      <c r="D1706" s="117" t="n">
        <v>115.18</v>
      </c>
      <c r="E1706" s="260" t="n">
        <v>1</v>
      </c>
    </row>
    <row r="1707" customFormat="false" ht="14.25" hidden="true" customHeight="true" outlineLevel="0" collapsed="false">
      <c r="A1707" s="263"/>
      <c r="B1707" s="259"/>
      <c r="C1707" s="259" t="s">
        <v>1993</v>
      </c>
      <c r="D1707" s="117" t="n">
        <v>115.18</v>
      </c>
      <c r="E1707" s="260" t="n">
        <v>1</v>
      </c>
    </row>
    <row r="1708" customFormat="false" ht="14.25" hidden="true" customHeight="true" outlineLevel="0" collapsed="false">
      <c r="A1708" s="263"/>
      <c r="B1708" s="259"/>
      <c r="C1708" s="259" t="s">
        <v>1994</v>
      </c>
      <c r="D1708" s="117" t="n">
        <v>115.18</v>
      </c>
      <c r="E1708" s="260" t="n">
        <v>1</v>
      </c>
    </row>
    <row r="1709" customFormat="false" ht="14.25" hidden="true" customHeight="true" outlineLevel="0" collapsed="false">
      <c r="A1709" s="263"/>
      <c r="B1709" s="259"/>
      <c r="C1709" s="259" t="s">
        <v>1995</v>
      </c>
      <c r="D1709" s="117" t="n">
        <v>115.18</v>
      </c>
      <c r="E1709" s="260" t="n">
        <v>1</v>
      </c>
    </row>
    <row r="1710" customFormat="false" ht="14.25" hidden="true" customHeight="true" outlineLevel="0" collapsed="false">
      <c r="A1710" s="263"/>
      <c r="B1710" s="259"/>
      <c r="C1710" s="259" t="s">
        <v>1996</v>
      </c>
      <c r="D1710" s="117" t="n">
        <v>115.18</v>
      </c>
      <c r="E1710" s="260" t="n">
        <v>1</v>
      </c>
    </row>
    <row r="1711" customFormat="false" ht="14.25" hidden="true" customHeight="true" outlineLevel="0" collapsed="false">
      <c r="A1711" s="263"/>
      <c r="B1711" s="259"/>
      <c r="C1711" s="259" t="s">
        <v>1997</v>
      </c>
      <c r="D1711" s="117" t="n">
        <v>115.18</v>
      </c>
      <c r="E1711" s="260" t="n">
        <v>1</v>
      </c>
    </row>
    <row r="1712" customFormat="false" ht="14.25" hidden="true" customHeight="true" outlineLevel="0" collapsed="false">
      <c r="A1712" s="263"/>
      <c r="B1712" s="259"/>
      <c r="C1712" s="259" t="s">
        <v>1998</v>
      </c>
      <c r="D1712" s="117" t="n">
        <v>115.18</v>
      </c>
      <c r="E1712" s="260" t="n">
        <v>1</v>
      </c>
    </row>
    <row r="1713" customFormat="false" ht="14.25" hidden="true" customHeight="true" outlineLevel="0" collapsed="false">
      <c r="A1713" s="263"/>
      <c r="B1713" s="259"/>
      <c r="C1713" s="259" t="s">
        <v>1999</v>
      </c>
      <c r="D1713" s="117" t="n">
        <v>115.18</v>
      </c>
      <c r="E1713" s="260" t="n">
        <v>1</v>
      </c>
    </row>
    <row r="1714" customFormat="false" ht="14.25" hidden="true" customHeight="true" outlineLevel="0" collapsed="false">
      <c r="A1714" s="263"/>
      <c r="B1714" s="259"/>
      <c r="C1714" s="259" t="s">
        <v>2000</v>
      </c>
      <c r="D1714" s="117" t="n">
        <v>115.18</v>
      </c>
      <c r="E1714" s="260" t="n">
        <v>1</v>
      </c>
    </row>
    <row r="1715" customFormat="false" ht="14.25" hidden="true" customHeight="true" outlineLevel="0" collapsed="false">
      <c r="A1715" s="263"/>
      <c r="B1715" s="259"/>
      <c r="C1715" s="259" t="s">
        <v>2001</v>
      </c>
      <c r="D1715" s="117" t="n">
        <v>115.18</v>
      </c>
      <c r="E1715" s="260" t="n">
        <v>1</v>
      </c>
    </row>
    <row r="1716" customFormat="false" ht="14.25" hidden="true" customHeight="true" outlineLevel="0" collapsed="false">
      <c r="A1716" s="263"/>
      <c r="B1716" s="259"/>
      <c r="C1716" s="259" t="s">
        <v>2002</v>
      </c>
      <c r="D1716" s="117" t="n">
        <v>115.18</v>
      </c>
      <c r="E1716" s="260" t="n">
        <v>1</v>
      </c>
    </row>
    <row r="1717" customFormat="false" ht="14.25" hidden="true" customHeight="true" outlineLevel="0" collapsed="false">
      <c r="A1717" s="263"/>
      <c r="B1717" s="259"/>
      <c r="C1717" s="259" t="s">
        <v>2003</v>
      </c>
      <c r="D1717" s="117" t="n">
        <v>115.18</v>
      </c>
      <c r="E1717" s="260" t="n">
        <v>1</v>
      </c>
    </row>
    <row r="1718" customFormat="false" ht="14.25" hidden="true" customHeight="true" outlineLevel="0" collapsed="false">
      <c r="A1718" s="263"/>
      <c r="B1718" s="259"/>
      <c r="C1718" s="259" t="s">
        <v>2004</v>
      </c>
      <c r="D1718" s="117" t="n">
        <v>115.18</v>
      </c>
      <c r="E1718" s="260" t="n">
        <v>1</v>
      </c>
    </row>
    <row r="1719" customFormat="false" ht="14.25" hidden="true" customHeight="true" outlineLevel="0" collapsed="false">
      <c r="A1719" s="263"/>
      <c r="B1719" s="259"/>
      <c r="C1719" s="259" t="s">
        <v>2005</v>
      </c>
      <c r="D1719" s="117" t="n">
        <v>115.18</v>
      </c>
      <c r="E1719" s="260" t="n">
        <v>1</v>
      </c>
    </row>
    <row r="1720" customFormat="false" ht="14.25" hidden="true" customHeight="true" outlineLevel="0" collapsed="false">
      <c r="A1720" s="263"/>
      <c r="B1720" s="259"/>
      <c r="C1720" s="259" t="s">
        <v>2006</v>
      </c>
      <c r="D1720" s="117" t="n">
        <v>115.18</v>
      </c>
      <c r="E1720" s="260" t="n">
        <v>1</v>
      </c>
    </row>
    <row r="1721" customFormat="false" ht="14.25" hidden="true" customHeight="true" outlineLevel="0" collapsed="false">
      <c r="A1721" s="263"/>
      <c r="B1721" s="259"/>
      <c r="C1721" s="259" t="s">
        <v>2007</v>
      </c>
      <c r="D1721" s="117" t="n">
        <v>115.18</v>
      </c>
      <c r="E1721" s="260" t="n">
        <v>1</v>
      </c>
    </row>
    <row r="1722" customFormat="false" ht="14.25" hidden="true" customHeight="true" outlineLevel="0" collapsed="false">
      <c r="A1722" s="263"/>
      <c r="B1722" s="259"/>
      <c r="C1722" s="259" t="s">
        <v>2008</v>
      </c>
      <c r="D1722" s="117" t="n">
        <v>115.18</v>
      </c>
      <c r="E1722" s="260" t="n">
        <v>1</v>
      </c>
    </row>
    <row r="1723" customFormat="false" ht="14.25" hidden="true" customHeight="true" outlineLevel="0" collapsed="false">
      <c r="A1723" s="263"/>
      <c r="B1723" s="259"/>
      <c r="C1723" s="259" t="s">
        <v>2009</v>
      </c>
      <c r="D1723" s="117" t="n">
        <v>115.18</v>
      </c>
      <c r="E1723" s="260" t="n">
        <v>1</v>
      </c>
    </row>
    <row r="1724" customFormat="false" ht="14.25" hidden="true" customHeight="true" outlineLevel="0" collapsed="false">
      <c r="A1724" s="263"/>
      <c r="B1724" s="259"/>
      <c r="C1724" s="259" t="s">
        <v>2010</v>
      </c>
      <c r="D1724" s="117" t="n">
        <v>115.18</v>
      </c>
      <c r="E1724" s="260" t="n">
        <v>1</v>
      </c>
    </row>
    <row r="1725" customFormat="false" ht="14.25" hidden="true" customHeight="true" outlineLevel="0" collapsed="false">
      <c r="A1725" s="263"/>
      <c r="B1725" s="259"/>
      <c r="C1725" s="259" t="s">
        <v>2011</v>
      </c>
      <c r="D1725" s="117" t="n">
        <v>115.18</v>
      </c>
      <c r="E1725" s="260" t="n">
        <v>1</v>
      </c>
    </row>
    <row r="1726" customFormat="false" ht="14.25" hidden="true" customHeight="true" outlineLevel="0" collapsed="false">
      <c r="A1726" s="263"/>
      <c r="B1726" s="259"/>
      <c r="C1726" s="259" t="s">
        <v>2012</v>
      </c>
      <c r="D1726" s="117" t="n">
        <v>115.18</v>
      </c>
      <c r="E1726" s="260" t="n">
        <v>1</v>
      </c>
    </row>
    <row r="1727" customFormat="false" ht="14.25" hidden="true" customHeight="true" outlineLevel="0" collapsed="false">
      <c r="A1727" s="263"/>
      <c r="B1727" s="259"/>
      <c r="C1727" s="259" t="s">
        <v>2013</v>
      </c>
      <c r="D1727" s="117" t="n">
        <v>115.18</v>
      </c>
      <c r="E1727" s="260" t="n">
        <v>1</v>
      </c>
    </row>
    <row r="1728" customFormat="false" ht="14.25" hidden="true" customHeight="true" outlineLevel="0" collapsed="false">
      <c r="A1728" s="263"/>
      <c r="B1728" s="259"/>
      <c r="C1728" s="259" t="s">
        <v>2014</v>
      </c>
      <c r="D1728" s="117" t="n">
        <v>115.18</v>
      </c>
      <c r="E1728" s="260" t="n">
        <v>1</v>
      </c>
    </row>
    <row r="1729" customFormat="false" ht="14.25" hidden="true" customHeight="true" outlineLevel="0" collapsed="false">
      <c r="A1729" s="263"/>
      <c r="B1729" s="259"/>
      <c r="C1729" s="259" t="s">
        <v>2015</v>
      </c>
      <c r="D1729" s="117" t="n">
        <v>115.18</v>
      </c>
      <c r="E1729" s="260" t="n">
        <v>1</v>
      </c>
    </row>
    <row r="1730" customFormat="false" ht="14.25" hidden="true" customHeight="true" outlineLevel="0" collapsed="false">
      <c r="A1730" s="263"/>
      <c r="B1730" s="259"/>
      <c r="C1730" s="259" t="s">
        <v>2016</v>
      </c>
      <c r="D1730" s="117" t="n">
        <v>115.18</v>
      </c>
      <c r="E1730" s="260" t="n">
        <v>1</v>
      </c>
    </row>
    <row r="1731" customFormat="false" ht="14.25" hidden="true" customHeight="true" outlineLevel="0" collapsed="false">
      <c r="A1731" s="263"/>
      <c r="B1731" s="259"/>
      <c r="C1731" s="259" t="s">
        <v>2017</v>
      </c>
      <c r="D1731" s="117" t="n">
        <v>115.18</v>
      </c>
      <c r="E1731" s="260" t="n">
        <v>1</v>
      </c>
    </row>
    <row r="1732" customFormat="false" ht="14.25" hidden="true" customHeight="true" outlineLevel="0" collapsed="false">
      <c r="A1732" s="263"/>
      <c r="B1732" s="259"/>
      <c r="C1732" s="259" t="s">
        <v>2018</v>
      </c>
      <c r="D1732" s="117" t="n">
        <v>115.08</v>
      </c>
      <c r="E1732" s="260" t="n">
        <v>2</v>
      </c>
    </row>
    <row r="1733" customFormat="false" ht="14.25" hidden="true" customHeight="true" outlineLevel="0" collapsed="false">
      <c r="A1733" s="263"/>
      <c r="B1733" s="259"/>
      <c r="C1733" s="259" t="s">
        <v>2019</v>
      </c>
      <c r="D1733" s="117" t="n">
        <v>114.33</v>
      </c>
      <c r="E1733" s="260" t="n">
        <v>1</v>
      </c>
    </row>
    <row r="1734" customFormat="false" ht="14.25" hidden="true" customHeight="true" outlineLevel="0" collapsed="false">
      <c r="A1734" s="263"/>
      <c r="B1734" s="259"/>
      <c r="C1734" s="259" t="s">
        <v>2020</v>
      </c>
      <c r="D1734" s="117" t="n">
        <v>114.33</v>
      </c>
      <c r="E1734" s="260" t="n">
        <v>1</v>
      </c>
    </row>
    <row r="1735" customFormat="false" ht="14.25" hidden="true" customHeight="true" outlineLevel="0" collapsed="false">
      <c r="A1735" s="263"/>
      <c r="B1735" s="259"/>
      <c r="C1735" s="259" t="s">
        <v>2021</v>
      </c>
      <c r="D1735" s="117" t="n">
        <v>114.33</v>
      </c>
      <c r="E1735" s="260" t="n">
        <v>1</v>
      </c>
    </row>
    <row r="1736" customFormat="false" ht="14.25" hidden="true" customHeight="true" outlineLevel="0" collapsed="false">
      <c r="A1736" s="263"/>
      <c r="B1736" s="259"/>
      <c r="C1736" s="259" t="s">
        <v>2022</v>
      </c>
      <c r="D1736" s="117" t="n">
        <v>114.33</v>
      </c>
      <c r="E1736" s="260" t="n">
        <v>1</v>
      </c>
    </row>
    <row r="1737" customFormat="false" ht="14.25" hidden="true" customHeight="true" outlineLevel="0" collapsed="false">
      <c r="A1737" s="263"/>
      <c r="B1737" s="259"/>
      <c r="C1737" s="259" t="s">
        <v>2023</v>
      </c>
      <c r="D1737" s="117" t="n">
        <v>114.33</v>
      </c>
      <c r="E1737" s="260" t="n">
        <v>1</v>
      </c>
    </row>
    <row r="1738" customFormat="false" ht="14.25" hidden="true" customHeight="true" outlineLevel="0" collapsed="false">
      <c r="A1738" s="263"/>
      <c r="B1738" s="259"/>
      <c r="C1738" s="259" t="s">
        <v>2024</v>
      </c>
      <c r="D1738" s="117" t="n">
        <v>114.33</v>
      </c>
      <c r="E1738" s="260" t="n">
        <v>1</v>
      </c>
    </row>
    <row r="1739" customFormat="false" ht="14.25" hidden="true" customHeight="true" outlineLevel="0" collapsed="false">
      <c r="A1739" s="263"/>
      <c r="B1739" s="259"/>
      <c r="C1739" s="259" t="s">
        <v>2025</v>
      </c>
      <c r="D1739" s="117" t="n">
        <v>114.33</v>
      </c>
      <c r="E1739" s="260" t="n">
        <v>1</v>
      </c>
    </row>
    <row r="1740" customFormat="false" ht="14.25" hidden="true" customHeight="true" outlineLevel="0" collapsed="false">
      <c r="A1740" s="263"/>
      <c r="B1740" s="259"/>
      <c r="C1740" s="259" t="s">
        <v>2026</v>
      </c>
      <c r="D1740" s="117" t="n">
        <v>114.33</v>
      </c>
      <c r="E1740" s="260" t="n">
        <v>1</v>
      </c>
    </row>
    <row r="1741" customFormat="false" ht="14.25" hidden="true" customHeight="true" outlineLevel="0" collapsed="false">
      <c r="A1741" s="263"/>
      <c r="B1741" s="259"/>
      <c r="C1741" s="259" t="s">
        <v>2027</v>
      </c>
      <c r="D1741" s="117" t="n">
        <v>114.33</v>
      </c>
      <c r="E1741" s="260" t="n">
        <v>1</v>
      </c>
    </row>
    <row r="1742" customFormat="false" ht="14.25" hidden="true" customHeight="true" outlineLevel="0" collapsed="false">
      <c r="A1742" s="263"/>
      <c r="B1742" s="259"/>
      <c r="C1742" s="259" t="s">
        <v>2028</v>
      </c>
      <c r="D1742" s="117" t="n">
        <v>114.33</v>
      </c>
      <c r="E1742" s="260" t="n">
        <v>1</v>
      </c>
    </row>
    <row r="1743" customFormat="false" ht="14.25" hidden="true" customHeight="true" outlineLevel="0" collapsed="false">
      <c r="A1743" s="263"/>
      <c r="B1743" s="259"/>
      <c r="C1743" s="259" t="s">
        <v>2029</v>
      </c>
      <c r="D1743" s="117" t="n">
        <v>114.33</v>
      </c>
      <c r="E1743" s="260" t="n">
        <v>1</v>
      </c>
    </row>
    <row r="1744" customFormat="false" ht="14.25" hidden="true" customHeight="true" outlineLevel="0" collapsed="false">
      <c r="A1744" s="263"/>
      <c r="B1744" s="259"/>
      <c r="C1744" s="259" t="s">
        <v>2030</v>
      </c>
      <c r="D1744" s="117" t="n">
        <v>114.33</v>
      </c>
      <c r="E1744" s="260" t="n">
        <v>1</v>
      </c>
    </row>
    <row r="1745" customFormat="false" ht="14.25" hidden="true" customHeight="true" outlineLevel="0" collapsed="false">
      <c r="A1745" s="263"/>
      <c r="B1745" s="259"/>
      <c r="C1745" s="259" t="s">
        <v>2031</v>
      </c>
      <c r="D1745" s="117" t="n">
        <v>114.33</v>
      </c>
      <c r="E1745" s="260" t="n">
        <v>1</v>
      </c>
    </row>
    <row r="1746" customFormat="false" ht="14.25" hidden="true" customHeight="true" outlineLevel="0" collapsed="false">
      <c r="A1746" s="263"/>
      <c r="B1746" s="259"/>
      <c r="C1746" s="259" t="s">
        <v>2032</v>
      </c>
      <c r="D1746" s="117" t="n">
        <v>114.33</v>
      </c>
      <c r="E1746" s="260" t="n">
        <v>1</v>
      </c>
    </row>
    <row r="1747" customFormat="false" ht="14.25" hidden="true" customHeight="true" outlineLevel="0" collapsed="false">
      <c r="A1747" s="263"/>
      <c r="B1747" s="259"/>
      <c r="C1747" s="259" t="s">
        <v>2033</v>
      </c>
      <c r="D1747" s="117" t="n">
        <v>114.33</v>
      </c>
      <c r="E1747" s="260" t="n">
        <v>1</v>
      </c>
    </row>
    <row r="1748" customFormat="false" ht="14.25" hidden="true" customHeight="true" outlineLevel="0" collapsed="false">
      <c r="A1748" s="263"/>
      <c r="B1748" s="259"/>
      <c r="C1748" s="259" t="s">
        <v>2034</v>
      </c>
      <c r="D1748" s="117" t="n">
        <v>114.33</v>
      </c>
      <c r="E1748" s="260" t="n">
        <v>1</v>
      </c>
    </row>
    <row r="1749" customFormat="false" ht="14.25" hidden="true" customHeight="true" outlineLevel="0" collapsed="false">
      <c r="A1749" s="263"/>
      <c r="B1749" s="259"/>
      <c r="C1749" s="259" t="s">
        <v>2035</v>
      </c>
      <c r="D1749" s="117" t="n">
        <v>114.33</v>
      </c>
      <c r="E1749" s="260" t="n">
        <v>1</v>
      </c>
    </row>
    <row r="1750" customFormat="false" ht="14.25" hidden="true" customHeight="true" outlineLevel="0" collapsed="false">
      <c r="A1750" s="263"/>
      <c r="B1750" s="259"/>
      <c r="C1750" s="259" t="s">
        <v>2036</v>
      </c>
      <c r="D1750" s="117" t="n">
        <v>114.33</v>
      </c>
      <c r="E1750" s="260" t="n">
        <v>1</v>
      </c>
    </row>
    <row r="1751" customFormat="false" ht="14.25" hidden="true" customHeight="true" outlineLevel="0" collapsed="false">
      <c r="A1751" s="263"/>
      <c r="B1751" s="259"/>
      <c r="C1751" s="259" t="s">
        <v>2037</v>
      </c>
      <c r="D1751" s="117" t="n">
        <v>114.33</v>
      </c>
      <c r="E1751" s="260" t="n">
        <v>1</v>
      </c>
    </row>
    <row r="1752" customFormat="false" ht="14.25" hidden="true" customHeight="true" outlineLevel="0" collapsed="false">
      <c r="A1752" s="263"/>
      <c r="B1752" s="259"/>
      <c r="C1752" s="259" t="s">
        <v>2038</v>
      </c>
      <c r="D1752" s="117" t="n">
        <v>114.33</v>
      </c>
      <c r="E1752" s="260" t="n">
        <v>1</v>
      </c>
    </row>
    <row r="1753" customFormat="false" ht="14.25" hidden="true" customHeight="true" outlineLevel="0" collapsed="false">
      <c r="A1753" s="263"/>
      <c r="B1753" s="259"/>
      <c r="C1753" s="259" t="s">
        <v>2039</v>
      </c>
      <c r="D1753" s="117" t="n">
        <v>114.33</v>
      </c>
      <c r="E1753" s="260" t="n">
        <v>1</v>
      </c>
    </row>
    <row r="1754" customFormat="false" ht="14.25" hidden="true" customHeight="true" outlineLevel="0" collapsed="false">
      <c r="A1754" s="263"/>
      <c r="B1754" s="259"/>
      <c r="C1754" s="259" t="s">
        <v>2040</v>
      </c>
      <c r="D1754" s="117" t="n">
        <v>114.33</v>
      </c>
      <c r="E1754" s="260" t="n">
        <v>1</v>
      </c>
    </row>
    <row r="1755" customFormat="false" ht="14.25" hidden="true" customHeight="true" outlineLevel="0" collapsed="false">
      <c r="A1755" s="263"/>
      <c r="B1755" s="259"/>
      <c r="C1755" s="259" t="s">
        <v>2041</v>
      </c>
      <c r="D1755" s="117" t="n">
        <v>114.33</v>
      </c>
      <c r="E1755" s="260" t="n">
        <v>1</v>
      </c>
    </row>
    <row r="1756" customFormat="false" ht="14.25" hidden="true" customHeight="true" outlineLevel="0" collapsed="false">
      <c r="A1756" s="263"/>
      <c r="B1756" s="259"/>
      <c r="C1756" s="259" t="s">
        <v>2042</v>
      </c>
      <c r="D1756" s="117" t="n">
        <v>114.33</v>
      </c>
      <c r="E1756" s="260" t="n">
        <v>1</v>
      </c>
    </row>
    <row r="1757" customFormat="false" ht="14.25" hidden="true" customHeight="true" outlineLevel="0" collapsed="false">
      <c r="A1757" s="263"/>
      <c r="B1757" s="259"/>
      <c r="C1757" s="259" t="s">
        <v>2043</v>
      </c>
      <c r="D1757" s="117" t="n">
        <v>114.33</v>
      </c>
      <c r="E1757" s="260" t="n">
        <v>1</v>
      </c>
    </row>
    <row r="1758" customFormat="false" ht="14.25" hidden="true" customHeight="true" outlineLevel="0" collapsed="false">
      <c r="A1758" s="263"/>
      <c r="B1758" s="259"/>
      <c r="C1758" s="259" t="s">
        <v>2044</v>
      </c>
      <c r="D1758" s="117" t="n">
        <v>114.33</v>
      </c>
      <c r="E1758" s="260" t="n">
        <v>1</v>
      </c>
    </row>
    <row r="1759" customFormat="false" ht="14.25" hidden="true" customHeight="true" outlineLevel="0" collapsed="false">
      <c r="A1759" s="263"/>
      <c r="B1759" s="259"/>
      <c r="C1759" s="259" t="s">
        <v>2045</v>
      </c>
      <c r="D1759" s="117" t="n">
        <v>114.33</v>
      </c>
      <c r="E1759" s="260" t="n">
        <v>1</v>
      </c>
    </row>
    <row r="1760" customFormat="false" ht="14.25" hidden="true" customHeight="true" outlineLevel="0" collapsed="false">
      <c r="A1760" s="263"/>
      <c r="B1760" s="259"/>
      <c r="C1760" s="259" t="s">
        <v>2046</v>
      </c>
      <c r="D1760" s="117" t="n">
        <v>114.33</v>
      </c>
      <c r="E1760" s="260" t="n">
        <v>1</v>
      </c>
    </row>
    <row r="1761" customFormat="false" ht="14.25" hidden="true" customHeight="true" outlineLevel="0" collapsed="false">
      <c r="A1761" s="263"/>
      <c r="B1761" s="259"/>
      <c r="C1761" s="259" t="s">
        <v>2047</v>
      </c>
      <c r="D1761" s="117" t="n">
        <v>114.33</v>
      </c>
      <c r="E1761" s="260" t="n">
        <v>1</v>
      </c>
    </row>
    <row r="1762" customFormat="false" ht="14.25" hidden="true" customHeight="true" outlineLevel="0" collapsed="false">
      <c r="A1762" s="263"/>
      <c r="B1762" s="259"/>
      <c r="C1762" s="259" t="s">
        <v>2048</v>
      </c>
      <c r="D1762" s="117" t="n">
        <v>114.33</v>
      </c>
      <c r="E1762" s="260" t="n">
        <v>1</v>
      </c>
    </row>
    <row r="1763" customFormat="false" ht="14.25" hidden="true" customHeight="true" outlineLevel="0" collapsed="false">
      <c r="A1763" s="263"/>
      <c r="B1763" s="259"/>
      <c r="C1763" s="259" t="s">
        <v>2049</v>
      </c>
      <c r="D1763" s="117" t="n">
        <v>114.33</v>
      </c>
      <c r="E1763" s="260" t="n">
        <v>1</v>
      </c>
    </row>
    <row r="1764" customFormat="false" ht="14.25" hidden="true" customHeight="true" outlineLevel="0" collapsed="false">
      <c r="A1764" s="263"/>
      <c r="B1764" s="259"/>
      <c r="C1764" s="259" t="s">
        <v>2050</v>
      </c>
      <c r="D1764" s="117" t="n">
        <v>114.32</v>
      </c>
      <c r="E1764" s="260" t="n">
        <v>1</v>
      </c>
    </row>
    <row r="1765" customFormat="false" ht="14.25" hidden="true" customHeight="true" outlineLevel="0" collapsed="false">
      <c r="A1765" s="263"/>
      <c r="B1765" s="259"/>
      <c r="C1765" s="259" t="s">
        <v>2051</v>
      </c>
      <c r="D1765" s="117" t="n">
        <v>114.32</v>
      </c>
      <c r="E1765" s="260" t="n">
        <v>1</v>
      </c>
    </row>
    <row r="1766" customFormat="false" ht="14.25" hidden="true" customHeight="true" outlineLevel="0" collapsed="false">
      <c r="A1766" s="263"/>
      <c r="B1766" s="259"/>
      <c r="C1766" s="259" t="s">
        <v>2052</v>
      </c>
      <c r="D1766" s="117" t="n">
        <v>114.32</v>
      </c>
      <c r="E1766" s="260" t="n">
        <v>1</v>
      </c>
    </row>
    <row r="1767" customFormat="false" ht="14.25" hidden="true" customHeight="true" outlineLevel="0" collapsed="false">
      <c r="A1767" s="263"/>
      <c r="B1767" s="259"/>
      <c r="C1767" s="259" t="s">
        <v>2053</v>
      </c>
      <c r="D1767" s="117" t="n">
        <v>114.32</v>
      </c>
      <c r="E1767" s="260" t="n">
        <v>1</v>
      </c>
    </row>
    <row r="1768" customFormat="false" ht="14.25" hidden="true" customHeight="true" outlineLevel="0" collapsed="false">
      <c r="A1768" s="263"/>
      <c r="B1768" s="259"/>
      <c r="C1768" s="259" t="s">
        <v>2054</v>
      </c>
      <c r="D1768" s="117" t="n">
        <v>114.32</v>
      </c>
      <c r="E1768" s="260" t="n">
        <v>1</v>
      </c>
    </row>
    <row r="1769" customFormat="false" ht="14.25" hidden="true" customHeight="true" outlineLevel="0" collapsed="false">
      <c r="A1769" s="263"/>
      <c r="B1769" s="259"/>
      <c r="C1769" s="259" t="s">
        <v>2055</v>
      </c>
      <c r="D1769" s="117" t="n">
        <v>114.32</v>
      </c>
      <c r="E1769" s="260" t="n">
        <v>1</v>
      </c>
    </row>
    <row r="1770" customFormat="false" ht="14.25" hidden="true" customHeight="true" outlineLevel="0" collapsed="false">
      <c r="A1770" s="263"/>
      <c r="B1770" s="259"/>
      <c r="C1770" s="259" t="s">
        <v>2056</v>
      </c>
      <c r="D1770" s="117" t="n">
        <v>114.32</v>
      </c>
      <c r="E1770" s="260" t="n">
        <v>1</v>
      </c>
    </row>
    <row r="1771" customFormat="false" ht="14.25" hidden="true" customHeight="true" outlineLevel="0" collapsed="false">
      <c r="A1771" s="263"/>
      <c r="B1771" s="259"/>
      <c r="C1771" s="259" t="s">
        <v>2057</v>
      </c>
      <c r="D1771" s="117" t="n">
        <v>114.32</v>
      </c>
      <c r="E1771" s="260" t="n">
        <v>1</v>
      </c>
    </row>
    <row r="1772" customFormat="false" ht="14.25" hidden="true" customHeight="true" outlineLevel="0" collapsed="false">
      <c r="A1772" s="263"/>
      <c r="B1772" s="259"/>
      <c r="C1772" s="259" t="s">
        <v>2058</v>
      </c>
      <c r="D1772" s="117" t="n">
        <v>114.32</v>
      </c>
      <c r="E1772" s="260" t="n">
        <v>1</v>
      </c>
    </row>
    <row r="1773" customFormat="false" ht="14.25" hidden="true" customHeight="true" outlineLevel="0" collapsed="false">
      <c r="A1773" s="263"/>
      <c r="B1773" s="259"/>
      <c r="C1773" s="259" t="s">
        <v>2059</v>
      </c>
      <c r="D1773" s="117" t="n">
        <v>114.32</v>
      </c>
      <c r="E1773" s="260" t="n">
        <v>1</v>
      </c>
    </row>
    <row r="1774" customFormat="false" ht="14.25" hidden="true" customHeight="true" outlineLevel="0" collapsed="false">
      <c r="A1774" s="263"/>
      <c r="B1774" s="259"/>
      <c r="C1774" s="259" t="s">
        <v>2060</v>
      </c>
      <c r="D1774" s="117" t="n">
        <v>114.32</v>
      </c>
      <c r="E1774" s="260" t="n">
        <v>1</v>
      </c>
    </row>
    <row r="1775" customFormat="false" ht="14.25" hidden="true" customHeight="true" outlineLevel="0" collapsed="false">
      <c r="A1775" s="263"/>
      <c r="B1775" s="259"/>
      <c r="C1775" s="259" t="s">
        <v>2061</v>
      </c>
      <c r="D1775" s="117" t="n">
        <v>114.32</v>
      </c>
      <c r="E1775" s="260" t="n">
        <v>1</v>
      </c>
    </row>
    <row r="1776" customFormat="false" ht="14.25" hidden="true" customHeight="true" outlineLevel="0" collapsed="false">
      <c r="A1776" s="263"/>
      <c r="B1776" s="259"/>
      <c r="C1776" s="259" t="s">
        <v>2062</v>
      </c>
      <c r="D1776" s="117" t="n">
        <v>114.32</v>
      </c>
      <c r="E1776" s="260" t="n">
        <v>1</v>
      </c>
    </row>
    <row r="1777" customFormat="false" ht="14.25" hidden="true" customHeight="true" outlineLevel="0" collapsed="false">
      <c r="A1777" s="263"/>
      <c r="B1777" s="259"/>
      <c r="C1777" s="259" t="s">
        <v>2063</v>
      </c>
      <c r="D1777" s="117" t="n">
        <v>114.32</v>
      </c>
      <c r="E1777" s="260" t="n">
        <v>1</v>
      </c>
    </row>
    <row r="1778" customFormat="false" ht="14.25" hidden="true" customHeight="true" outlineLevel="0" collapsed="false">
      <c r="A1778" s="263"/>
      <c r="B1778" s="259"/>
      <c r="C1778" s="259" t="s">
        <v>2064</v>
      </c>
      <c r="D1778" s="117" t="n">
        <v>114.32</v>
      </c>
      <c r="E1778" s="260" t="n">
        <v>1</v>
      </c>
    </row>
    <row r="1779" customFormat="false" ht="14.25" hidden="true" customHeight="true" outlineLevel="0" collapsed="false">
      <c r="A1779" s="263"/>
      <c r="B1779" s="259"/>
      <c r="C1779" s="259" t="s">
        <v>2065</v>
      </c>
      <c r="D1779" s="117" t="n">
        <v>114.32</v>
      </c>
      <c r="E1779" s="260" t="n">
        <v>1</v>
      </c>
    </row>
    <row r="1780" customFormat="false" ht="14.25" hidden="true" customHeight="true" outlineLevel="0" collapsed="false">
      <c r="A1780" s="263"/>
      <c r="B1780" s="259"/>
      <c r="C1780" s="259" t="s">
        <v>2066</v>
      </c>
      <c r="D1780" s="117" t="n">
        <v>114.32</v>
      </c>
      <c r="E1780" s="260" t="n">
        <v>1</v>
      </c>
    </row>
    <row r="1781" customFormat="false" ht="14.25" hidden="true" customHeight="true" outlineLevel="0" collapsed="false">
      <c r="A1781" s="263"/>
      <c r="B1781" s="259"/>
      <c r="C1781" s="259" t="s">
        <v>2067</v>
      </c>
      <c r="D1781" s="117" t="n">
        <v>114.32</v>
      </c>
      <c r="E1781" s="260" t="n">
        <v>1</v>
      </c>
    </row>
    <row r="1782" customFormat="false" ht="14.25" hidden="true" customHeight="true" outlineLevel="0" collapsed="false">
      <c r="A1782" s="263"/>
      <c r="B1782" s="259"/>
      <c r="C1782" s="259" t="s">
        <v>2068</v>
      </c>
      <c r="D1782" s="117" t="n">
        <v>114.32</v>
      </c>
      <c r="E1782" s="260" t="n">
        <v>1</v>
      </c>
    </row>
    <row r="1783" customFormat="false" ht="14.25" hidden="true" customHeight="true" outlineLevel="0" collapsed="false">
      <c r="A1783" s="263"/>
      <c r="B1783" s="259"/>
      <c r="C1783" s="259" t="s">
        <v>2069</v>
      </c>
      <c r="D1783" s="117" t="n">
        <v>114.32</v>
      </c>
      <c r="E1783" s="260" t="n">
        <v>1</v>
      </c>
    </row>
    <row r="1784" customFormat="false" ht="14.25" hidden="true" customHeight="true" outlineLevel="0" collapsed="false">
      <c r="A1784" s="263"/>
      <c r="B1784" s="259"/>
      <c r="C1784" s="259" t="s">
        <v>2070</v>
      </c>
      <c r="D1784" s="117" t="n">
        <v>114.32</v>
      </c>
      <c r="E1784" s="260" t="n">
        <v>1</v>
      </c>
    </row>
    <row r="1785" customFormat="false" ht="14.25" hidden="true" customHeight="true" outlineLevel="0" collapsed="false">
      <c r="A1785" s="263"/>
      <c r="B1785" s="259"/>
      <c r="C1785" s="259" t="s">
        <v>2071</v>
      </c>
      <c r="D1785" s="117" t="n">
        <v>114.26</v>
      </c>
      <c r="E1785" s="260" t="n">
        <v>2</v>
      </c>
    </row>
    <row r="1786" customFormat="false" ht="14.25" hidden="true" customHeight="true" outlineLevel="0" collapsed="false">
      <c r="A1786" s="263"/>
      <c r="B1786" s="259"/>
      <c r="C1786" s="259" t="s">
        <v>2072</v>
      </c>
      <c r="D1786" s="117" t="n">
        <v>111.78</v>
      </c>
      <c r="E1786" s="260" t="n">
        <v>1</v>
      </c>
    </row>
    <row r="1787" customFormat="false" ht="14.25" hidden="true" customHeight="true" outlineLevel="0" collapsed="false">
      <c r="A1787" s="263"/>
      <c r="B1787" s="259"/>
      <c r="C1787" s="259" t="s">
        <v>2073</v>
      </c>
      <c r="D1787" s="117" t="n">
        <v>110.93</v>
      </c>
      <c r="E1787" s="260" t="n">
        <v>5</v>
      </c>
    </row>
    <row r="1788" customFormat="false" ht="14.25" hidden="true" customHeight="true" outlineLevel="0" collapsed="false">
      <c r="A1788" s="263"/>
      <c r="B1788" s="259"/>
      <c r="C1788" s="259" t="s">
        <v>2074</v>
      </c>
      <c r="D1788" s="117" t="n">
        <v>110.09</v>
      </c>
      <c r="E1788" s="260" t="n">
        <v>1</v>
      </c>
    </row>
    <row r="1789" customFormat="false" ht="14.25" hidden="true" customHeight="true" outlineLevel="0" collapsed="false">
      <c r="A1789" s="263"/>
      <c r="B1789" s="259"/>
      <c r="C1789" s="259" t="s">
        <v>2075</v>
      </c>
      <c r="D1789" s="117" t="n">
        <v>110.08</v>
      </c>
      <c r="E1789" s="260" t="n">
        <v>1</v>
      </c>
    </row>
    <row r="1790" customFormat="false" ht="14.25" hidden="true" customHeight="true" outlineLevel="0" collapsed="false">
      <c r="A1790" s="263"/>
      <c r="B1790" s="259"/>
      <c r="C1790" s="259" t="s">
        <v>2076</v>
      </c>
      <c r="D1790" s="117" t="n">
        <v>110</v>
      </c>
      <c r="E1790" s="260" t="n">
        <v>2</v>
      </c>
    </row>
    <row r="1791" customFormat="false" ht="14.25" hidden="true" customHeight="true" outlineLevel="0" collapsed="false">
      <c r="A1791" s="263"/>
      <c r="B1791" s="259"/>
      <c r="C1791" s="259" t="s">
        <v>2077</v>
      </c>
      <c r="D1791" s="117" t="n">
        <v>108.23</v>
      </c>
      <c r="E1791" s="260" t="n">
        <v>1</v>
      </c>
    </row>
    <row r="1792" customFormat="false" ht="14.25" hidden="true" customHeight="true" outlineLevel="0" collapsed="false">
      <c r="A1792" s="263"/>
      <c r="B1792" s="259"/>
      <c r="C1792" s="259" t="s">
        <v>2078</v>
      </c>
      <c r="D1792" s="117" t="n">
        <v>108.23</v>
      </c>
      <c r="E1792" s="260" t="n">
        <v>1</v>
      </c>
    </row>
    <row r="1793" customFormat="false" ht="14.25" hidden="true" customHeight="true" outlineLevel="0" collapsed="false">
      <c r="A1793" s="263"/>
      <c r="B1793" s="259"/>
      <c r="C1793" s="259" t="s">
        <v>2079</v>
      </c>
      <c r="D1793" s="117" t="n">
        <v>103.22</v>
      </c>
      <c r="E1793" s="260" t="n">
        <v>2</v>
      </c>
    </row>
    <row r="1794" customFormat="false" ht="14.25" hidden="true" customHeight="true" outlineLevel="0" collapsed="false">
      <c r="A1794" s="263"/>
      <c r="B1794" s="259"/>
      <c r="C1794" s="259" t="s">
        <v>2080</v>
      </c>
      <c r="D1794" s="117" t="n">
        <v>103.05</v>
      </c>
      <c r="E1794" s="260" t="n">
        <v>4</v>
      </c>
    </row>
    <row r="1795" customFormat="false" ht="14.25" hidden="true" customHeight="true" outlineLevel="0" collapsed="false">
      <c r="A1795" s="263"/>
      <c r="B1795" s="259"/>
      <c r="C1795" s="259" t="s">
        <v>2081</v>
      </c>
      <c r="D1795" s="117" t="n">
        <v>102.99</v>
      </c>
      <c r="E1795" s="260" t="n">
        <v>1</v>
      </c>
    </row>
    <row r="1796" customFormat="false" ht="14.25" hidden="true" customHeight="true" outlineLevel="0" collapsed="false">
      <c r="A1796" s="263"/>
      <c r="B1796" s="259"/>
      <c r="C1796" s="259" t="s">
        <v>2082</v>
      </c>
      <c r="D1796" s="117" t="n">
        <v>102.98</v>
      </c>
      <c r="E1796" s="260" t="n">
        <v>1</v>
      </c>
    </row>
    <row r="1797" customFormat="false" ht="14.25" hidden="true" customHeight="true" outlineLevel="0" collapsed="false">
      <c r="A1797" s="263"/>
      <c r="B1797" s="259"/>
      <c r="C1797" s="259" t="s">
        <v>2083</v>
      </c>
      <c r="D1797" s="117" t="n">
        <v>102.89</v>
      </c>
      <c r="E1797" s="260" t="n">
        <v>1</v>
      </c>
    </row>
    <row r="1798" customFormat="false" ht="14.25" hidden="true" customHeight="true" outlineLevel="0" collapsed="false">
      <c r="A1798" s="263"/>
      <c r="B1798" s="259"/>
      <c r="C1798" s="259" t="s">
        <v>2084</v>
      </c>
      <c r="D1798" s="117" t="n">
        <v>102.89</v>
      </c>
      <c r="E1798" s="260" t="n">
        <v>1</v>
      </c>
    </row>
    <row r="1799" customFormat="false" ht="14.25" hidden="true" customHeight="true" outlineLevel="0" collapsed="false">
      <c r="A1799" s="263"/>
      <c r="B1799" s="259"/>
      <c r="C1799" s="259" t="s">
        <v>2085</v>
      </c>
      <c r="D1799" s="117" t="n">
        <v>102.89</v>
      </c>
      <c r="E1799" s="260" t="n">
        <v>1</v>
      </c>
    </row>
    <row r="1800" customFormat="false" ht="14.25" hidden="true" customHeight="true" outlineLevel="0" collapsed="false">
      <c r="A1800" s="263"/>
      <c r="B1800" s="259"/>
      <c r="C1800" s="259" t="s">
        <v>2086</v>
      </c>
      <c r="D1800" s="117" t="n">
        <v>102.89</v>
      </c>
      <c r="E1800" s="260" t="n">
        <v>1</v>
      </c>
    </row>
    <row r="1801" customFormat="false" ht="14.25" hidden="true" customHeight="true" outlineLevel="0" collapsed="false">
      <c r="A1801" s="263"/>
      <c r="B1801" s="259"/>
      <c r="C1801" s="259" t="s">
        <v>2087</v>
      </c>
      <c r="D1801" s="117" t="n">
        <v>102.89</v>
      </c>
      <c r="E1801" s="260" t="n">
        <v>1</v>
      </c>
    </row>
    <row r="1802" customFormat="false" ht="14.25" hidden="true" customHeight="true" outlineLevel="0" collapsed="false">
      <c r="A1802" s="263"/>
      <c r="B1802" s="259"/>
      <c r="C1802" s="259" t="s">
        <v>2088</v>
      </c>
      <c r="D1802" s="117" t="n">
        <v>102.89</v>
      </c>
      <c r="E1802" s="260" t="n">
        <v>1</v>
      </c>
    </row>
    <row r="1803" customFormat="false" ht="14.25" hidden="true" customHeight="true" outlineLevel="0" collapsed="false">
      <c r="A1803" s="263"/>
      <c r="B1803" s="259"/>
      <c r="C1803" s="259" t="s">
        <v>2089</v>
      </c>
      <c r="D1803" s="117" t="n">
        <v>102.89</v>
      </c>
      <c r="E1803" s="260" t="n">
        <v>1</v>
      </c>
    </row>
    <row r="1804" customFormat="false" ht="14.25" hidden="true" customHeight="true" outlineLevel="0" collapsed="false">
      <c r="A1804" s="263"/>
      <c r="B1804" s="259"/>
      <c r="C1804" s="259" t="s">
        <v>2090</v>
      </c>
      <c r="D1804" s="117" t="n">
        <v>102.89</v>
      </c>
      <c r="E1804" s="260" t="n">
        <v>1</v>
      </c>
    </row>
    <row r="1805" customFormat="false" ht="14.25" hidden="true" customHeight="true" outlineLevel="0" collapsed="false">
      <c r="A1805" s="263"/>
      <c r="B1805" s="259"/>
      <c r="C1805" s="259" t="s">
        <v>2091</v>
      </c>
      <c r="D1805" s="117" t="n">
        <v>102.89</v>
      </c>
      <c r="E1805" s="260" t="n">
        <v>1</v>
      </c>
    </row>
    <row r="1806" customFormat="false" ht="14.25" hidden="true" customHeight="true" outlineLevel="0" collapsed="false">
      <c r="A1806" s="263"/>
      <c r="B1806" s="259"/>
      <c r="C1806" s="259" t="s">
        <v>2092</v>
      </c>
      <c r="D1806" s="117" t="n">
        <v>102.89</v>
      </c>
      <c r="E1806" s="260" t="n">
        <v>1</v>
      </c>
    </row>
    <row r="1807" customFormat="false" ht="14.25" hidden="true" customHeight="true" outlineLevel="0" collapsed="false">
      <c r="A1807" s="263"/>
      <c r="B1807" s="259"/>
      <c r="C1807" s="259" t="s">
        <v>2093</v>
      </c>
      <c r="D1807" s="117" t="n">
        <v>102.89</v>
      </c>
      <c r="E1807" s="260" t="n">
        <v>1</v>
      </c>
    </row>
    <row r="1808" customFormat="false" ht="14.25" hidden="true" customHeight="true" outlineLevel="0" collapsed="false">
      <c r="A1808" s="263"/>
      <c r="B1808" s="259"/>
      <c r="C1808" s="259" t="s">
        <v>2094</v>
      </c>
      <c r="D1808" s="117" t="n">
        <v>102.89</v>
      </c>
      <c r="E1808" s="260" t="n">
        <v>1</v>
      </c>
    </row>
    <row r="1809" customFormat="false" ht="14.25" hidden="true" customHeight="true" outlineLevel="0" collapsed="false">
      <c r="A1809" s="263"/>
      <c r="B1809" s="259"/>
      <c r="C1809" s="259" t="s">
        <v>2095</v>
      </c>
      <c r="D1809" s="117" t="n">
        <v>102.89</v>
      </c>
      <c r="E1809" s="260" t="n">
        <v>1</v>
      </c>
    </row>
    <row r="1810" customFormat="false" ht="14.25" hidden="true" customHeight="true" outlineLevel="0" collapsed="false">
      <c r="A1810" s="263"/>
      <c r="B1810" s="259"/>
      <c r="C1810" s="259" t="s">
        <v>2096</v>
      </c>
      <c r="D1810" s="117" t="n">
        <v>102.89</v>
      </c>
      <c r="E1810" s="260" t="n">
        <v>1</v>
      </c>
    </row>
    <row r="1811" customFormat="false" ht="14.25" hidden="true" customHeight="true" outlineLevel="0" collapsed="false">
      <c r="A1811" s="263"/>
      <c r="B1811" s="259"/>
      <c r="C1811" s="259" t="s">
        <v>2097</v>
      </c>
      <c r="D1811" s="117" t="n">
        <v>102.46</v>
      </c>
      <c r="E1811" s="260" t="n">
        <v>1</v>
      </c>
    </row>
    <row r="1812" customFormat="false" ht="14.25" hidden="true" customHeight="true" outlineLevel="0" collapsed="false">
      <c r="A1812" s="263"/>
      <c r="B1812" s="259"/>
      <c r="C1812" s="259" t="s">
        <v>2098</v>
      </c>
      <c r="D1812" s="117" t="n">
        <v>102.46</v>
      </c>
      <c r="E1812" s="260" t="n">
        <v>1</v>
      </c>
    </row>
    <row r="1813" customFormat="false" ht="14.25" hidden="true" customHeight="true" outlineLevel="0" collapsed="false">
      <c r="A1813" s="263"/>
      <c r="B1813" s="259"/>
      <c r="C1813" s="259" t="s">
        <v>2099</v>
      </c>
      <c r="D1813" s="117" t="n">
        <v>102.46</v>
      </c>
      <c r="E1813" s="260" t="n">
        <v>1</v>
      </c>
    </row>
    <row r="1814" customFormat="false" ht="14.25" hidden="true" customHeight="true" outlineLevel="0" collapsed="false">
      <c r="A1814" s="263"/>
      <c r="B1814" s="259"/>
      <c r="C1814" s="259" t="s">
        <v>2100</v>
      </c>
      <c r="D1814" s="117" t="n">
        <v>102.46</v>
      </c>
      <c r="E1814" s="260" t="n">
        <v>1</v>
      </c>
    </row>
    <row r="1815" customFormat="false" ht="14.25" hidden="true" customHeight="true" outlineLevel="0" collapsed="false">
      <c r="A1815" s="263"/>
      <c r="B1815" s="259"/>
      <c r="C1815" s="259" t="s">
        <v>2101</v>
      </c>
      <c r="D1815" s="117" t="n">
        <v>102.46</v>
      </c>
      <c r="E1815" s="260" t="n">
        <v>1</v>
      </c>
    </row>
    <row r="1816" customFormat="false" ht="14.25" hidden="true" customHeight="true" outlineLevel="0" collapsed="false">
      <c r="A1816" s="263"/>
      <c r="B1816" s="259"/>
      <c r="C1816" s="259" t="s">
        <v>2102</v>
      </c>
      <c r="D1816" s="117" t="n">
        <v>102.46</v>
      </c>
      <c r="E1816" s="260" t="n">
        <v>1</v>
      </c>
    </row>
    <row r="1817" customFormat="false" ht="14.25" hidden="true" customHeight="true" outlineLevel="0" collapsed="false">
      <c r="A1817" s="263"/>
      <c r="B1817" s="259"/>
      <c r="C1817" s="259" t="s">
        <v>2103</v>
      </c>
      <c r="D1817" s="117" t="n">
        <v>102.38</v>
      </c>
      <c r="E1817" s="260" t="n">
        <v>2</v>
      </c>
    </row>
    <row r="1818" customFormat="false" ht="14.25" hidden="true" customHeight="true" outlineLevel="0" collapsed="false">
      <c r="A1818" s="263"/>
      <c r="B1818" s="259"/>
      <c r="C1818" s="259" t="s">
        <v>2104</v>
      </c>
      <c r="D1818" s="117" t="n">
        <v>101.53</v>
      </c>
      <c r="E1818" s="260" t="n">
        <v>2</v>
      </c>
    </row>
    <row r="1819" customFormat="false" ht="14.25" hidden="true" customHeight="true" outlineLevel="0" collapsed="false">
      <c r="A1819" s="263"/>
      <c r="B1819" s="259"/>
      <c r="C1819" s="259" t="s">
        <v>2105</v>
      </c>
      <c r="D1819" s="117" t="n">
        <v>101.52</v>
      </c>
      <c r="E1819" s="260" t="n">
        <v>2</v>
      </c>
    </row>
    <row r="1820" customFormat="false" ht="14.25" hidden="true" customHeight="true" outlineLevel="0" collapsed="false">
      <c r="A1820" s="263"/>
      <c r="B1820" s="259"/>
      <c r="C1820" s="259" t="s">
        <v>2106</v>
      </c>
      <c r="D1820" s="117" t="n">
        <v>100.79</v>
      </c>
      <c r="E1820" s="260" t="n">
        <v>1</v>
      </c>
    </row>
    <row r="1821" customFormat="false" ht="14.25" hidden="true" customHeight="true" outlineLevel="0" collapsed="false">
      <c r="A1821" s="263"/>
      <c r="B1821" s="259"/>
      <c r="C1821" s="259" t="s">
        <v>2107</v>
      </c>
      <c r="D1821" s="117" t="n">
        <v>99.08</v>
      </c>
      <c r="E1821" s="260" t="n">
        <v>1</v>
      </c>
    </row>
    <row r="1822" customFormat="false" ht="14.25" hidden="true" customHeight="true" outlineLevel="0" collapsed="false">
      <c r="A1822" s="263"/>
      <c r="B1822" s="259"/>
      <c r="C1822" s="259" t="s">
        <v>2108</v>
      </c>
      <c r="D1822" s="117" t="n">
        <v>99.08</v>
      </c>
      <c r="E1822" s="260" t="n">
        <v>1</v>
      </c>
    </row>
    <row r="1823" customFormat="false" ht="14.25" hidden="true" customHeight="true" outlineLevel="0" collapsed="false">
      <c r="A1823" s="263"/>
      <c r="B1823" s="259"/>
      <c r="C1823" s="259" t="s">
        <v>2109</v>
      </c>
      <c r="D1823" s="117" t="n">
        <v>93.99</v>
      </c>
      <c r="E1823" s="260" t="n">
        <v>1</v>
      </c>
    </row>
    <row r="1824" customFormat="false" ht="14.25" hidden="true" customHeight="true" outlineLevel="0" collapsed="false">
      <c r="A1824" s="263"/>
      <c r="B1824" s="259"/>
      <c r="C1824" s="259" t="s">
        <v>2110</v>
      </c>
      <c r="D1824" s="117" t="n">
        <v>93.99</v>
      </c>
      <c r="E1824" s="260" t="n">
        <v>1</v>
      </c>
    </row>
    <row r="1825" customFormat="false" ht="14.25" hidden="true" customHeight="true" outlineLevel="0" collapsed="false">
      <c r="A1825" s="263"/>
      <c r="B1825" s="259"/>
      <c r="C1825" s="259" t="s">
        <v>2111</v>
      </c>
      <c r="D1825" s="117" t="n">
        <v>93.99</v>
      </c>
      <c r="E1825" s="260" t="n">
        <v>1</v>
      </c>
    </row>
    <row r="1826" customFormat="false" ht="14.25" hidden="true" customHeight="true" outlineLevel="0" collapsed="false">
      <c r="A1826" s="263"/>
      <c r="B1826" s="259"/>
      <c r="C1826" s="259" t="s">
        <v>2112</v>
      </c>
      <c r="D1826" s="117" t="n">
        <v>93.99</v>
      </c>
      <c r="E1826" s="260" t="n">
        <v>1</v>
      </c>
    </row>
    <row r="1827" customFormat="false" ht="14.25" hidden="true" customHeight="true" outlineLevel="0" collapsed="false">
      <c r="A1827" s="263"/>
      <c r="B1827" s="259"/>
      <c r="C1827" s="259" t="s">
        <v>2113</v>
      </c>
      <c r="D1827" s="117" t="n">
        <v>93.99</v>
      </c>
      <c r="E1827" s="260" t="n">
        <v>1</v>
      </c>
    </row>
    <row r="1828" customFormat="false" ht="14.25" hidden="true" customHeight="true" outlineLevel="0" collapsed="false">
      <c r="A1828" s="263"/>
      <c r="B1828" s="259"/>
      <c r="C1828" s="259" t="s">
        <v>2114</v>
      </c>
      <c r="D1828" s="117" t="n">
        <v>93.99</v>
      </c>
      <c r="E1828" s="260" t="n">
        <v>1</v>
      </c>
    </row>
    <row r="1829" customFormat="false" ht="14.25" hidden="true" customHeight="true" outlineLevel="0" collapsed="false">
      <c r="A1829" s="263"/>
      <c r="B1829" s="259"/>
      <c r="C1829" s="259" t="s">
        <v>2115</v>
      </c>
      <c r="D1829" s="117" t="n">
        <v>93.99</v>
      </c>
      <c r="E1829" s="260" t="n">
        <v>1</v>
      </c>
    </row>
    <row r="1830" customFormat="false" ht="14.25" hidden="true" customHeight="true" outlineLevel="0" collapsed="false">
      <c r="A1830" s="263"/>
      <c r="B1830" s="259"/>
      <c r="C1830" s="259" t="s">
        <v>2116</v>
      </c>
      <c r="D1830" s="117" t="n">
        <v>93.99</v>
      </c>
      <c r="E1830" s="260" t="n">
        <v>1</v>
      </c>
    </row>
    <row r="1831" customFormat="false" ht="14.25" hidden="true" customHeight="true" outlineLevel="0" collapsed="false">
      <c r="A1831" s="263"/>
      <c r="B1831" s="259"/>
      <c r="C1831" s="259" t="s">
        <v>2117</v>
      </c>
      <c r="D1831" s="117" t="n">
        <v>93.99</v>
      </c>
      <c r="E1831" s="260" t="n">
        <v>1</v>
      </c>
    </row>
    <row r="1832" customFormat="false" ht="14.25" hidden="true" customHeight="true" outlineLevel="0" collapsed="false">
      <c r="A1832" s="263"/>
      <c r="B1832" s="259"/>
      <c r="C1832" s="259" t="s">
        <v>2118</v>
      </c>
      <c r="D1832" s="117" t="n">
        <v>93.98</v>
      </c>
      <c r="E1832" s="260" t="n">
        <v>1</v>
      </c>
    </row>
    <row r="1833" customFormat="false" ht="14.25" hidden="true" customHeight="true" outlineLevel="0" collapsed="false">
      <c r="A1833" s="263"/>
      <c r="B1833" s="259"/>
      <c r="C1833" s="259" t="s">
        <v>2119</v>
      </c>
      <c r="D1833" s="117" t="n">
        <v>93.98</v>
      </c>
      <c r="E1833" s="260" t="n">
        <v>1</v>
      </c>
    </row>
    <row r="1834" customFormat="false" ht="14.25" hidden="true" customHeight="true" outlineLevel="0" collapsed="false">
      <c r="A1834" s="263"/>
      <c r="B1834" s="259"/>
      <c r="C1834" s="259" t="s">
        <v>2120</v>
      </c>
      <c r="D1834" s="117" t="n">
        <v>93.98</v>
      </c>
      <c r="E1834" s="260" t="n">
        <v>1</v>
      </c>
    </row>
    <row r="1835" customFormat="false" ht="14.25" hidden="true" customHeight="true" outlineLevel="0" collapsed="false">
      <c r="A1835" s="263"/>
      <c r="B1835" s="259"/>
      <c r="C1835" s="259" t="s">
        <v>2121</v>
      </c>
      <c r="D1835" s="117" t="n">
        <v>93.81</v>
      </c>
      <c r="E1835" s="260" t="n">
        <v>3</v>
      </c>
    </row>
    <row r="1836" customFormat="false" ht="14.25" hidden="true" customHeight="true" outlineLevel="0" collapsed="false">
      <c r="A1836" s="263"/>
      <c r="B1836" s="259"/>
      <c r="C1836" s="259" t="s">
        <v>2122</v>
      </c>
      <c r="D1836" s="117" t="n">
        <v>92.21</v>
      </c>
      <c r="E1836" s="260" t="n">
        <v>1</v>
      </c>
    </row>
    <row r="1837" customFormat="false" ht="14.25" hidden="true" customHeight="true" outlineLevel="0" collapsed="false">
      <c r="A1837" s="263"/>
      <c r="B1837" s="259"/>
      <c r="C1837" s="259" t="s">
        <v>2123</v>
      </c>
      <c r="D1837" s="117" t="n">
        <v>92.21</v>
      </c>
      <c r="E1837" s="260" t="n">
        <v>1</v>
      </c>
    </row>
    <row r="1838" customFormat="false" ht="14.25" hidden="true" customHeight="true" outlineLevel="0" collapsed="false">
      <c r="A1838" s="263"/>
      <c r="B1838" s="259"/>
      <c r="C1838" s="259" t="s">
        <v>2124</v>
      </c>
      <c r="D1838" s="117" t="n">
        <v>91.19</v>
      </c>
      <c r="E1838" s="260" t="n">
        <v>6</v>
      </c>
    </row>
    <row r="1839" customFormat="false" ht="14.25" hidden="true" customHeight="true" outlineLevel="0" collapsed="false">
      <c r="A1839" s="263"/>
      <c r="B1839" s="259"/>
      <c r="C1839" s="259" t="s">
        <v>2125</v>
      </c>
      <c r="D1839" s="117" t="n">
        <v>91.19</v>
      </c>
      <c r="E1839" s="260" t="n">
        <v>4</v>
      </c>
    </row>
    <row r="1840" customFormat="false" ht="14.25" hidden="true" customHeight="true" outlineLevel="0" collapsed="false">
      <c r="A1840" s="263"/>
      <c r="B1840" s="259"/>
      <c r="C1840" s="259" t="s">
        <v>2126</v>
      </c>
      <c r="D1840" s="117" t="n">
        <v>89.75</v>
      </c>
      <c r="E1840" s="260" t="n">
        <v>1</v>
      </c>
    </row>
    <row r="1841" customFormat="false" ht="14.25" hidden="true" customHeight="true" outlineLevel="0" collapsed="false">
      <c r="A1841" s="263"/>
      <c r="B1841" s="259"/>
      <c r="C1841" s="259" t="s">
        <v>2127</v>
      </c>
      <c r="D1841" s="117" t="n">
        <v>89.75</v>
      </c>
      <c r="E1841" s="260" t="n">
        <v>1</v>
      </c>
    </row>
    <row r="1842" customFormat="false" ht="14.25" hidden="true" customHeight="true" outlineLevel="0" collapsed="false">
      <c r="A1842" s="263"/>
      <c r="B1842" s="259"/>
      <c r="C1842" s="259" t="s">
        <v>2128</v>
      </c>
      <c r="D1842" s="117" t="n">
        <v>89.74</v>
      </c>
      <c r="E1842" s="260" t="n">
        <v>1</v>
      </c>
    </row>
    <row r="1843" customFormat="false" ht="14.25" hidden="true" customHeight="true" outlineLevel="0" collapsed="false">
      <c r="A1843" s="263"/>
      <c r="B1843" s="259"/>
      <c r="C1843" s="259" t="s">
        <v>2129</v>
      </c>
      <c r="D1843" s="117" t="n">
        <v>89.74</v>
      </c>
      <c r="E1843" s="260" t="n">
        <v>1</v>
      </c>
    </row>
    <row r="1844" customFormat="false" ht="14.25" hidden="true" customHeight="true" outlineLevel="0" collapsed="false">
      <c r="A1844" s="263"/>
      <c r="B1844" s="259"/>
      <c r="C1844" s="259" t="s">
        <v>2130</v>
      </c>
      <c r="D1844" s="117" t="n">
        <v>89.74</v>
      </c>
      <c r="E1844" s="260" t="n">
        <v>1</v>
      </c>
    </row>
    <row r="1845" customFormat="false" ht="14.25" hidden="true" customHeight="true" outlineLevel="0" collapsed="false">
      <c r="A1845" s="263"/>
      <c r="B1845" s="259"/>
      <c r="C1845" s="259" t="s">
        <v>2131</v>
      </c>
      <c r="D1845" s="117" t="n">
        <v>87.65</v>
      </c>
      <c r="E1845" s="260" t="n">
        <v>2</v>
      </c>
    </row>
    <row r="1846" customFormat="false" ht="14.25" hidden="true" customHeight="true" outlineLevel="0" collapsed="false">
      <c r="A1846" s="263"/>
      <c r="B1846" s="259"/>
      <c r="C1846" s="259" t="s">
        <v>2132</v>
      </c>
      <c r="D1846" s="117" t="n">
        <v>87.64</v>
      </c>
      <c r="E1846" s="260" t="n">
        <v>2</v>
      </c>
    </row>
    <row r="1847" customFormat="false" ht="14.25" hidden="true" customHeight="true" outlineLevel="0" collapsed="false">
      <c r="A1847" s="263"/>
      <c r="B1847" s="259"/>
      <c r="C1847" s="259" t="s">
        <v>2133</v>
      </c>
      <c r="D1847" s="117" t="n">
        <v>85.51</v>
      </c>
      <c r="E1847" s="260" t="n">
        <v>5</v>
      </c>
    </row>
    <row r="1848" customFormat="false" ht="14.25" hidden="true" customHeight="true" outlineLevel="0" collapsed="false">
      <c r="A1848" s="263"/>
      <c r="B1848" s="259"/>
      <c r="C1848" s="259" t="s">
        <v>2134</v>
      </c>
      <c r="D1848" s="117" t="n">
        <v>85.51</v>
      </c>
      <c r="E1848" s="260" t="n">
        <v>1</v>
      </c>
    </row>
    <row r="1849" customFormat="false" ht="14.25" hidden="true" customHeight="true" outlineLevel="0" collapsed="false">
      <c r="A1849" s="263"/>
      <c r="B1849" s="259"/>
      <c r="C1849" s="259" t="s">
        <v>2135</v>
      </c>
      <c r="D1849" s="117" t="n">
        <v>85.51</v>
      </c>
      <c r="E1849" s="260" t="n">
        <v>1</v>
      </c>
    </row>
    <row r="1850" customFormat="false" ht="14.25" hidden="true" customHeight="true" outlineLevel="0" collapsed="false">
      <c r="A1850" s="263"/>
      <c r="B1850" s="259"/>
      <c r="C1850" s="259" t="s">
        <v>2136</v>
      </c>
      <c r="D1850" s="117" t="n">
        <v>85.51</v>
      </c>
      <c r="E1850" s="260" t="n">
        <v>1</v>
      </c>
    </row>
    <row r="1851" customFormat="false" ht="14.25" hidden="true" customHeight="true" outlineLevel="0" collapsed="false">
      <c r="A1851" s="263"/>
      <c r="B1851" s="259"/>
      <c r="C1851" s="259" t="s">
        <v>2137</v>
      </c>
      <c r="D1851" s="117" t="n">
        <v>85.51</v>
      </c>
      <c r="E1851" s="260" t="n">
        <v>1</v>
      </c>
    </row>
    <row r="1852" customFormat="false" ht="14.25" hidden="true" customHeight="true" outlineLevel="0" collapsed="false">
      <c r="A1852" s="263"/>
      <c r="B1852" s="259"/>
      <c r="C1852" s="259" t="s">
        <v>2138</v>
      </c>
      <c r="D1852" s="117" t="n">
        <v>85.51</v>
      </c>
      <c r="E1852" s="260" t="n">
        <v>1</v>
      </c>
    </row>
    <row r="1853" customFormat="false" ht="14.25" hidden="true" customHeight="true" outlineLevel="0" collapsed="false">
      <c r="A1853" s="263"/>
      <c r="B1853" s="259"/>
      <c r="C1853" s="259" t="s">
        <v>2139</v>
      </c>
      <c r="D1853" s="117" t="n">
        <v>85.51</v>
      </c>
      <c r="E1853" s="260" t="n">
        <v>1</v>
      </c>
    </row>
    <row r="1854" customFormat="false" ht="14.25" hidden="true" customHeight="true" outlineLevel="0" collapsed="false">
      <c r="A1854" s="263"/>
      <c r="B1854" s="259"/>
      <c r="C1854" s="259" t="s">
        <v>2140</v>
      </c>
      <c r="D1854" s="117" t="n">
        <v>85.51</v>
      </c>
      <c r="E1854" s="260" t="n">
        <v>1</v>
      </c>
    </row>
    <row r="1855" customFormat="false" ht="14.25" hidden="true" customHeight="true" outlineLevel="0" collapsed="false">
      <c r="A1855" s="263"/>
      <c r="B1855" s="259"/>
      <c r="C1855" s="259" t="s">
        <v>2141</v>
      </c>
      <c r="D1855" s="117" t="n">
        <v>85.51</v>
      </c>
      <c r="E1855" s="260" t="n">
        <v>1</v>
      </c>
    </row>
    <row r="1856" customFormat="false" ht="14.25" hidden="true" customHeight="true" outlineLevel="0" collapsed="false">
      <c r="A1856" s="263"/>
      <c r="B1856" s="259"/>
      <c r="C1856" s="259" t="s">
        <v>2142</v>
      </c>
      <c r="D1856" s="117" t="n">
        <v>85.51</v>
      </c>
      <c r="E1856" s="260" t="n">
        <v>1</v>
      </c>
    </row>
    <row r="1857" customFormat="false" ht="14.25" hidden="true" customHeight="true" outlineLevel="0" collapsed="false">
      <c r="A1857" s="263"/>
      <c r="B1857" s="259"/>
      <c r="C1857" s="259" t="s">
        <v>2143</v>
      </c>
      <c r="D1857" s="117" t="n">
        <v>84.66</v>
      </c>
      <c r="E1857" s="260" t="n">
        <v>1</v>
      </c>
    </row>
    <row r="1858" customFormat="false" ht="14.25" hidden="true" customHeight="true" outlineLevel="0" collapsed="false">
      <c r="A1858" s="263"/>
      <c r="B1858" s="259"/>
      <c r="C1858" s="259" t="s">
        <v>2144</v>
      </c>
      <c r="D1858" s="117" t="n">
        <v>84.66</v>
      </c>
      <c r="E1858" s="260" t="n">
        <v>1</v>
      </c>
    </row>
    <row r="1859" customFormat="false" ht="14.25" hidden="true" customHeight="true" outlineLevel="0" collapsed="false">
      <c r="A1859" s="263"/>
      <c r="B1859" s="259"/>
      <c r="C1859" s="259" t="s">
        <v>2145</v>
      </c>
      <c r="D1859" s="117" t="n">
        <v>84.66</v>
      </c>
      <c r="E1859" s="260" t="n">
        <v>1</v>
      </c>
    </row>
    <row r="1860" customFormat="false" ht="14.25" hidden="true" customHeight="true" outlineLevel="0" collapsed="false">
      <c r="A1860" s="263"/>
      <c r="B1860" s="259"/>
      <c r="C1860" s="259" t="s">
        <v>2146</v>
      </c>
      <c r="D1860" s="117" t="n">
        <v>84.66</v>
      </c>
      <c r="E1860" s="260" t="n">
        <v>1</v>
      </c>
    </row>
    <row r="1861" customFormat="false" ht="14.25" hidden="true" customHeight="true" outlineLevel="0" collapsed="false">
      <c r="A1861" s="263"/>
      <c r="B1861" s="259"/>
      <c r="C1861" s="259" t="s">
        <v>2147</v>
      </c>
      <c r="D1861" s="117" t="n">
        <v>84.66</v>
      </c>
      <c r="E1861" s="260" t="n">
        <v>1</v>
      </c>
    </row>
    <row r="1862" customFormat="false" ht="14.25" hidden="true" customHeight="true" outlineLevel="0" collapsed="false">
      <c r="A1862" s="263"/>
      <c r="B1862" s="259"/>
      <c r="C1862" s="259" t="s">
        <v>2148</v>
      </c>
      <c r="D1862" s="117" t="n">
        <v>84.66</v>
      </c>
      <c r="E1862" s="260" t="n">
        <v>1</v>
      </c>
    </row>
    <row r="1863" customFormat="false" ht="14.25" hidden="true" customHeight="true" outlineLevel="0" collapsed="false">
      <c r="A1863" s="263"/>
      <c r="B1863" s="259"/>
      <c r="C1863" s="259" t="s">
        <v>2149</v>
      </c>
      <c r="D1863" s="117" t="n">
        <v>84.66</v>
      </c>
      <c r="E1863" s="260" t="n">
        <v>1</v>
      </c>
    </row>
    <row r="1864" customFormat="false" ht="14.25" hidden="true" customHeight="true" outlineLevel="0" collapsed="false">
      <c r="A1864" s="263"/>
      <c r="B1864" s="259"/>
      <c r="C1864" s="259" t="s">
        <v>2150</v>
      </c>
      <c r="D1864" s="117" t="n">
        <v>84.66</v>
      </c>
      <c r="E1864" s="260" t="n">
        <v>1</v>
      </c>
    </row>
    <row r="1865" customFormat="false" ht="14.25" hidden="true" customHeight="true" outlineLevel="0" collapsed="false">
      <c r="A1865" s="263"/>
      <c r="B1865" s="259"/>
      <c r="C1865" s="259" t="s">
        <v>2151</v>
      </c>
      <c r="D1865" s="117" t="n">
        <v>84.66</v>
      </c>
      <c r="E1865" s="260" t="n">
        <v>1</v>
      </c>
    </row>
    <row r="1866" customFormat="false" ht="14.25" hidden="true" customHeight="true" outlineLevel="0" collapsed="false">
      <c r="A1866" s="263"/>
      <c r="B1866" s="259"/>
      <c r="C1866" s="259" t="s">
        <v>2152</v>
      </c>
      <c r="D1866" s="117" t="n">
        <v>84.66</v>
      </c>
      <c r="E1866" s="260" t="n">
        <v>1</v>
      </c>
    </row>
    <row r="1867" customFormat="false" ht="14.25" hidden="true" customHeight="true" outlineLevel="0" collapsed="false">
      <c r="A1867" s="263"/>
      <c r="B1867" s="259"/>
      <c r="C1867" s="259" t="s">
        <v>2153</v>
      </c>
      <c r="D1867" s="117" t="n">
        <v>84.66</v>
      </c>
      <c r="E1867" s="260" t="n">
        <v>1</v>
      </c>
    </row>
    <row r="1868" customFormat="false" ht="14.25" hidden="true" customHeight="true" outlineLevel="0" collapsed="false">
      <c r="A1868" s="263"/>
      <c r="B1868" s="259"/>
      <c r="C1868" s="259" t="s">
        <v>2154</v>
      </c>
      <c r="D1868" s="117" t="n">
        <v>84.66</v>
      </c>
      <c r="E1868" s="260" t="n">
        <v>1</v>
      </c>
    </row>
    <row r="1869" customFormat="false" ht="14.25" hidden="true" customHeight="true" outlineLevel="0" collapsed="false">
      <c r="A1869" s="263"/>
      <c r="B1869" s="259"/>
      <c r="C1869" s="259" t="s">
        <v>2155</v>
      </c>
      <c r="D1869" s="117" t="n">
        <v>84.66</v>
      </c>
      <c r="E1869" s="260" t="n">
        <v>1</v>
      </c>
    </row>
    <row r="1870" customFormat="false" ht="14.25" hidden="true" customHeight="true" outlineLevel="0" collapsed="false">
      <c r="A1870" s="263"/>
      <c r="B1870" s="259"/>
      <c r="C1870" s="259" t="s">
        <v>2156</v>
      </c>
      <c r="D1870" s="117" t="n">
        <v>84.58</v>
      </c>
      <c r="E1870" s="260" t="n">
        <v>2</v>
      </c>
    </row>
    <row r="1871" customFormat="false" ht="14.25" hidden="true" customHeight="true" outlineLevel="0" collapsed="false">
      <c r="A1871" s="263"/>
      <c r="B1871" s="259"/>
      <c r="C1871" s="259" t="s">
        <v>2157</v>
      </c>
      <c r="D1871" s="117" t="n">
        <v>81.28</v>
      </c>
      <c r="E1871" s="260" t="n">
        <v>1</v>
      </c>
    </row>
    <row r="1872" customFormat="false" ht="14.25" hidden="true" customHeight="true" outlineLevel="0" collapsed="false">
      <c r="A1872" s="263"/>
      <c r="B1872" s="259"/>
      <c r="C1872" s="259" t="s">
        <v>2158</v>
      </c>
      <c r="D1872" s="117" t="n">
        <v>81.28</v>
      </c>
      <c r="E1872" s="260" t="n">
        <v>1</v>
      </c>
    </row>
    <row r="1873" customFormat="false" ht="14.25" hidden="true" customHeight="true" outlineLevel="0" collapsed="false">
      <c r="A1873" s="263"/>
      <c r="B1873" s="259"/>
      <c r="C1873" s="259" t="s">
        <v>2159</v>
      </c>
      <c r="D1873" s="117" t="n">
        <v>81.27</v>
      </c>
      <c r="E1873" s="260" t="n">
        <v>1</v>
      </c>
    </row>
    <row r="1874" customFormat="false" ht="14.25" hidden="true" customHeight="true" outlineLevel="0" collapsed="false">
      <c r="A1874" s="263"/>
      <c r="B1874" s="259"/>
      <c r="C1874" s="259" t="s">
        <v>2160</v>
      </c>
      <c r="D1874" s="117" t="n">
        <v>81.27</v>
      </c>
      <c r="E1874" s="260" t="n">
        <v>1</v>
      </c>
    </row>
    <row r="1875" customFormat="false" ht="14.25" hidden="true" customHeight="true" outlineLevel="0" collapsed="false">
      <c r="A1875" s="263"/>
      <c r="B1875" s="259"/>
      <c r="C1875" s="259" t="s">
        <v>2161</v>
      </c>
      <c r="D1875" s="117" t="n">
        <v>81.27</v>
      </c>
      <c r="E1875" s="260" t="n">
        <v>1</v>
      </c>
    </row>
    <row r="1876" customFormat="false" ht="14.25" hidden="true" customHeight="true" outlineLevel="0" collapsed="false">
      <c r="A1876" s="263"/>
      <c r="B1876" s="259"/>
      <c r="C1876" s="259" t="s">
        <v>2162</v>
      </c>
      <c r="D1876" s="117" t="n">
        <v>81.27</v>
      </c>
      <c r="E1876" s="260" t="n">
        <v>1</v>
      </c>
    </row>
    <row r="1877" customFormat="false" ht="14.25" hidden="true" customHeight="true" outlineLevel="0" collapsed="false">
      <c r="A1877" s="263"/>
      <c r="B1877" s="259"/>
      <c r="C1877" s="259" t="s">
        <v>2163</v>
      </c>
      <c r="D1877" s="117" t="n">
        <v>81.27</v>
      </c>
      <c r="E1877" s="260" t="n">
        <v>1</v>
      </c>
    </row>
    <row r="1878" customFormat="false" ht="14.25" hidden="true" customHeight="true" outlineLevel="0" collapsed="false">
      <c r="A1878" s="263"/>
      <c r="B1878" s="259"/>
      <c r="C1878" s="259" t="s">
        <v>2164</v>
      </c>
      <c r="D1878" s="117" t="n">
        <v>80.78</v>
      </c>
      <c r="E1878" s="260" t="n">
        <v>1</v>
      </c>
    </row>
    <row r="1879" customFormat="false" ht="14.25" hidden="true" customHeight="true" outlineLevel="0" collapsed="false">
      <c r="A1879" s="263"/>
      <c r="B1879" s="259"/>
      <c r="C1879" s="259" t="s">
        <v>2165</v>
      </c>
      <c r="D1879" s="117" t="n">
        <v>79.76</v>
      </c>
      <c r="E1879" s="260" t="n">
        <v>3</v>
      </c>
    </row>
    <row r="1880" customFormat="false" ht="14.25" hidden="true" customHeight="true" outlineLevel="0" collapsed="false">
      <c r="A1880" s="263"/>
      <c r="B1880" s="259"/>
      <c r="C1880" s="259" t="s">
        <v>2166</v>
      </c>
      <c r="D1880" s="117" t="n">
        <v>76.96</v>
      </c>
      <c r="E1880" s="260" t="n">
        <v>1</v>
      </c>
    </row>
    <row r="1881" customFormat="false" ht="14.25" hidden="true" customHeight="true" outlineLevel="0" collapsed="false">
      <c r="A1881" s="263"/>
      <c r="B1881" s="259"/>
      <c r="C1881" s="259" t="s">
        <v>2167</v>
      </c>
      <c r="D1881" s="117" t="n">
        <v>76.96</v>
      </c>
      <c r="E1881" s="260" t="n">
        <v>1</v>
      </c>
    </row>
    <row r="1882" customFormat="false" ht="14.25" hidden="true" customHeight="true" outlineLevel="0" collapsed="false">
      <c r="A1882" s="263"/>
      <c r="B1882" s="259"/>
      <c r="C1882" s="259" t="s">
        <v>2168</v>
      </c>
      <c r="D1882" s="117" t="n">
        <v>76.2</v>
      </c>
      <c r="E1882" s="260" t="n">
        <v>1</v>
      </c>
    </row>
    <row r="1883" customFormat="false" ht="14.25" hidden="true" customHeight="true" outlineLevel="0" collapsed="false">
      <c r="A1883" s="263"/>
      <c r="B1883" s="259"/>
      <c r="C1883" s="259" t="s">
        <v>2169</v>
      </c>
      <c r="D1883" s="117" t="n">
        <v>76.2</v>
      </c>
      <c r="E1883" s="260" t="n">
        <v>1</v>
      </c>
    </row>
    <row r="1884" customFormat="false" ht="14.25" hidden="true" customHeight="true" outlineLevel="0" collapsed="false">
      <c r="A1884" s="263"/>
      <c r="B1884" s="259"/>
      <c r="C1884" s="259" t="s">
        <v>2170</v>
      </c>
      <c r="D1884" s="117" t="n">
        <v>76.2</v>
      </c>
      <c r="E1884" s="260" t="n">
        <v>1</v>
      </c>
    </row>
    <row r="1885" customFormat="false" ht="14.25" hidden="true" customHeight="true" outlineLevel="0" collapsed="false">
      <c r="A1885" s="263"/>
      <c r="B1885" s="259"/>
      <c r="C1885" s="259" t="s">
        <v>2171</v>
      </c>
      <c r="D1885" s="117" t="n">
        <v>76.19</v>
      </c>
      <c r="E1885" s="260" t="n">
        <v>1</v>
      </c>
    </row>
    <row r="1886" customFormat="false" ht="14.25" hidden="true" customHeight="true" outlineLevel="0" collapsed="false">
      <c r="A1886" s="263"/>
      <c r="B1886" s="259"/>
      <c r="C1886" s="259" t="s">
        <v>2172</v>
      </c>
      <c r="D1886" s="117" t="n">
        <v>76.19</v>
      </c>
      <c r="E1886" s="260" t="n">
        <v>1</v>
      </c>
    </row>
    <row r="1887" customFormat="false" ht="14.25" hidden="true" customHeight="true" outlineLevel="0" collapsed="false">
      <c r="A1887" s="263"/>
      <c r="B1887" s="259"/>
      <c r="C1887" s="259" t="s">
        <v>2173</v>
      </c>
      <c r="D1887" s="117" t="n">
        <v>76.19</v>
      </c>
      <c r="E1887" s="260" t="n">
        <v>1</v>
      </c>
    </row>
    <row r="1888" customFormat="false" ht="14.25" hidden="true" customHeight="true" outlineLevel="0" collapsed="false">
      <c r="A1888" s="263"/>
      <c r="B1888" s="259"/>
      <c r="C1888" s="259" t="s">
        <v>2174</v>
      </c>
      <c r="D1888" s="117" t="n">
        <v>76.19</v>
      </c>
      <c r="E1888" s="260" t="n">
        <v>1</v>
      </c>
    </row>
    <row r="1889" customFormat="false" ht="14.25" hidden="true" customHeight="true" outlineLevel="0" collapsed="false">
      <c r="A1889" s="263"/>
      <c r="B1889" s="259"/>
      <c r="C1889" s="259" t="s">
        <v>2175</v>
      </c>
      <c r="D1889" s="117" t="n">
        <v>76.19</v>
      </c>
      <c r="E1889" s="260" t="n">
        <v>1</v>
      </c>
    </row>
    <row r="1890" customFormat="false" ht="14.25" hidden="true" customHeight="true" outlineLevel="0" collapsed="false">
      <c r="A1890" s="263"/>
      <c r="B1890" s="259"/>
      <c r="C1890" s="259" t="s">
        <v>2176</v>
      </c>
      <c r="D1890" s="117" t="n">
        <v>76.19</v>
      </c>
      <c r="E1890" s="260" t="n">
        <v>1</v>
      </c>
    </row>
    <row r="1891" customFormat="false" ht="14.25" hidden="true" customHeight="true" outlineLevel="0" collapsed="false">
      <c r="A1891" s="263"/>
      <c r="B1891" s="259"/>
      <c r="C1891" s="259" t="s">
        <v>2177</v>
      </c>
      <c r="D1891" s="117" t="n">
        <v>76.19</v>
      </c>
      <c r="E1891" s="260" t="n">
        <v>1</v>
      </c>
    </row>
    <row r="1892" customFormat="false" ht="14.25" hidden="true" customHeight="true" outlineLevel="0" collapsed="false">
      <c r="A1892" s="263"/>
      <c r="B1892" s="259"/>
      <c r="C1892" s="259" t="s">
        <v>2178</v>
      </c>
      <c r="D1892" s="117" t="n">
        <v>76.19</v>
      </c>
      <c r="E1892" s="260" t="n">
        <v>1</v>
      </c>
    </row>
    <row r="1893" customFormat="false" ht="14.25" hidden="true" customHeight="true" outlineLevel="0" collapsed="false">
      <c r="A1893" s="263"/>
      <c r="B1893" s="259"/>
      <c r="C1893" s="259" t="s">
        <v>2179</v>
      </c>
      <c r="D1893" s="117" t="n">
        <v>76.19</v>
      </c>
      <c r="E1893" s="260" t="n">
        <v>1</v>
      </c>
    </row>
    <row r="1894" customFormat="false" ht="14.25" hidden="true" customHeight="true" outlineLevel="0" collapsed="false">
      <c r="A1894" s="263"/>
      <c r="B1894" s="259"/>
      <c r="C1894" s="259" t="s">
        <v>2180</v>
      </c>
      <c r="D1894" s="117" t="n">
        <v>76.19</v>
      </c>
      <c r="E1894" s="260" t="n">
        <v>1</v>
      </c>
    </row>
    <row r="1895" customFormat="false" ht="14.25" hidden="true" customHeight="true" outlineLevel="0" collapsed="false">
      <c r="A1895" s="263"/>
      <c r="B1895" s="259"/>
      <c r="C1895" s="259" t="s">
        <v>2181</v>
      </c>
      <c r="D1895" s="117" t="n">
        <v>76.19</v>
      </c>
      <c r="E1895" s="260" t="n">
        <v>1</v>
      </c>
    </row>
    <row r="1896" customFormat="false" ht="14.25" hidden="true" customHeight="true" outlineLevel="0" collapsed="false">
      <c r="A1896" s="263"/>
      <c r="B1896" s="259"/>
      <c r="C1896" s="259" t="s">
        <v>2182</v>
      </c>
      <c r="D1896" s="117" t="n">
        <v>76.19</v>
      </c>
      <c r="E1896" s="260" t="n">
        <v>1</v>
      </c>
    </row>
    <row r="1897" customFormat="false" ht="14.25" hidden="true" customHeight="true" outlineLevel="0" collapsed="false">
      <c r="A1897" s="263"/>
      <c r="B1897" s="259"/>
      <c r="C1897" s="259" t="s">
        <v>2183</v>
      </c>
      <c r="D1897" s="117" t="n">
        <v>76.19</v>
      </c>
      <c r="E1897" s="260" t="n">
        <v>1</v>
      </c>
    </row>
    <row r="1898" customFormat="false" ht="14.25" hidden="true" customHeight="true" outlineLevel="0" collapsed="false">
      <c r="A1898" s="263"/>
      <c r="B1898" s="259"/>
      <c r="C1898" s="259" t="s">
        <v>2184</v>
      </c>
      <c r="D1898" s="117" t="n">
        <v>76.19</v>
      </c>
      <c r="E1898" s="260" t="n">
        <v>1</v>
      </c>
    </row>
    <row r="1899" customFormat="false" ht="14.25" hidden="true" customHeight="true" outlineLevel="0" collapsed="false">
      <c r="A1899" s="263"/>
      <c r="B1899" s="259"/>
      <c r="C1899" s="259" t="s">
        <v>2185</v>
      </c>
      <c r="D1899" s="117" t="n">
        <v>76.19</v>
      </c>
      <c r="E1899" s="260" t="n">
        <v>1</v>
      </c>
    </row>
    <row r="1900" customFormat="false" ht="14.25" hidden="true" customHeight="true" outlineLevel="0" collapsed="false">
      <c r="A1900" s="263"/>
      <c r="B1900" s="259"/>
      <c r="C1900" s="259" t="s">
        <v>2186</v>
      </c>
      <c r="D1900" s="117" t="n">
        <v>76.19</v>
      </c>
      <c r="E1900" s="260" t="n">
        <v>1</v>
      </c>
    </row>
    <row r="1901" customFormat="false" ht="14.25" hidden="true" customHeight="true" outlineLevel="0" collapsed="false">
      <c r="A1901" s="263"/>
      <c r="B1901" s="259"/>
      <c r="C1901" s="259" t="s">
        <v>2187</v>
      </c>
      <c r="D1901" s="117" t="n">
        <v>76.19</v>
      </c>
      <c r="E1901" s="260" t="n">
        <v>1</v>
      </c>
    </row>
    <row r="1902" customFormat="false" ht="14.25" hidden="true" customHeight="true" outlineLevel="0" collapsed="false">
      <c r="A1902" s="263"/>
      <c r="B1902" s="259"/>
      <c r="C1902" s="259" t="s">
        <v>2188</v>
      </c>
      <c r="D1902" s="117" t="n">
        <v>76.19</v>
      </c>
      <c r="E1902" s="260" t="n">
        <v>1</v>
      </c>
    </row>
    <row r="1903" customFormat="false" ht="14.25" hidden="true" customHeight="true" outlineLevel="0" collapsed="false">
      <c r="A1903" s="263"/>
      <c r="B1903" s="259"/>
      <c r="C1903" s="259" t="s">
        <v>2189</v>
      </c>
      <c r="D1903" s="117" t="n">
        <v>76.19</v>
      </c>
      <c r="E1903" s="260" t="n">
        <v>1</v>
      </c>
    </row>
    <row r="1904" customFormat="false" ht="14.25" hidden="true" customHeight="true" outlineLevel="0" collapsed="false">
      <c r="A1904" s="263"/>
      <c r="B1904" s="259"/>
      <c r="C1904" s="259" t="s">
        <v>2190</v>
      </c>
      <c r="D1904" s="117" t="n">
        <v>76.19</v>
      </c>
      <c r="E1904" s="260" t="n">
        <v>1</v>
      </c>
    </row>
    <row r="1905" customFormat="false" ht="14.25" hidden="true" customHeight="true" outlineLevel="0" collapsed="false">
      <c r="A1905" s="263"/>
      <c r="B1905" s="259"/>
      <c r="C1905" s="259" t="s">
        <v>2191</v>
      </c>
      <c r="D1905" s="117" t="n">
        <v>76.19</v>
      </c>
      <c r="E1905" s="260" t="n">
        <v>1</v>
      </c>
    </row>
    <row r="1906" customFormat="false" ht="14.25" hidden="true" customHeight="true" outlineLevel="0" collapsed="false">
      <c r="A1906" s="263"/>
      <c r="B1906" s="259"/>
      <c r="C1906" s="259" t="s">
        <v>2192</v>
      </c>
      <c r="D1906" s="117" t="n">
        <v>76.19</v>
      </c>
      <c r="E1906" s="260" t="n">
        <v>1</v>
      </c>
    </row>
    <row r="1907" customFormat="false" ht="14.25" hidden="true" customHeight="true" outlineLevel="0" collapsed="false">
      <c r="A1907" s="263"/>
      <c r="B1907" s="259"/>
      <c r="C1907" s="259" t="s">
        <v>2193</v>
      </c>
      <c r="D1907" s="117" t="n">
        <v>76.18</v>
      </c>
      <c r="E1907" s="260" t="n">
        <v>1</v>
      </c>
    </row>
    <row r="1908" customFormat="false" ht="14.25" hidden="true" customHeight="true" outlineLevel="0" collapsed="false">
      <c r="A1908" s="263"/>
      <c r="B1908" s="259"/>
      <c r="C1908" s="259" t="s">
        <v>2194</v>
      </c>
      <c r="D1908" s="117" t="n">
        <v>76.18</v>
      </c>
      <c r="E1908" s="260" t="n">
        <v>1</v>
      </c>
    </row>
    <row r="1909" customFormat="false" ht="14.25" hidden="true" customHeight="true" outlineLevel="0" collapsed="false">
      <c r="A1909" s="263"/>
      <c r="B1909" s="259"/>
      <c r="C1909" s="259" t="s">
        <v>2195</v>
      </c>
      <c r="D1909" s="117" t="n">
        <v>76.18</v>
      </c>
      <c r="E1909" s="260" t="n">
        <v>1</v>
      </c>
    </row>
    <row r="1910" customFormat="false" ht="14.25" hidden="true" customHeight="true" outlineLevel="0" collapsed="false">
      <c r="A1910" s="263"/>
      <c r="B1910" s="259"/>
      <c r="C1910" s="259" t="s">
        <v>2196</v>
      </c>
      <c r="D1910" s="117" t="n">
        <v>76.18</v>
      </c>
      <c r="E1910" s="260" t="n">
        <v>1</v>
      </c>
    </row>
    <row r="1911" customFormat="false" ht="14.25" hidden="true" customHeight="true" outlineLevel="0" collapsed="false">
      <c r="A1911" s="263"/>
      <c r="B1911" s="259"/>
      <c r="C1911" s="259" t="s">
        <v>2197</v>
      </c>
      <c r="D1911" s="117" t="n">
        <v>76.18</v>
      </c>
      <c r="E1911" s="260" t="n">
        <v>1</v>
      </c>
    </row>
    <row r="1912" customFormat="false" ht="14.25" hidden="true" customHeight="true" outlineLevel="0" collapsed="false">
      <c r="A1912" s="263"/>
      <c r="B1912" s="259"/>
      <c r="C1912" s="259" t="s">
        <v>2198</v>
      </c>
      <c r="D1912" s="117" t="n">
        <v>76.18</v>
      </c>
      <c r="E1912" s="260" t="n">
        <v>1</v>
      </c>
    </row>
    <row r="1913" customFormat="false" ht="14.25" hidden="true" customHeight="true" outlineLevel="0" collapsed="false">
      <c r="A1913" s="263"/>
      <c r="B1913" s="259"/>
      <c r="C1913" s="259" t="s">
        <v>2199</v>
      </c>
      <c r="D1913" s="117" t="n">
        <v>76.18</v>
      </c>
      <c r="E1913" s="260" t="n">
        <v>1</v>
      </c>
    </row>
    <row r="1914" customFormat="false" ht="14.25" hidden="true" customHeight="true" outlineLevel="0" collapsed="false">
      <c r="A1914" s="263"/>
      <c r="B1914" s="259"/>
      <c r="C1914" s="259" t="s">
        <v>2200</v>
      </c>
      <c r="D1914" s="117" t="n">
        <v>76.18</v>
      </c>
      <c r="E1914" s="260" t="n">
        <v>1</v>
      </c>
    </row>
    <row r="1915" customFormat="false" ht="14.25" hidden="true" customHeight="true" outlineLevel="0" collapsed="false">
      <c r="A1915" s="263"/>
      <c r="B1915" s="259"/>
      <c r="C1915" s="259" t="s">
        <v>2201</v>
      </c>
      <c r="D1915" s="117" t="n">
        <v>76.18</v>
      </c>
      <c r="E1915" s="260" t="n">
        <v>1</v>
      </c>
    </row>
    <row r="1916" customFormat="false" ht="14.25" hidden="true" customHeight="true" outlineLevel="0" collapsed="false">
      <c r="A1916" s="263"/>
      <c r="B1916" s="259"/>
      <c r="C1916" s="259" t="s">
        <v>2202</v>
      </c>
      <c r="D1916" s="117" t="n">
        <v>76.18</v>
      </c>
      <c r="E1916" s="260" t="n">
        <v>1</v>
      </c>
    </row>
    <row r="1917" customFormat="false" ht="14.25" hidden="true" customHeight="true" outlineLevel="0" collapsed="false">
      <c r="A1917" s="263"/>
      <c r="B1917" s="259"/>
      <c r="C1917" s="259" t="s">
        <v>2203</v>
      </c>
      <c r="D1917" s="117" t="n">
        <v>76.18</v>
      </c>
      <c r="E1917" s="260" t="n">
        <v>1</v>
      </c>
    </row>
    <row r="1918" customFormat="false" ht="14.25" hidden="true" customHeight="true" outlineLevel="0" collapsed="false">
      <c r="A1918" s="263"/>
      <c r="B1918" s="259"/>
      <c r="C1918" s="259" t="s">
        <v>2204</v>
      </c>
      <c r="D1918" s="117" t="n">
        <v>76.18</v>
      </c>
      <c r="E1918" s="260" t="n">
        <v>1</v>
      </c>
    </row>
    <row r="1919" customFormat="false" ht="14.25" hidden="true" customHeight="true" outlineLevel="0" collapsed="false">
      <c r="A1919" s="263"/>
      <c r="B1919" s="259"/>
      <c r="C1919" s="259" t="s">
        <v>2205</v>
      </c>
      <c r="D1919" s="117" t="n">
        <v>74.6</v>
      </c>
      <c r="E1919" s="260" t="n">
        <v>2</v>
      </c>
    </row>
    <row r="1920" customFormat="false" ht="14.25" hidden="true" customHeight="true" outlineLevel="0" collapsed="false">
      <c r="A1920" s="263"/>
      <c r="B1920" s="259"/>
      <c r="C1920" s="259" t="s">
        <v>2206</v>
      </c>
      <c r="D1920" s="117" t="n">
        <v>73.15</v>
      </c>
      <c r="E1920" s="260" t="n">
        <v>1</v>
      </c>
    </row>
    <row r="1921" customFormat="false" ht="14.25" hidden="true" customHeight="true" outlineLevel="0" collapsed="false">
      <c r="A1921" s="263"/>
      <c r="B1921" s="259"/>
      <c r="C1921" s="259" t="s">
        <v>2207</v>
      </c>
      <c r="D1921" s="117" t="n">
        <v>73.15</v>
      </c>
      <c r="E1921" s="260" t="n">
        <v>1</v>
      </c>
    </row>
    <row r="1922" customFormat="false" ht="14.25" hidden="true" customHeight="true" outlineLevel="0" collapsed="false">
      <c r="A1922" s="263"/>
      <c r="B1922" s="259"/>
      <c r="C1922" s="259" t="s">
        <v>2208</v>
      </c>
      <c r="D1922" s="117" t="n">
        <v>73.09</v>
      </c>
      <c r="E1922" s="260" t="n">
        <v>2</v>
      </c>
    </row>
    <row r="1923" customFormat="false" ht="14.25" hidden="true" customHeight="true" outlineLevel="0" collapsed="false">
      <c r="A1923" s="263"/>
      <c r="B1923" s="259"/>
      <c r="C1923" s="259" t="s">
        <v>2209</v>
      </c>
      <c r="D1923" s="117" t="n">
        <v>73.07</v>
      </c>
      <c r="E1923" s="260" t="n">
        <v>2</v>
      </c>
    </row>
    <row r="1924" customFormat="false" ht="14.25" hidden="true" customHeight="true" outlineLevel="0" collapsed="false">
      <c r="A1924" s="263"/>
      <c r="B1924" s="259"/>
      <c r="C1924" s="259" t="s">
        <v>2210</v>
      </c>
      <c r="D1924" s="117" t="n">
        <v>72.8</v>
      </c>
      <c r="E1924" s="260" t="n">
        <v>1</v>
      </c>
    </row>
    <row r="1925" customFormat="false" ht="14.25" hidden="true" customHeight="true" outlineLevel="0" collapsed="false">
      <c r="A1925" s="263"/>
      <c r="B1925" s="259"/>
      <c r="C1925" s="259" t="s">
        <v>2211</v>
      </c>
      <c r="D1925" s="117" t="n">
        <v>72.8</v>
      </c>
      <c r="E1925" s="260" t="n">
        <v>1</v>
      </c>
    </row>
    <row r="1926" customFormat="false" ht="14.25" hidden="true" customHeight="true" outlineLevel="0" collapsed="false">
      <c r="A1926" s="263"/>
      <c r="B1926" s="259"/>
      <c r="C1926" s="259" t="s">
        <v>2212</v>
      </c>
      <c r="D1926" s="117" t="n">
        <v>72.8</v>
      </c>
      <c r="E1926" s="260" t="n">
        <v>1</v>
      </c>
    </row>
    <row r="1927" customFormat="false" ht="14.25" hidden="true" customHeight="true" outlineLevel="0" collapsed="false">
      <c r="A1927" s="263"/>
      <c r="B1927" s="259"/>
      <c r="C1927" s="259" t="s">
        <v>2213</v>
      </c>
      <c r="D1927" s="117" t="n">
        <v>72.79</v>
      </c>
      <c r="E1927" s="260" t="n">
        <v>1</v>
      </c>
    </row>
    <row r="1928" customFormat="false" ht="14.25" hidden="true" customHeight="true" outlineLevel="0" collapsed="false">
      <c r="A1928" s="263"/>
      <c r="B1928" s="259"/>
      <c r="C1928" s="259" t="s">
        <v>2214</v>
      </c>
      <c r="D1928" s="117" t="n">
        <v>72.72</v>
      </c>
      <c r="E1928" s="260" t="n">
        <v>2</v>
      </c>
    </row>
    <row r="1929" customFormat="false" ht="14.25" hidden="true" customHeight="true" outlineLevel="0" collapsed="false">
      <c r="A1929" s="263"/>
      <c r="B1929" s="259"/>
      <c r="C1929" s="259" t="s">
        <v>2215</v>
      </c>
      <c r="D1929" s="117" t="n">
        <v>71.96</v>
      </c>
      <c r="E1929" s="260" t="n">
        <v>2</v>
      </c>
    </row>
    <row r="1930" customFormat="false" ht="14.25" hidden="true" customHeight="true" outlineLevel="0" collapsed="false">
      <c r="A1930" s="263"/>
      <c r="B1930" s="259"/>
      <c r="C1930" s="259" t="s">
        <v>2216</v>
      </c>
      <c r="D1930" s="117" t="n">
        <v>71.95</v>
      </c>
      <c r="E1930" s="260" t="n">
        <v>1</v>
      </c>
    </row>
    <row r="1931" customFormat="false" ht="14.25" hidden="true" customHeight="true" outlineLevel="0" collapsed="false">
      <c r="A1931" s="263"/>
      <c r="B1931" s="259"/>
      <c r="C1931" s="259" t="s">
        <v>2217</v>
      </c>
      <c r="D1931" s="117" t="n">
        <v>71.95</v>
      </c>
      <c r="E1931" s="260" t="n">
        <v>1</v>
      </c>
    </row>
    <row r="1932" customFormat="false" ht="14.25" hidden="true" customHeight="true" outlineLevel="0" collapsed="false">
      <c r="A1932" s="263"/>
      <c r="B1932" s="259"/>
      <c r="C1932" s="259" t="s">
        <v>2218</v>
      </c>
      <c r="D1932" s="117" t="n">
        <v>71.95</v>
      </c>
      <c r="E1932" s="260" t="n">
        <v>1</v>
      </c>
    </row>
    <row r="1933" customFormat="false" ht="14.25" hidden="true" customHeight="true" outlineLevel="0" collapsed="false">
      <c r="A1933" s="263"/>
      <c r="B1933" s="259"/>
      <c r="C1933" s="259" t="s">
        <v>2219</v>
      </c>
      <c r="D1933" s="117" t="n">
        <v>71.95</v>
      </c>
      <c r="E1933" s="260" t="n">
        <v>1</v>
      </c>
    </row>
    <row r="1934" customFormat="false" ht="14.25" hidden="true" customHeight="true" outlineLevel="0" collapsed="false">
      <c r="A1934" s="263"/>
      <c r="B1934" s="259"/>
      <c r="C1934" s="259" t="s">
        <v>2220</v>
      </c>
      <c r="D1934" s="117" t="n">
        <v>71.95</v>
      </c>
      <c r="E1934" s="260" t="n">
        <v>1</v>
      </c>
    </row>
    <row r="1935" customFormat="false" ht="14.25" hidden="true" customHeight="true" outlineLevel="0" collapsed="false">
      <c r="A1935" s="263"/>
      <c r="B1935" s="259"/>
      <c r="C1935" s="259" t="s">
        <v>2221</v>
      </c>
      <c r="D1935" s="117" t="n">
        <v>71.95</v>
      </c>
      <c r="E1935" s="260" t="n">
        <v>1</v>
      </c>
    </row>
    <row r="1936" customFormat="false" ht="14.25" hidden="true" customHeight="true" outlineLevel="0" collapsed="false">
      <c r="A1936" s="263"/>
      <c r="B1936" s="259"/>
      <c r="C1936" s="259" t="s">
        <v>2222</v>
      </c>
      <c r="D1936" s="117" t="n">
        <v>71.95</v>
      </c>
      <c r="E1936" s="260" t="n">
        <v>1</v>
      </c>
    </row>
    <row r="1937" customFormat="false" ht="14.25" hidden="true" customHeight="true" outlineLevel="0" collapsed="false">
      <c r="A1937" s="263"/>
      <c r="B1937" s="259"/>
      <c r="C1937" s="259" t="s">
        <v>2223</v>
      </c>
      <c r="D1937" s="117" t="n">
        <v>71.95</v>
      </c>
      <c r="E1937" s="260" t="n">
        <v>1</v>
      </c>
    </row>
    <row r="1938" customFormat="false" ht="14.25" hidden="true" customHeight="true" outlineLevel="0" collapsed="false">
      <c r="A1938" s="263"/>
      <c r="B1938" s="259"/>
      <c r="C1938" s="259" t="s">
        <v>2224</v>
      </c>
      <c r="D1938" s="117" t="n">
        <v>71.95</v>
      </c>
      <c r="E1938" s="260" t="n">
        <v>1</v>
      </c>
    </row>
    <row r="1939" customFormat="false" ht="14.25" hidden="true" customHeight="true" outlineLevel="0" collapsed="false">
      <c r="A1939" s="263"/>
      <c r="B1939" s="259"/>
      <c r="C1939" s="259" t="s">
        <v>2225</v>
      </c>
      <c r="D1939" s="117" t="n">
        <v>71.95</v>
      </c>
      <c r="E1939" s="260" t="n">
        <v>1</v>
      </c>
    </row>
    <row r="1940" customFormat="false" ht="14.25" hidden="true" customHeight="true" outlineLevel="0" collapsed="false">
      <c r="A1940" s="263"/>
      <c r="B1940" s="259"/>
      <c r="C1940" s="259" t="s">
        <v>2226</v>
      </c>
      <c r="D1940" s="117" t="n">
        <v>71.95</v>
      </c>
      <c r="E1940" s="260" t="n">
        <v>1</v>
      </c>
    </row>
    <row r="1941" customFormat="false" ht="14.25" hidden="true" customHeight="true" outlineLevel="0" collapsed="false">
      <c r="A1941" s="263"/>
      <c r="B1941" s="259"/>
      <c r="C1941" s="259" t="s">
        <v>2227</v>
      </c>
      <c r="D1941" s="117" t="n">
        <v>71.95</v>
      </c>
      <c r="E1941" s="260" t="n">
        <v>1</v>
      </c>
    </row>
    <row r="1942" customFormat="false" ht="14.25" hidden="true" customHeight="true" outlineLevel="0" collapsed="false">
      <c r="A1942" s="263"/>
      <c r="B1942" s="259"/>
      <c r="C1942" s="259" t="s">
        <v>2228</v>
      </c>
      <c r="D1942" s="117" t="n">
        <v>71.95</v>
      </c>
      <c r="E1942" s="260" t="n">
        <v>1</v>
      </c>
    </row>
    <row r="1943" customFormat="false" ht="14.25" hidden="true" customHeight="true" outlineLevel="0" collapsed="false">
      <c r="A1943" s="263"/>
      <c r="B1943" s="259"/>
      <c r="C1943" s="259" t="s">
        <v>2229</v>
      </c>
      <c r="D1943" s="117" t="n">
        <v>71.95</v>
      </c>
      <c r="E1943" s="260" t="n">
        <v>1</v>
      </c>
    </row>
    <row r="1944" customFormat="false" ht="14.25" hidden="true" customHeight="true" outlineLevel="0" collapsed="false">
      <c r="A1944" s="263"/>
      <c r="B1944" s="259"/>
      <c r="C1944" s="259" t="s">
        <v>2230</v>
      </c>
      <c r="D1944" s="117" t="n">
        <v>71.02</v>
      </c>
      <c r="E1944" s="260" t="n">
        <v>2</v>
      </c>
    </row>
    <row r="1945" customFormat="false" ht="14.25" hidden="true" customHeight="true" outlineLevel="0" collapsed="false">
      <c r="A1945" s="263"/>
      <c r="B1945" s="259"/>
      <c r="C1945" s="259" t="s">
        <v>2231</v>
      </c>
      <c r="D1945" s="117" t="n">
        <v>71.01</v>
      </c>
      <c r="E1945" s="260" t="n">
        <v>2</v>
      </c>
    </row>
    <row r="1946" customFormat="false" ht="14.25" hidden="true" customHeight="true" outlineLevel="0" collapsed="false">
      <c r="A1946" s="263"/>
      <c r="B1946" s="259"/>
      <c r="C1946" s="259" t="s">
        <v>2232</v>
      </c>
      <c r="D1946" s="117" t="n">
        <v>68.57</v>
      </c>
      <c r="E1946" s="260" t="n">
        <v>1</v>
      </c>
    </row>
    <row r="1947" customFormat="false" ht="14.25" hidden="true" customHeight="true" outlineLevel="0" collapsed="false">
      <c r="A1947" s="263"/>
      <c r="B1947" s="259"/>
      <c r="C1947" s="259" t="s">
        <v>2233</v>
      </c>
      <c r="D1947" s="117" t="n">
        <v>68.57</v>
      </c>
      <c r="E1947" s="260" t="n">
        <v>1</v>
      </c>
    </row>
    <row r="1948" customFormat="false" ht="14.25" hidden="true" customHeight="true" outlineLevel="0" collapsed="false">
      <c r="A1948" s="263"/>
      <c r="B1948" s="259"/>
      <c r="C1948" s="259" t="s">
        <v>2234</v>
      </c>
      <c r="D1948" s="117" t="n">
        <v>68.57</v>
      </c>
      <c r="E1948" s="260" t="n">
        <v>1</v>
      </c>
    </row>
    <row r="1949" customFormat="false" ht="14.25" hidden="true" customHeight="true" outlineLevel="0" collapsed="false">
      <c r="A1949" s="263"/>
      <c r="B1949" s="259"/>
      <c r="C1949" s="259" t="s">
        <v>2235</v>
      </c>
      <c r="D1949" s="117" t="n">
        <v>68.57</v>
      </c>
      <c r="E1949" s="260" t="n">
        <v>1</v>
      </c>
    </row>
    <row r="1950" customFormat="false" ht="14.25" hidden="true" customHeight="true" outlineLevel="0" collapsed="false">
      <c r="A1950" s="263"/>
      <c r="B1950" s="259"/>
      <c r="C1950" s="259" t="s">
        <v>2236</v>
      </c>
      <c r="D1950" s="117" t="n">
        <v>68.57</v>
      </c>
      <c r="E1950" s="260" t="n">
        <v>1</v>
      </c>
    </row>
    <row r="1951" customFormat="false" ht="14.25" hidden="true" customHeight="true" outlineLevel="0" collapsed="false">
      <c r="A1951" s="263"/>
      <c r="B1951" s="259"/>
      <c r="C1951" s="259" t="s">
        <v>2237</v>
      </c>
      <c r="D1951" s="117" t="n">
        <v>67.72</v>
      </c>
      <c r="E1951" s="260" t="n">
        <v>1</v>
      </c>
    </row>
    <row r="1952" customFormat="false" ht="14.25" hidden="true" customHeight="true" outlineLevel="0" collapsed="false">
      <c r="A1952" s="263"/>
      <c r="B1952" s="259"/>
      <c r="C1952" s="259" t="s">
        <v>2238</v>
      </c>
      <c r="D1952" s="117" t="n">
        <v>67.72</v>
      </c>
      <c r="E1952" s="260" t="n">
        <v>1</v>
      </c>
    </row>
    <row r="1953" customFormat="false" ht="14.25" hidden="true" customHeight="true" outlineLevel="0" collapsed="false">
      <c r="A1953" s="263"/>
      <c r="B1953" s="259"/>
      <c r="C1953" s="259" t="s">
        <v>2239</v>
      </c>
      <c r="D1953" s="117" t="n">
        <v>67.72</v>
      </c>
      <c r="E1953" s="260" t="n">
        <v>1</v>
      </c>
    </row>
    <row r="1954" customFormat="false" ht="14.25" hidden="true" customHeight="true" outlineLevel="0" collapsed="false">
      <c r="A1954" s="263"/>
      <c r="B1954" s="259"/>
      <c r="C1954" s="259" t="s">
        <v>2240</v>
      </c>
      <c r="D1954" s="117" t="n">
        <v>67.71</v>
      </c>
      <c r="E1954" s="260" t="n">
        <v>1</v>
      </c>
    </row>
    <row r="1955" customFormat="false" ht="14.25" hidden="true" customHeight="true" outlineLevel="0" collapsed="false">
      <c r="A1955" s="263"/>
      <c r="B1955" s="259"/>
      <c r="C1955" s="259" t="s">
        <v>2241</v>
      </c>
      <c r="D1955" s="117" t="n">
        <v>67.63</v>
      </c>
      <c r="E1955" s="260" t="n">
        <v>2</v>
      </c>
    </row>
    <row r="1956" customFormat="false" ht="14.25" hidden="true" customHeight="true" outlineLevel="0" collapsed="false">
      <c r="A1956" s="263"/>
      <c r="B1956" s="259"/>
      <c r="C1956" s="259" t="s">
        <v>2242</v>
      </c>
      <c r="D1956" s="117" t="n">
        <v>67.62</v>
      </c>
      <c r="E1956" s="260" t="n">
        <v>2</v>
      </c>
    </row>
    <row r="1957" customFormat="false" ht="14.25" hidden="true" customHeight="true" outlineLevel="0" collapsed="false">
      <c r="A1957" s="263"/>
      <c r="B1957" s="259"/>
      <c r="C1957" s="259" t="s">
        <v>2243</v>
      </c>
      <c r="D1957" s="117" t="n">
        <v>65.35</v>
      </c>
      <c r="E1957" s="260" t="n">
        <v>3</v>
      </c>
    </row>
    <row r="1958" customFormat="false" ht="14.25" hidden="true" customHeight="true" outlineLevel="0" collapsed="false">
      <c r="A1958" s="263"/>
      <c r="B1958" s="259"/>
      <c r="C1958" s="259" t="s">
        <v>2244</v>
      </c>
      <c r="D1958" s="117" t="n">
        <v>64.76</v>
      </c>
      <c r="E1958" s="260" t="n">
        <v>1</v>
      </c>
    </row>
    <row r="1959" customFormat="false" ht="14.25" hidden="true" customHeight="true" outlineLevel="0" collapsed="false">
      <c r="A1959" s="263"/>
      <c r="B1959" s="259"/>
      <c r="C1959" s="259" t="s">
        <v>2245</v>
      </c>
      <c r="D1959" s="117" t="n">
        <v>64.76</v>
      </c>
      <c r="E1959" s="260" t="n">
        <v>1</v>
      </c>
    </row>
    <row r="1960" customFormat="false" ht="14.25" hidden="true" customHeight="true" outlineLevel="0" collapsed="false">
      <c r="A1960" s="263"/>
      <c r="B1960" s="259"/>
      <c r="C1960" s="259" t="s">
        <v>2246</v>
      </c>
      <c r="D1960" s="117" t="n">
        <v>64.76</v>
      </c>
      <c r="E1960" s="260" t="n">
        <v>1</v>
      </c>
    </row>
    <row r="1961" customFormat="false" ht="14.25" hidden="true" customHeight="true" outlineLevel="0" collapsed="false">
      <c r="A1961" s="263"/>
      <c r="B1961" s="259"/>
      <c r="C1961" s="259" t="s">
        <v>2247</v>
      </c>
      <c r="D1961" s="117" t="n">
        <v>64.76</v>
      </c>
      <c r="E1961" s="260" t="n">
        <v>1</v>
      </c>
    </row>
    <row r="1962" customFormat="false" ht="14.25" hidden="true" customHeight="true" outlineLevel="0" collapsed="false">
      <c r="A1962" s="263"/>
      <c r="B1962" s="259"/>
      <c r="C1962" s="259" t="s">
        <v>2248</v>
      </c>
      <c r="D1962" s="117" t="n">
        <v>64.76</v>
      </c>
      <c r="E1962" s="260" t="n">
        <v>1</v>
      </c>
    </row>
    <row r="1963" customFormat="false" ht="14.25" hidden="true" customHeight="true" outlineLevel="0" collapsed="false">
      <c r="A1963" s="263"/>
      <c r="B1963" s="259"/>
      <c r="C1963" s="259" t="s">
        <v>2249</v>
      </c>
      <c r="D1963" s="117" t="n">
        <v>64.75</v>
      </c>
      <c r="E1963" s="260" t="n">
        <v>1</v>
      </c>
    </row>
    <row r="1964" customFormat="false" ht="14.25" hidden="true" customHeight="true" outlineLevel="0" collapsed="false">
      <c r="A1964" s="263"/>
      <c r="B1964" s="259"/>
      <c r="C1964" s="259" t="s">
        <v>2250</v>
      </c>
      <c r="D1964" s="117" t="n">
        <v>63.47</v>
      </c>
      <c r="E1964" s="260" t="n">
        <v>1</v>
      </c>
    </row>
    <row r="1965" customFormat="false" ht="14.25" hidden="true" customHeight="true" outlineLevel="0" collapsed="false">
      <c r="A1965" s="263"/>
      <c r="B1965" s="259"/>
      <c r="C1965" s="259" t="s">
        <v>2251</v>
      </c>
      <c r="D1965" s="117" t="n">
        <v>63.47</v>
      </c>
      <c r="E1965" s="260" t="n">
        <v>1</v>
      </c>
    </row>
    <row r="1966" customFormat="false" ht="14.25" hidden="true" customHeight="true" outlineLevel="0" collapsed="false">
      <c r="A1966" s="263"/>
      <c r="B1966" s="259"/>
      <c r="C1966" s="259" t="s">
        <v>2252</v>
      </c>
      <c r="D1966" s="117" t="n">
        <v>60.94</v>
      </c>
      <c r="E1966" s="260" t="n">
        <v>1</v>
      </c>
    </row>
    <row r="1967" customFormat="false" ht="14.25" hidden="true" customHeight="true" outlineLevel="0" collapsed="false">
      <c r="A1967" s="263"/>
      <c r="B1967" s="259"/>
      <c r="C1967" s="259" t="s">
        <v>2253</v>
      </c>
      <c r="D1967" s="117" t="n">
        <v>60.94</v>
      </c>
      <c r="E1967" s="260" t="n">
        <v>1</v>
      </c>
    </row>
    <row r="1968" customFormat="false" ht="14.25" hidden="true" customHeight="true" outlineLevel="0" collapsed="false">
      <c r="A1968" s="263"/>
      <c r="B1968" s="259"/>
      <c r="C1968" s="259" t="s">
        <v>2254</v>
      </c>
      <c r="D1968" s="117" t="n">
        <v>60</v>
      </c>
      <c r="E1968" s="260" t="n">
        <v>2</v>
      </c>
    </row>
    <row r="1969" customFormat="false" ht="14.25" hidden="true" customHeight="true" outlineLevel="0" collapsed="false">
      <c r="A1969" s="263"/>
      <c r="B1969" s="259"/>
      <c r="C1969" s="259" t="s">
        <v>2255</v>
      </c>
      <c r="D1969" s="117" t="n">
        <v>59.24</v>
      </c>
      <c r="E1969" s="260" t="n">
        <v>1</v>
      </c>
    </row>
    <row r="1970" customFormat="false" ht="14.25" hidden="true" customHeight="true" outlineLevel="0" collapsed="false">
      <c r="A1970" s="263"/>
      <c r="B1970" s="259"/>
      <c r="C1970" s="259" t="s">
        <v>2256</v>
      </c>
      <c r="D1970" s="117" t="n">
        <v>59.23</v>
      </c>
      <c r="E1970" s="260" t="n">
        <v>1</v>
      </c>
    </row>
    <row r="1971" customFormat="false" ht="14.25" hidden="true" customHeight="true" outlineLevel="0" collapsed="false">
      <c r="A1971" s="263"/>
      <c r="B1971" s="259"/>
      <c r="C1971" s="259" t="s">
        <v>2257</v>
      </c>
      <c r="D1971" s="117" t="n">
        <v>59.23</v>
      </c>
      <c r="E1971" s="260" t="n">
        <v>1</v>
      </c>
    </row>
    <row r="1972" customFormat="false" ht="14.25" hidden="true" customHeight="true" outlineLevel="0" collapsed="false">
      <c r="A1972" s="263"/>
      <c r="B1972" s="259"/>
      <c r="C1972" s="259" t="s">
        <v>2258</v>
      </c>
      <c r="D1972" s="117" t="n">
        <v>58.15</v>
      </c>
      <c r="E1972" s="260" t="n">
        <v>3</v>
      </c>
    </row>
    <row r="1973" customFormat="false" ht="14.25" hidden="true" customHeight="true" outlineLevel="0" collapsed="false">
      <c r="A1973" s="263"/>
      <c r="B1973" s="259"/>
      <c r="C1973" s="259" t="s">
        <v>2259</v>
      </c>
      <c r="D1973" s="117" t="n">
        <v>55.85</v>
      </c>
      <c r="E1973" s="260" t="n">
        <v>1</v>
      </c>
    </row>
    <row r="1974" customFormat="false" ht="14.25" hidden="true" customHeight="true" outlineLevel="0" collapsed="false">
      <c r="A1974" s="263"/>
      <c r="B1974" s="259"/>
      <c r="C1974" s="259" t="s">
        <v>2260</v>
      </c>
      <c r="D1974" s="117" t="n">
        <v>55.85</v>
      </c>
      <c r="E1974" s="260" t="n">
        <v>1</v>
      </c>
    </row>
    <row r="1975" customFormat="false" ht="14.25" hidden="true" customHeight="true" outlineLevel="0" collapsed="false">
      <c r="A1975" s="263"/>
      <c r="B1975" s="259"/>
      <c r="C1975" s="259" t="s">
        <v>2261</v>
      </c>
      <c r="D1975" s="117" t="n">
        <v>55.85</v>
      </c>
      <c r="E1975" s="260" t="n">
        <v>1</v>
      </c>
    </row>
    <row r="1976" customFormat="false" ht="14.25" hidden="true" customHeight="true" outlineLevel="0" collapsed="false">
      <c r="A1976" s="263"/>
      <c r="B1976" s="259"/>
      <c r="C1976" s="259" t="s">
        <v>2262</v>
      </c>
      <c r="D1976" s="117" t="n">
        <v>55.85</v>
      </c>
      <c r="E1976" s="260" t="n">
        <v>1</v>
      </c>
    </row>
    <row r="1977" customFormat="false" ht="14.25" hidden="true" customHeight="true" outlineLevel="0" collapsed="false">
      <c r="A1977" s="263"/>
      <c r="B1977" s="259"/>
      <c r="C1977" s="259" t="s">
        <v>2263</v>
      </c>
      <c r="D1977" s="117" t="n">
        <v>55.85</v>
      </c>
      <c r="E1977" s="260" t="n">
        <v>1</v>
      </c>
    </row>
    <row r="1978" customFormat="false" ht="14.25" hidden="true" customHeight="true" outlineLevel="0" collapsed="false">
      <c r="A1978" s="263"/>
      <c r="B1978" s="259"/>
      <c r="C1978" s="259" t="s">
        <v>2264</v>
      </c>
      <c r="D1978" s="117" t="n">
        <v>55.85</v>
      </c>
      <c r="E1978" s="260" t="n">
        <v>1</v>
      </c>
    </row>
    <row r="1979" customFormat="false" ht="14.25" hidden="true" customHeight="true" outlineLevel="0" collapsed="false">
      <c r="A1979" s="263"/>
      <c r="B1979" s="259"/>
      <c r="C1979" s="259" t="s">
        <v>2265</v>
      </c>
      <c r="D1979" s="117" t="n">
        <v>55.85</v>
      </c>
      <c r="E1979" s="260" t="n">
        <v>1</v>
      </c>
    </row>
    <row r="1980" customFormat="false" ht="14.25" hidden="true" customHeight="true" outlineLevel="0" collapsed="false">
      <c r="A1980" s="263"/>
      <c r="B1980" s="259"/>
      <c r="C1980" s="259" t="s">
        <v>2266</v>
      </c>
      <c r="D1980" s="117" t="n">
        <v>55.85</v>
      </c>
      <c r="E1980" s="260" t="n">
        <v>1</v>
      </c>
    </row>
    <row r="1981" customFormat="false" ht="14.25" hidden="true" customHeight="true" outlineLevel="0" collapsed="false">
      <c r="A1981" s="263"/>
      <c r="B1981" s="259"/>
      <c r="C1981" s="259" t="s">
        <v>2267</v>
      </c>
      <c r="D1981" s="117" t="n">
        <v>55.85</v>
      </c>
      <c r="E1981" s="260" t="n">
        <v>1</v>
      </c>
    </row>
    <row r="1982" customFormat="false" ht="14.25" hidden="true" customHeight="true" outlineLevel="0" collapsed="false">
      <c r="A1982" s="263"/>
      <c r="B1982" s="259"/>
      <c r="C1982" s="259" t="s">
        <v>2268</v>
      </c>
      <c r="D1982" s="117" t="n">
        <v>55</v>
      </c>
      <c r="E1982" s="260" t="n">
        <v>1</v>
      </c>
    </row>
    <row r="1983" customFormat="false" ht="14.25" hidden="true" customHeight="true" outlineLevel="0" collapsed="false">
      <c r="A1983" s="263"/>
      <c r="B1983" s="259"/>
      <c r="C1983" s="259" t="s">
        <v>2269</v>
      </c>
      <c r="D1983" s="117" t="n">
        <v>55</v>
      </c>
      <c r="E1983" s="260" t="n">
        <v>1</v>
      </c>
    </row>
    <row r="1984" customFormat="false" ht="14.25" hidden="true" customHeight="true" outlineLevel="0" collapsed="false">
      <c r="A1984" s="263"/>
      <c r="B1984" s="259"/>
      <c r="C1984" s="259" t="s">
        <v>2270</v>
      </c>
      <c r="D1984" s="117" t="n">
        <v>55</v>
      </c>
      <c r="E1984" s="260" t="n">
        <v>1</v>
      </c>
    </row>
    <row r="1985" customFormat="false" ht="14.25" hidden="true" customHeight="true" outlineLevel="0" collapsed="false">
      <c r="A1985" s="263"/>
      <c r="B1985" s="259"/>
      <c r="C1985" s="259" t="s">
        <v>2271</v>
      </c>
      <c r="D1985" s="117" t="n">
        <v>55</v>
      </c>
      <c r="E1985" s="260" t="n">
        <v>1</v>
      </c>
    </row>
    <row r="1986" customFormat="false" ht="14.25" hidden="true" customHeight="true" outlineLevel="0" collapsed="false">
      <c r="A1986" s="263"/>
      <c r="B1986" s="259"/>
      <c r="C1986" s="259" t="s">
        <v>2272</v>
      </c>
      <c r="D1986" s="117" t="n">
        <v>55</v>
      </c>
      <c r="E1986" s="260" t="n">
        <v>1</v>
      </c>
    </row>
    <row r="1987" customFormat="false" ht="14.25" hidden="true" customHeight="true" outlineLevel="0" collapsed="false">
      <c r="A1987" s="263"/>
      <c r="B1987" s="259"/>
      <c r="C1987" s="259" t="s">
        <v>2273</v>
      </c>
      <c r="D1987" s="117" t="n">
        <v>54.76</v>
      </c>
      <c r="E1987" s="260" t="n">
        <v>2</v>
      </c>
    </row>
    <row r="1988" customFormat="false" ht="14.25" hidden="true" customHeight="true" outlineLevel="0" collapsed="false">
      <c r="A1988" s="263"/>
      <c r="B1988" s="259"/>
      <c r="C1988" s="259" t="s">
        <v>2274</v>
      </c>
      <c r="D1988" s="117" t="n">
        <v>52.38</v>
      </c>
      <c r="E1988" s="260" t="n">
        <v>2</v>
      </c>
    </row>
    <row r="1989" customFormat="false" ht="14.25" hidden="true" customHeight="true" outlineLevel="0" collapsed="false">
      <c r="A1989" s="263"/>
      <c r="B1989" s="259"/>
      <c r="C1989" s="259" t="s">
        <v>2275</v>
      </c>
      <c r="D1989" s="117" t="n">
        <v>51.61</v>
      </c>
      <c r="E1989" s="260" t="n">
        <v>1</v>
      </c>
    </row>
    <row r="1990" customFormat="false" ht="14.25" hidden="true" customHeight="true" outlineLevel="0" collapsed="false">
      <c r="A1990" s="263"/>
      <c r="B1990" s="259"/>
      <c r="C1990" s="259" t="s">
        <v>2276</v>
      </c>
      <c r="D1990" s="117" t="n">
        <v>51.61</v>
      </c>
      <c r="E1990" s="260" t="n">
        <v>1</v>
      </c>
    </row>
    <row r="1991" customFormat="false" ht="14.25" hidden="true" customHeight="true" outlineLevel="0" collapsed="false">
      <c r="A1991" s="263"/>
      <c r="B1991" s="259"/>
      <c r="C1991" s="259" t="s">
        <v>2277</v>
      </c>
      <c r="D1991" s="117" t="n">
        <v>50.77</v>
      </c>
      <c r="E1991" s="260" t="n">
        <v>1</v>
      </c>
    </row>
    <row r="1992" customFormat="false" ht="14.25" hidden="true" customHeight="true" outlineLevel="0" collapsed="false">
      <c r="A1992" s="263"/>
      <c r="B1992" s="259"/>
      <c r="C1992" s="259" t="s">
        <v>2278</v>
      </c>
      <c r="D1992" s="117" t="n">
        <v>50.36</v>
      </c>
      <c r="E1992" s="260" t="n">
        <v>1</v>
      </c>
    </row>
    <row r="1993" customFormat="false" ht="14.25" hidden="true" customHeight="true" outlineLevel="0" collapsed="false">
      <c r="A1993" s="263"/>
      <c r="B1993" s="259"/>
      <c r="C1993" s="259" t="s">
        <v>2279</v>
      </c>
      <c r="D1993" s="117" t="n">
        <v>50.27</v>
      </c>
      <c r="E1993" s="260" t="n">
        <v>1</v>
      </c>
    </row>
    <row r="1994" customFormat="false" ht="14.25" hidden="true" customHeight="true" outlineLevel="0" collapsed="false">
      <c r="A1994" s="263"/>
      <c r="B1994" s="259"/>
      <c r="C1994" s="259" t="s">
        <v>2280</v>
      </c>
      <c r="D1994" s="117" t="n">
        <v>46.45</v>
      </c>
      <c r="E1994" s="260" t="n">
        <v>1</v>
      </c>
    </row>
    <row r="1995" customFormat="false" ht="14.25" hidden="true" customHeight="true" outlineLevel="0" collapsed="false">
      <c r="A1995" s="263"/>
      <c r="B1995" s="259"/>
      <c r="C1995" s="259" t="s">
        <v>2281</v>
      </c>
      <c r="D1995" s="117" t="n">
        <v>46.45</v>
      </c>
      <c r="E1995" s="260" t="n">
        <v>1</v>
      </c>
    </row>
    <row r="1996" customFormat="false" ht="14.25" hidden="true" customHeight="true" outlineLevel="0" collapsed="false">
      <c r="A1996" s="263"/>
      <c r="B1996" s="259"/>
      <c r="C1996" s="259" t="s">
        <v>2282</v>
      </c>
      <c r="D1996" s="117" t="n">
        <v>46.45</v>
      </c>
      <c r="E1996" s="260" t="n">
        <v>1</v>
      </c>
    </row>
    <row r="1997" customFormat="false" ht="14.25" hidden="true" customHeight="true" outlineLevel="0" collapsed="false">
      <c r="A1997" s="263"/>
      <c r="B1997" s="259"/>
      <c r="C1997" s="259" t="s">
        <v>2283</v>
      </c>
      <c r="D1997" s="117" t="n">
        <v>45.69</v>
      </c>
      <c r="E1997" s="260" t="n">
        <v>1</v>
      </c>
    </row>
    <row r="1998" customFormat="false" ht="14.25" hidden="true" customHeight="true" outlineLevel="0" collapsed="false">
      <c r="A1998" s="263"/>
      <c r="B1998" s="259"/>
      <c r="C1998" s="259" t="s">
        <v>2284</v>
      </c>
      <c r="D1998" s="117" t="n">
        <v>42.29</v>
      </c>
      <c r="E1998" s="260" t="n">
        <v>1</v>
      </c>
    </row>
    <row r="1999" customFormat="false" ht="14.25" hidden="true" customHeight="true" outlineLevel="0" collapsed="false">
      <c r="A1999" s="263"/>
      <c r="B1999" s="259"/>
      <c r="C1999" s="259" t="s">
        <v>2285</v>
      </c>
      <c r="D1999" s="117" t="n">
        <v>39.74</v>
      </c>
      <c r="E1999" s="260" t="n">
        <v>1</v>
      </c>
    </row>
    <row r="2000" customFormat="false" ht="14.25" hidden="true" customHeight="true" outlineLevel="0" collapsed="false">
      <c r="A2000" s="263"/>
      <c r="B2000" s="259"/>
      <c r="C2000" s="259" t="s">
        <v>2286</v>
      </c>
      <c r="D2000" s="117" t="n">
        <v>38.9</v>
      </c>
      <c r="E2000" s="260" t="n">
        <v>1</v>
      </c>
    </row>
    <row r="2001" customFormat="false" ht="14.25" hidden="true" customHeight="true" outlineLevel="0" collapsed="false">
      <c r="A2001" s="263"/>
      <c r="B2001" s="259"/>
      <c r="C2001" s="259" t="s">
        <v>2287</v>
      </c>
      <c r="D2001" s="117" t="n">
        <v>36.36</v>
      </c>
      <c r="E2001" s="260" t="n">
        <v>1</v>
      </c>
    </row>
    <row r="2002" customFormat="false" ht="14.25" hidden="true" customHeight="true" outlineLevel="0" collapsed="false">
      <c r="A2002" s="263"/>
      <c r="B2002" s="259"/>
      <c r="C2002" s="259" t="s">
        <v>2288</v>
      </c>
      <c r="D2002" s="117" t="n">
        <v>36.35</v>
      </c>
      <c r="E2002" s="260" t="n">
        <v>1</v>
      </c>
    </row>
    <row r="2003" customFormat="false" ht="14.25" hidden="true" customHeight="true" outlineLevel="0" collapsed="false">
      <c r="A2003" s="263"/>
      <c r="B2003" s="259"/>
      <c r="C2003" s="259" t="s">
        <v>2289</v>
      </c>
      <c r="D2003" s="117" t="n">
        <v>33.82</v>
      </c>
      <c r="E2003" s="260" t="n">
        <v>1</v>
      </c>
    </row>
    <row r="2004" customFormat="false" ht="14.25" hidden="true" customHeight="true" outlineLevel="0" collapsed="false">
      <c r="A2004" s="263"/>
      <c r="B2004" s="259"/>
      <c r="C2004" s="259" t="s">
        <v>2290</v>
      </c>
      <c r="D2004" s="117" t="n">
        <v>31.28</v>
      </c>
      <c r="E2004" s="260" t="n">
        <v>1</v>
      </c>
    </row>
    <row r="2005" customFormat="false" ht="14.25" hidden="true" customHeight="true" outlineLevel="0" collapsed="false">
      <c r="A2005" s="263"/>
      <c r="B2005" s="259"/>
      <c r="C2005" s="259" t="s">
        <v>2291</v>
      </c>
      <c r="D2005" s="117" t="n">
        <v>28.15</v>
      </c>
      <c r="E2005" s="260" t="n">
        <v>1</v>
      </c>
    </row>
    <row r="2006" customFormat="false" ht="14.25" hidden="true" customHeight="true" outlineLevel="0" collapsed="false">
      <c r="A2006" s="263"/>
      <c r="B2006" s="259"/>
      <c r="C2006" s="259" t="s">
        <v>2292</v>
      </c>
      <c r="D2006" s="117" t="n">
        <v>26.19</v>
      </c>
      <c r="E2006" s="260" t="n">
        <v>1</v>
      </c>
    </row>
    <row r="2007" customFormat="false" ht="14.25" hidden="true" customHeight="true" outlineLevel="0" collapsed="false">
      <c r="A2007" s="263"/>
      <c r="B2007" s="259"/>
      <c r="C2007" s="259" t="s">
        <v>2293</v>
      </c>
      <c r="D2007" s="117" t="n">
        <v>25.34</v>
      </c>
      <c r="E2007" s="260" t="n">
        <v>1</v>
      </c>
    </row>
    <row r="2008" customFormat="false" ht="14.25" hidden="true" customHeight="true" outlineLevel="0" collapsed="false">
      <c r="A2008" s="263"/>
      <c r="B2008" s="259"/>
      <c r="C2008" s="259" t="s">
        <v>2294</v>
      </c>
      <c r="D2008" s="117" t="n">
        <v>23.57</v>
      </c>
      <c r="E2008" s="260" t="n">
        <v>1</v>
      </c>
    </row>
    <row r="2009" customFormat="false" ht="14.25" hidden="true" customHeight="true" outlineLevel="0" collapsed="false">
      <c r="A2009" s="263"/>
      <c r="B2009" s="259"/>
      <c r="C2009" s="259" t="s">
        <v>2295</v>
      </c>
      <c r="D2009" s="117" t="n">
        <v>22.79</v>
      </c>
      <c r="E2009" s="260" t="n">
        <v>1</v>
      </c>
    </row>
    <row r="2010" customFormat="false" ht="14.25" hidden="true" customHeight="true" outlineLevel="0" collapsed="false">
      <c r="A2010" s="263"/>
      <c r="B2010" s="259"/>
      <c r="C2010" s="259" t="s">
        <v>2296</v>
      </c>
      <c r="D2010" s="117" t="n">
        <v>0</v>
      </c>
      <c r="E2010" s="260" t="n">
        <v>1</v>
      </c>
    </row>
    <row r="2011" customFormat="false" ht="14.25" hidden="true" customHeight="true" outlineLevel="0" collapsed="false">
      <c r="A2011" s="263"/>
      <c r="B2011" s="259"/>
      <c r="C2011" s="259" t="s">
        <v>2297</v>
      </c>
      <c r="D2011" s="117" t="n">
        <v>0</v>
      </c>
      <c r="E2011" s="260" t="n">
        <v>1</v>
      </c>
    </row>
    <row r="2012" customFormat="false" ht="14.25" hidden="true" customHeight="true" outlineLevel="0" collapsed="false">
      <c r="A2012" s="263"/>
      <c r="B2012" s="259"/>
      <c r="C2012" s="259" t="s">
        <v>2298</v>
      </c>
      <c r="D2012" s="117" t="n">
        <v>0</v>
      </c>
      <c r="E2012" s="260" t="n">
        <v>3</v>
      </c>
    </row>
    <row r="2013" customFormat="false" ht="14.25" hidden="true" customHeight="true" outlineLevel="0" collapsed="false">
      <c r="A2013" s="263"/>
      <c r="B2013" s="259"/>
      <c r="C2013" s="259" t="s">
        <v>2299</v>
      </c>
      <c r="D2013" s="117" t="n">
        <v>0</v>
      </c>
      <c r="E2013" s="260" t="n">
        <v>2</v>
      </c>
    </row>
    <row r="2014" customFormat="false" ht="14.25" hidden="true" customHeight="true" outlineLevel="0" collapsed="false">
      <c r="A2014" s="263"/>
      <c r="B2014" s="259"/>
      <c r="C2014" s="259" t="s">
        <v>2300</v>
      </c>
      <c r="D2014" s="117" t="n">
        <v>-42.29</v>
      </c>
      <c r="E2014" s="260" t="n">
        <v>-1</v>
      </c>
    </row>
    <row r="2015" customFormat="false" ht="14.25" hidden="true" customHeight="true" outlineLevel="0" collapsed="false">
      <c r="A2015" s="263"/>
      <c r="B2015" s="259"/>
      <c r="C2015" s="259" t="s">
        <v>2301</v>
      </c>
      <c r="D2015" s="117" t="n">
        <v>-55</v>
      </c>
      <c r="E2015" s="260" t="n">
        <v>-1</v>
      </c>
    </row>
    <row r="2016" customFormat="false" ht="14.25" hidden="true" customHeight="true" outlineLevel="0" collapsed="false">
      <c r="A2016" s="263"/>
      <c r="B2016" s="259"/>
      <c r="C2016" s="259" t="s">
        <v>2302</v>
      </c>
      <c r="D2016" s="117" t="n">
        <v>-76.19</v>
      </c>
      <c r="E2016" s="260" t="n">
        <v>-1</v>
      </c>
    </row>
    <row r="2017" customFormat="false" ht="14.25" hidden="true" customHeight="true" outlineLevel="0" collapsed="false">
      <c r="A2017" s="263"/>
      <c r="B2017" s="259"/>
      <c r="C2017" s="259" t="s">
        <v>2303</v>
      </c>
      <c r="D2017" s="117" t="n">
        <v>-105.76</v>
      </c>
      <c r="E2017" s="260" t="n">
        <v>-2</v>
      </c>
    </row>
    <row r="2018" customFormat="false" ht="14.25" hidden="true" customHeight="true" outlineLevel="0" collapsed="false">
      <c r="A2018" s="263"/>
      <c r="B2018" s="259"/>
      <c r="C2018" s="259" t="s">
        <v>2304</v>
      </c>
      <c r="D2018" s="117" t="n">
        <v>-126.95</v>
      </c>
      <c r="E2018" s="260" t="n">
        <v>-2</v>
      </c>
    </row>
    <row r="2019" customFormat="false" ht="14.25" hidden="true" customHeight="true" outlineLevel="0" collapsed="false">
      <c r="A2019" s="263"/>
      <c r="B2019" s="259"/>
      <c r="C2019" s="259" t="s">
        <v>2305</v>
      </c>
      <c r="D2019" s="117" t="n">
        <v>-135.51</v>
      </c>
      <c r="E2019" s="260" t="n">
        <v>-1</v>
      </c>
    </row>
    <row r="2020" customFormat="false" ht="14.25" hidden="true" customHeight="true" outlineLevel="0" collapsed="false">
      <c r="A2020" s="263"/>
      <c r="B2020" s="259"/>
      <c r="C2020" s="259" t="s">
        <v>2306</v>
      </c>
      <c r="D2020" s="117" t="n">
        <v>-143.98</v>
      </c>
      <c r="E2020" s="260" t="n">
        <v>-1</v>
      </c>
    </row>
    <row r="2021" customFormat="false" ht="14.25" hidden="true" customHeight="true" outlineLevel="0" collapsed="false">
      <c r="A2021" s="263"/>
      <c r="B2021" s="259"/>
      <c r="C2021" s="259" t="s">
        <v>2307</v>
      </c>
      <c r="D2021" s="117" t="n">
        <v>-186.27</v>
      </c>
      <c r="E2021" s="260" t="n">
        <v>-2</v>
      </c>
    </row>
    <row r="2022" customFormat="false" ht="14.25" hidden="true" customHeight="true" outlineLevel="0" collapsed="false">
      <c r="A2022" s="263"/>
      <c r="B2022" s="259"/>
      <c r="C2022" s="259" t="s">
        <v>2308</v>
      </c>
      <c r="D2022" s="117" t="n">
        <v>-266.88</v>
      </c>
      <c r="E2022" s="260" t="n">
        <v>-1</v>
      </c>
    </row>
    <row r="2023" customFormat="false" ht="14.25" hidden="true" customHeight="true" outlineLevel="0" collapsed="false">
      <c r="A2023" s="263"/>
      <c r="B2023" s="259"/>
      <c r="C2023" s="259" t="s">
        <v>2309</v>
      </c>
      <c r="D2023" s="117" t="n">
        <v>-266.88</v>
      </c>
      <c r="E2023" s="260" t="n">
        <v>-1</v>
      </c>
    </row>
    <row r="2024" customFormat="false" ht="14.25" hidden="true" customHeight="true" outlineLevel="0" collapsed="false">
      <c r="A2024" s="263"/>
      <c r="B2024" s="259"/>
      <c r="C2024" s="259" t="s">
        <v>2310</v>
      </c>
      <c r="D2024" s="117" t="n">
        <v>-266.88</v>
      </c>
      <c r="E2024" s="260" t="n">
        <v>-1</v>
      </c>
    </row>
    <row r="2025" customFormat="false" ht="14.25" hidden="true" customHeight="true" outlineLevel="0" collapsed="false">
      <c r="A2025" s="263"/>
      <c r="B2025" s="259"/>
      <c r="C2025" s="259" t="s">
        <v>2311</v>
      </c>
      <c r="D2025" s="117" t="n">
        <v>-266.88</v>
      </c>
      <c r="E2025" s="260" t="n">
        <v>-1</v>
      </c>
    </row>
    <row r="2026" customFormat="false" ht="14.25" hidden="true" customHeight="true" outlineLevel="0" collapsed="false">
      <c r="A2026" s="263"/>
      <c r="B2026" s="259"/>
      <c r="C2026" s="259" t="s">
        <v>2312</v>
      </c>
      <c r="D2026" s="117" t="n">
        <v>-266.88</v>
      </c>
      <c r="E2026" s="260" t="n">
        <v>-1</v>
      </c>
    </row>
    <row r="2027" customFormat="false" ht="14.25" hidden="true" customHeight="true" outlineLevel="0" collapsed="false">
      <c r="A2027" s="263"/>
      <c r="B2027" s="259"/>
      <c r="C2027" s="259" t="s">
        <v>2313</v>
      </c>
      <c r="D2027" s="117" t="n">
        <v>-266.88</v>
      </c>
      <c r="E2027" s="260" t="n">
        <v>-1</v>
      </c>
    </row>
    <row r="2028" customFormat="false" ht="14.25" hidden="true" customHeight="true" outlineLevel="0" collapsed="false">
      <c r="A2028" s="263"/>
      <c r="B2028" s="259"/>
      <c r="C2028" s="259" t="s">
        <v>2314</v>
      </c>
      <c r="D2028" s="117" t="n">
        <v>-289.11</v>
      </c>
      <c r="E2028" s="260" t="n">
        <v>-5</v>
      </c>
    </row>
    <row r="2029" customFormat="false" ht="14.25" hidden="true" customHeight="true" outlineLevel="0" collapsed="false">
      <c r="A2029" s="263"/>
      <c r="B2029" s="259"/>
      <c r="C2029" s="259" t="s">
        <v>2315</v>
      </c>
      <c r="D2029" s="117" t="n">
        <v>-296.53</v>
      </c>
      <c r="E2029" s="260" t="n">
        <v>-1</v>
      </c>
    </row>
    <row r="2030" customFormat="false" ht="14.25" hidden="true" customHeight="true" outlineLevel="0" collapsed="false">
      <c r="A2030" s="263"/>
      <c r="B2030" s="259"/>
      <c r="C2030" s="259" t="s">
        <v>2316</v>
      </c>
      <c r="D2030" s="117" t="n">
        <v>-296.53</v>
      </c>
      <c r="E2030" s="260" t="n">
        <v>-1</v>
      </c>
    </row>
    <row r="2031" customFormat="false" ht="14.25" hidden="true" customHeight="true" outlineLevel="0" collapsed="false">
      <c r="A2031" s="263"/>
      <c r="B2031" s="259"/>
      <c r="C2031" s="259" t="s">
        <v>2317</v>
      </c>
      <c r="D2031" s="117" t="n">
        <v>-296.53</v>
      </c>
      <c r="E2031" s="260" t="n">
        <v>-1</v>
      </c>
    </row>
    <row r="2032" customFormat="false" ht="14.25" hidden="true" customHeight="true" outlineLevel="0" collapsed="false">
      <c r="A2032" s="263"/>
      <c r="B2032" s="259"/>
      <c r="C2032" s="259" t="s">
        <v>2318</v>
      </c>
      <c r="D2032" s="117" t="n">
        <v>-338.9</v>
      </c>
      <c r="E2032" s="260" t="n">
        <v>-1</v>
      </c>
    </row>
    <row r="2033" customFormat="false" ht="14.25" hidden="true" customHeight="true" outlineLevel="0" collapsed="false">
      <c r="A2033" s="263"/>
      <c r="B2033" s="259"/>
      <c r="C2033" s="259" t="s">
        <v>2319</v>
      </c>
      <c r="D2033" s="117" t="n">
        <v>-358.32</v>
      </c>
      <c r="E2033" s="260" t="n">
        <v>-2</v>
      </c>
    </row>
    <row r="2034" customFormat="false" ht="14.25" hidden="true" customHeight="true" outlineLevel="0" collapsed="false">
      <c r="A2034" s="263"/>
      <c r="B2034" s="259"/>
      <c r="C2034" s="259" t="s">
        <v>2320</v>
      </c>
      <c r="D2034" s="117" t="n">
        <v>-384.66</v>
      </c>
      <c r="E2034" s="260" t="n">
        <v>-1</v>
      </c>
    </row>
    <row r="2035" customFormat="false" ht="14.25" hidden="true" customHeight="true" outlineLevel="0" collapsed="false">
      <c r="A2035" s="263"/>
      <c r="B2035" s="259"/>
      <c r="C2035" s="259" t="s">
        <v>2321</v>
      </c>
      <c r="D2035" s="117" t="n">
        <v>-400.35</v>
      </c>
      <c r="E2035" s="260" t="n">
        <v>-1</v>
      </c>
    </row>
    <row r="2036" customFormat="false" ht="14.25" hidden="true" customHeight="true" outlineLevel="0" collapsed="false">
      <c r="A2036" s="263"/>
      <c r="B2036" s="259"/>
      <c r="C2036" s="259" t="s">
        <v>2322</v>
      </c>
      <c r="D2036" s="117" t="n">
        <v>-550.25</v>
      </c>
      <c r="E2036" s="260" t="n">
        <v>-2</v>
      </c>
    </row>
    <row r="2037" customFormat="false" ht="14.25" hidden="true" customHeight="true" outlineLevel="0" collapsed="false">
      <c r="A2037" s="263"/>
      <c r="B2037" s="259"/>
      <c r="C2037" s="259" t="s">
        <v>2323</v>
      </c>
      <c r="D2037" s="117" t="n">
        <v>-593.05</v>
      </c>
      <c r="E2037" s="260" t="n">
        <v>-2</v>
      </c>
    </row>
    <row r="2038" customFormat="false" ht="14.25" hidden="true" customHeight="true" outlineLevel="0" collapsed="false">
      <c r="A2038" s="264" t="s">
        <v>2324</v>
      </c>
      <c r="B2038" s="84"/>
      <c r="C2038" s="84"/>
      <c r="D2038" s="130" t="n">
        <f aca="false">SUM(D217:D2037)</f>
        <v>369715.32</v>
      </c>
      <c r="E2038" s="265"/>
    </row>
    <row r="2039" customFormat="false" ht="14.25" hidden="true" customHeight="true" outlineLevel="0" collapsed="false">
      <c r="A2039" s="84" t="s">
        <v>2325</v>
      </c>
      <c r="B2039" s="84"/>
      <c r="C2039" s="84"/>
      <c r="D2039" s="130" t="n">
        <f aca="false">SUM(D2038)</f>
        <v>369715.32</v>
      </c>
      <c r="E2039" s="265"/>
    </row>
    <row r="2040" customFormat="false" ht="14.25" hidden="false" customHeight="true" outlineLevel="0" collapsed="false">
      <c r="A2040" s="85" t="s">
        <v>150</v>
      </c>
      <c r="B2040" s="259"/>
      <c r="C2040" s="259"/>
      <c r="D2040" s="117" t="n">
        <v>1545.22</v>
      </c>
      <c r="E2040" s="260" t="n">
        <v>27</v>
      </c>
    </row>
    <row r="2041" customFormat="false" ht="14.25" hidden="true" customHeight="true" outlineLevel="0" collapsed="false">
      <c r="A2041" s="262" t="s">
        <v>2326</v>
      </c>
      <c r="B2041" s="259"/>
      <c r="C2041" s="259"/>
      <c r="D2041" s="117"/>
      <c r="E2041" s="260"/>
    </row>
    <row r="2042" customFormat="false" ht="14.25" hidden="true" customHeight="true" outlineLevel="0" collapsed="false">
      <c r="A2042" s="263"/>
      <c r="B2042" s="259" t="s">
        <v>2327</v>
      </c>
      <c r="C2042" s="259" t="s">
        <v>2328</v>
      </c>
      <c r="D2042" s="117" t="n">
        <v>316.78</v>
      </c>
      <c r="E2042" s="260" t="n">
        <v>2</v>
      </c>
    </row>
    <row r="2043" customFormat="false" ht="14.25" hidden="true" customHeight="true" outlineLevel="0" collapsed="false">
      <c r="A2043" s="263"/>
      <c r="B2043" s="259" t="s">
        <v>2329</v>
      </c>
      <c r="C2043" s="259" t="s">
        <v>2330</v>
      </c>
      <c r="D2043" s="117" t="n">
        <v>196.52</v>
      </c>
      <c r="E2043" s="260" t="n">
        <v>2</v>
      </c>
    </row>
    <row r="2044" customFormat="false" ht="14.25" hidden="true" customHeight="true" outlineLevel="0" collapsed="false">
      <c r="A2044" s="263"/>
      <c r="B2044" s="259" t="s">
        <v>2331</v>
      </c>
      <c r="C2044" s="259" t="s">
        <v>2332</v>
      </c>
      <c r="D2044" s="117" t="n">
        <v>171.1</v>
      </c>
      <c r="E2044" s="260" t="n">
        <v>2</v>
      </c>
    </row>
    <row r="2045" customFormat="false" ht="14.25" hidden="true" customHeight="true" outlineLevel="0" collapsed="false">
      <c r="A2045" s="263"/>
      <c r="B2045" s="259" t="s">
        <v>2333</v>
      </c>
      <c r="C2045" s="259" t="s">
        <v>2334</v>
      </c>
      <c r="D2045" s="117" t="n">
        <v>137.12</v>
      </c>
      <c r="E2045" s="260" t="n">
        <v>3</v>
      </c>
    </row>
    <row r="2046" customFormat="false" ht="14.25" hidden="true" customHeight="true" outlineLevel="0" collapsed="false">
      <c r="A2046" s="263"/>
      <c r="B2046" s="259" t="s">
        <v>2335</v>
      </c>
      <c r="C2046" s="259" t="s">
        <v>2336</v>
      </c>
      <c r="D2046" s="117" t="n">
        <v>137.12</v>
      </c>
      <c r="E2046" s="260" t="n">
        <v>3</v>
      </c>
    </row>
    <row r="2047" customFormat="false" ht="14.25" hidden="true" customHeight="true" outlineLevel="0" collapsed="false">
      <c r="A2047" s="263"/>
      <c r="B2047" s="259" t="s">
        <v>2337</v>
      </c>
      <c r="C2047" s="259" t="s">
        <v>2338</v>
      </c>
      <c r="D2047" s="117" t="n">
        <v>93.13</v>
      </c>
      <c r="E2047" s="260" t="n">
        <v>2</v>
      </c>
    </row>
    <row r="2048" customFormat="false" ht="14.25" hidden="true" customHeight="true" outlineLevel="0" collapsed="false">
      <c r="A2048" s="263"/>
      <c r="B2048" s="259" t="s">
        <v>2339</v>
      </c>
      <c r="C2048" s="259" t="s">
        <v>2340</v>
      </c>
      <c r="D2048" s="117" t="n">
        <v>93.13</v>
      </c>
      <c r="E2048" s="260" t="n">
        <v>2</v>
      </c>
    </row>
    <row r="2049" customFormat="false" ht="14.25" hidden="true" customHeight="true" outlineLevel="0" collapsed="false">
      <c r="A2049" s="263"/>
      <c r="B2049" s="259" t="s">
        <v>2341</v>
      </c>
      <c r="C2049" s="259" t="s">
        <v>2342</v>
      </c>
      <c r="D2049" s="117" t="n">
        <v>93.13</v>
      </c>
      <c r="E2049" s="260" t="n">
        <v>2</v>
      </c>
    </row>
    <row r="2050" customFormat="false" ht="14.25" hidden="true" customHeight="true" outlineLevel="0" collapsed="false">
      <c r="A2050" s="263"/>
      <c r="B2050" s="259" t="s">
        <v>2343</v>
      </c>
      <c r="C2050" s="259" t="s">
        <v>2344</v>
      </c>
      <c r="D2050" s="117" t="n">
        <v>87.96</v>
      </c>
      <c r="E2050" s="260" t="n">
        <v>3</v>
      </c>
    </row>
    <row r="2051" customFormat="false" ht="14.25" hidden="true" customHeight="true" outlineLevel="0" collapsed="false">
      <c r="A2051" s="263"/>
      <c r="B2051" s="259" t="s">
        <v>2345</v>
      </c>
      <c r="C2051" s="259" t="s">
        <v>2346</v>
      </c>
      <c r="D2051" s="117" t="n">
        <v>81.27</v>
      </c>
      <c r="E2051" s="260" t="n">
        <v>2</v>
      </c>
    </row>
    <row r="2052" customFormat="false" ht="14.25" hidden="true" customHeight="true" outlineLevel="0" collapsed="false">
      <c r="A2052" s="263"/>
      <c r="B2052" s="259" t="s">
        <v>2347</v>
      </c>
      <c r="C2052" s="259" t="s">
        <v>2348</v>
      </c>
      <c r="D2052" s="117" t="n">
        <v>81.27</v>
      </c>
      <c r="E2052" s="260" t="n">
        <v>2</v>
      </c>
    </row>
    <row r="2053" customFormat="false" ht="14.25" hidden="true" customHeight="true" outlineLevel="0" collapsed="false">
      <c r="A2053" s="263"/>
      <c r="B2053" s="259" t="s">
        <v>2349</v>
      </c>
      <c r="C2053" s="259" t="s">
        <v>2350</v>
      </c>
      <c r="D2053" s="117" t="n">
        <v>56.69</v>
      </c>
      <c r="E2053" s="260" t="n">
        <v>2</v>
      </c>
    </row>
    <row r="2054" customFormat="false" ht="14.25" hidden="true" customHeight="true" outlineLevel="0" collapsed="false">
      <c r="A2054" s="264" t="s">
        <v>2351</v>
      </c>
      <c r="B2054" s="84"/>
      <c r="C2054" s="84"/>
      <c r="D2054" s="130" t="n">
        <f aca="false">SUM(D2042:D2053)</f>
        <v>1545.22</v>
      </c>
      <c r="E2054" s="265"/>
    </row>
    <row r="2055" customFormat="false" ht="14.25" hidden="true" customHeight="true" outlineLevel="0" collapsed="false">
      <c r="A2055" s="84" t="s">
        <v>2352</v>
      </c>
      <c r="B2055" s="84"/>
      <c r="C2055" s="84"/>
      <c r="D2055" s="130" t="n">
        <f aca="false">SUM(D2054)</f>
        <v>1545.22</v>
      </c>
      <c r="E2055" s="265"/>
    </row>
    <row r="2056" customFormat="false" ht="14.25" hidden="false" customHeight="true" outlineLevel="0" collapsed="false">
      <c r="A2056" s="85" t="s">
        <v>154</v>
      </c>
      <c r="B2056" s="259"/>
      <c r="C2056" s="259"/>
      <c r="D2056" s="117" t="n">
        <v>19451.36</v>
      </c>
      <c r="E2056" s="260" t="n">
        <v>2984</v>
      </c>
    </row>
    <row r="2057" customFormat="false" ht="14.25" hidden="true" customHeight="true" outlineLevel="0" collapsed="false">
      <c r="A2057" s="261" t="s">
        <v>2353</v>
      </c>
      <c r="B2057" s="259"/>
      <c r="C2057" s="259" t="s">
        <v>2354</v>
      </c>
      <c r="D2057" s="117" t="n">
        <v>19451.36</v>
      </c>
      <c r="E2057" s="260" t="n">
        <v>2984</v>
      </c>
    </row>
    <row r="2058" customFormat="false" ht="14.25" hidden="true" customHeight="true" outlineLevel="0" collapsed="false">
      <c r="A2058" s="84" t="s">
        <v>61</v>
      </c>
      <c r="B2058" s="84"/>
      <c r="C2058" s="84"/>
      <c r="D2058" s="130" t="n">
        <f aca="false">SUM(D2057)</f>
        <v>19451.36</v>
      </c>
      <c r="E2058" s="265"/>
    </row>
    <row r="2059" customFormat="false" ht="14.25" hidden="false" customHeight="true" outlineLevel="0" collapsed="false">
      <c r="A2059" s="85" t="s">
        <v>162</v>
      </c>
      <c r="B2059" s="259"/>
      <c r="C2059" s="259"/>
      <c r="D2059" s="117" t="n">
        <v>239800.71</v>
      </c>
      <c r="E2059" s="260" t="n">
        <v>13137</v>
      </c>
    </row>
    <row r="2060" customFormat="false" ht="14.25" hidden="true" customHeight="true" outlineLevel="0" collapsed="false">
      <c r="A2060" s="262" t="s">
        <v>2355</v>
      </c>
      <c r="B2060" s="259"/>
      <c r="C2060" s="259"/>
      <c r="D2060" s="117"/>
      <c r="E2060" s="260"/>
    </row>
    <row r="2061" customFormat="false" ht="14.25" hidden="true" customHeight="true" outlineLevel="0" collapsed="false">
      <c r="A2061" s="263"/>
      <c r="B2061" s="259"/>
      <c r="C2061" s="259" t="s">
        <v>2356</v>
      </c>
      <c r="D2061" s="117" t="n">
        <v>230490.25</v>
      </c>
      <c r="E2061" s="260" t="n">
        <v>12895</v>
      </c>
    </row>
    <row r="2062" customFormat="false" ht="14.25" hidden="true" customHeight="true" outlineLevel="0" collapsed="false">
      <c r="A2062" s="263"/>
      <c r="B2062" s="259"/>
      <c r="C2062" s="259" t="s">
        <v>2357</v>
      </c>
      <c r="D2062" s="117" t="n">
        <v>9310.19</v>
      </c>
      <c r="E2062" s="260" t="n">
        <v>233</v>
      </c>
    </row>
    <row r="2063" customFormat="false" ht="14.25" hidden="true" customHeight="true" outlineLevel="0" collapsed="false">
      <c r="A2063" s="263"/>
      <c r="B2063" s="259"/>
      <c r="C2063" s="259" t="s">
        <v>2358</v>
      </c>
      <c r="D2063" s="117" t="n">
        <v>0.27</v>
      </c>
      <c r="E2063" s="260" t="n">
        <v>9</v>
      </c>
    </row>
    <row r="2064" customFormat="false" ht="14.25" hidden="true" customHeight="true" outlineLevel="0" collapsed="false">
      <c r="A2064" s="264" t="s">
        <v>2359</v>
      </c>
      <c r="B2064" s="84"/>
      <c r="C2064" s="84"/>
      <c r="D2064" s="130" t="n">
        <f aca="false">SUM(D2061:D2063)</f>
        <v>239800.71</v>
      </c>
      <c r="E2064" s="265"/>
    </row>
    <row r="2065" customFormat="false" ht="14.25" hidden="true" customHeight="true" outlineLevel="0" collapsed="false">
      <c r="A2065" s="84" t="s">
        <v>67</v>
      </c>
      <c r="B2065" s="84"/>
      <c r="C2065" s="84"/>
      <c r="D2065" s="130" t="n">
        <f aca="false">SUM(D2064)</f>
        <v>239800.71</v>
      </c>
      <c r="E2065" s="265"/>
    </row>
    <row r="2066" customFormat="false" ht="14.25" hidden="false" customHeight="true" outlineLevel="0" collapsed="false">
      <c r="A2066" s="85" t="s">
        <v>164</v>
      </c>
      <c r="B2066" s="259"/>
      <c r="C2066" s="259"/>
      <c r="D2066" s="117" t="n">
        <v>41960.14</v>
      </c>
      <c r="E2066" s="260" t="n">
        <v>1256</v>
      </c>
    </row>
    <row r="2067" customFormat="false" ht="14.25" hidden="true" customHeight="true" outlineLevel="0" collapsed="false">
      <c r="A2067" s="261" t="s">
        <v>2360</v>
      </c>
      <c r="B2067" s="259"/>
      <c r="C2067" s="259" t="s">
        <v>2361</v>
      </c>
      <c r="D2067" s="117" t="n">
        <v>41960.14</v>
      </c>
      <c r="E2067" s="260" t="n">
        <v>1256</v>
      </c>
    </row>
    <row r="2068" customFormat="false" ht="14.25" hidden="true" customHeight="true" outlineLevel="0" collapsed="false">
      <c r="A2068" s="84" t="s">
        <v>76</v>
      </c>
      <c r="B2068" s="84"/>
      <c r="C2068" s="84"/>
      <c r="D2068" s="130" t="n">
        <f aca="false">SUM(D2067)</f>
        <v>41960.14</v>
      </c>
      <c r="E2068" s="265"/>
    </row>
    <row r="2069" customFormat="false" ht="14.25" hidden="false" customHeight="true" outlineLevel="0" collapsed="false">
      <c r="A2069" s="84" t="s">
        <v>132</v>
      </c>
      <c r="B2069" s="84"/>
      <c r="C2069" s="84"/>
      <c r="D2069" s="130" t="n">
        <f aca="false">SUM(D85,D91,D103,D114,D151,D176,D179,D185,D214,D2039,D2055,D2058,D2065,D2068)</f>
        <v>1143905.03</v>
      </c>
      <c r="E2069" s="265"/>
    </row>
    <row r="2071" customFormat="false" ht="14.25" hidden="false" customHeight="true" outlineLevel="0" collapsed="false">
      <c r="A2071" s="1" t="s">
        <v>2362</v>
      </c>
      <c r="B2071" s="270" t="n">
        <v>697612.7</v>
      </c>
      <c r="C2071" s="271" t="n">
        <f aca="false">B2071*0.89</f>
        <v>620875.303</v>
      </c>
    </row>
    <row r="2072" customFormat="false" ht="14.25" hidden="false" customHeight="true" outlineLevel="0" collapsed="false">
      <c r="A2072" s="1" t="s">
        <v>2363</v>
      </c>
      <c r="B2072" s="270" t="n">
        <v>139816.3</v>
      </c>
      <c r="C2072" s="271" t="n">
        <f aca="false">B2072*0.89</f>
        <v>124436.507</v>
      </c>
    </row>
    <row r="2073" customFormat="false" ht="14.25" hidden="false" customHeight="true" outlineLevel="0" collapsed="false">
      <c r="A2073" s="1" t="s">
        <v>2364</v>
      </c>
      <c r="B2073" s="270" t="n">
        <v>601.7</v>
      </c>
      <c r="C2073" s="271" t="n">
        <f aca="false">B2073*0.89</f>
        <v>535.513</v>
      </c>
    </row>
    <row r="2074" customFormat="false" ht="14.25" hidden="false" customHeight="true" outlineLevel="0" collapsed="false">
      <c r="A2074" s="1" t="s">
        <v>2365</v>
      </c>
      <c r="B2074" s="270" t="n">
        <v>506653.6</v>
      </c>
      <c r="C2074" s="271" t="n">
        <f aca="false">B2074*0.89</f>
        <v>450921.704</v>
      </c>
    </row>
    <row r="2075" customFormat="false" ht="14.25" hidden="false" customHeight="true" outlineLevel="0" collapsed="false">
      <c r="A2075" s="1" t="s">
        <v>2366</v>
      </c>
      <c r="B2075" s="270" t="n">
        <v>6432.2</v>
      </c>
      <c r="C2075" s="271" t="n">
        <f aca="false">B2075*0.89</f>
        <v>5724.658</v>
      </c>
      <c r="G2075" s="179" t="s">
        <v>2367</v>
      </c>
      <c r="H2075" s="271" t="n">
        <f aca="false">C2072+C2073+C2076+C2077+C2081+C2083+D152</f>
        <v>139912.562</v>
      </c>
    </row>
    <row r="2076" customFormat="false" ht="14.25" hidden="false" customHeight="true" outlineLevel="0" collapsed="false">
      <c r="A2076" s="1" t="s">
        <v>2368</v>
      </c>
      <c r="B2076" s="270" t="n">
        <v>895.1</v>
      </c>
      <c r="C2076" s="271" t="n">
        <f aca="false">B2076*0.89</f>
        <v>796.639</v>
      </c>
      <c r="G2076" s="179" t="s">
        <v>34</v>
      </c>
      <c r="H2076" s="271" t="n">
        <f aca="false">C2075+C2078+C2080</f>
        <v>67350.661</v>
      </c>
    </row>
    <row r="2077" customFormat="false" ht="14.25" hidden="false" customHeight="true" outlineLevel="0" collapsed="false">
      <c r="A2077" s="1" t="s">
        <v>2369</v>
      </c>
      <c r="B2077" s="270" t="n">
        <v>33.2</v>
      </c>
      <c r="C2077" s="271" t="n">
        <f aca="false">B2077*0.89</f>
        <v>29.548</v>
      </c>
      <c r="G2077" s="179" t="s">
        <v>2370</v>
      </c>
      <c r="H2077" s="271" t="n">
        <f aca="false">C2079</f>
        <v>382744.856</v>
      </c>
    </row>
    <row r="2078" customFormat="false" ht="14.25" hidden="false" customHeight="true" outlineLevel="0" collapsed="false">
      <c r="A2078" s="1" t="s">
        <v>2371</v>
      </c>
      <c r="B2078" s="270" t="n">
        <v>473.5</v>
      </c>
      <c r="C2078" s="271" t="n">
        <f aca="false">B2078*0.89</f>
        <v>421.415</v>
      </c>
      <c r="G2078" s="179" t="s">
        <v>2372</v>
      </c>
      <c r="H2078" s="271" t="n">
        <f aca="false">C2082+D180</f>
        <v>41374.603</v>
      </c>
    </row>
    <row r="2079" customFormat="false" ht="14.25" hidden="false" customHeight="true" outlineLevel="0" collapsed="false">
      <c r="A2079" s="1" t="s">
        <v>33</v>
      </c>
      <c r="B2079" s="270" t="n">
        <v>430050.4</v>
      </c>
      <c r="C2079" s="271" t="n">
        <f aca="false">B2079*0.89</f>
        <v>382744.856</v>
      </c>
      <c r="H2079" s="271" t="n">
        <f aca="false">SUM(H2075:H2078)</f>
        <v>631382.682</v>
      </c>
    </row>
    <row r="2080" customFormat="false" ht="14.25" hidden="false" customHeight="true" outlineLevel="0" collapsed="false">
      <c r="A2080" s="1" t="s">
        <v>2373</v>
      </c>
      <c r="B2080" s="270" t="n">
        <v>68769.2</v>
      </c>
      <c r="C2080" s="271" t="n">
        <f aca="false">B2080*0.89</f>
        <v>61204.588</v>
      </c>
    </row>
    <row r="2081" customFormat="false" ht="14.25" hidden="false" customHeight="true" outlineLevel="0" collapsed="false">
      <c r="A2081" s="1" t="s">
        <v>2374</v>
      </c>
      <c r="B2081" s="270" t="n">
        <v>74.3</v>
      </c>
      <c r="C2081" s="271" t="n">
        <f aca="false">B2081*0.89</f>
        <v>66.127</v>
      </c>
    </row>
    <row r="2082" customFormat="false" ht="14.25" hidden="false" customHeight="true" outlineLevel="0" collapsed="false">
      <c r="A2082" s="1" t="s">
        <v>2375</v>
      </c>
      <c r="B2082" s="270" t="n">
        <v>51290.7</v>
      </c>
      <c r="C2082" s="271" t="n">
        <f aca="false">B2082*0.89</f>
        <v>45648.723</v>
      </c>
    </row>
    <row r="2083" customFormat="false" ht="14.25" hidden="false" customHeight="true" outlineLevel="0" collapsed="false">
      <c r="A2083" s="1" t="s">
        <v>2376</v>
      </c>
      <c r="B2083" s="270" t="n">
        <v>-823.8</v>
      </c>
      <c r="C2083" s="271" t="n">
        <f aca="false">B2083*0.89</f>
        <v>-733.182</v>
      </c>
    </row>
  </sheetData>
  <mergeCells count="6">
    <mergeCell ref="A1:E1"/>
    <mergeCell ref="A2:E2"/>
    <mergeCell ref="A3:E3"/>
    <mergeCell ref="A4:E4"/>
    <mergeCell ref="A5:E5"/>
    <mergeCell ref="A6:E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H13" activeCellId="0" sqref="H13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6.38"/>
    <col collapsed="false" customWidth="true" hidden="false" outlineLevel="0" max="2" min="2" style="1" width="9.38"/>
    <col collapsed="false" customWidth="true" hidden="false" outlineLevel="0" max="14" min="14" style="1" width="8.88"/>
    <col collapsed="false" customWidth="true" hidden="false" outlineLevel="0" max="16" min="16" style="1" width="8.88"/>
    <col collapsed="false" customWidth="true" hidden="false" outlineLevel="0" max="19" min="18" style="1" width="8.88"/>
    <col collapsed="false" customWidth="true" hidden="false" outlineLevel="0" max="21" min="21" style="1" width="8.88"/>
    <col collapsed="false" customWidth="true" hidden="false" outlineLevel="0" max="28" min="22" style="1" width="10.26"/>
  </cols>
  <sheetData>
    <row r="1" customFormat="false" ht="14.25" hidden="true" customHeight="true" outlineLevel="0" collapsed="false"/>
    <row r="2" customFormat="false" ht="14.25" hidden="true" customHeight="true" outlineLevel="0" collapsed="false"/>
    <row r="3" customFormat="false" ht="14.25" hidden="false" customHeight="true" outlineLevel="0" collapsed="false">
      <c r="A3" s="112" t="s">
        <v>131</v>
      </c>
      <c r="B3" s="272" t="s">
        <v>2377</v>
      </c>
      <c r="C3" s="272" t="s">
        <v>2378</v>
      </c>
      <c r="D3" s="272" t="s">
        <v>2379</v>
      </c>
      <c r="E3" s="272" t="s">
        <v>2380</v>
      </c>
      <c r="F3" s="272" t="s">
        <v>2381</v>
      </c>
      <c r="G3" s="272" t="s">
        <v>2382</v>
      </c>
      <c r="H3" s="113" t="n">
        <v>45474</v>
      </c>
      <c r="I3" s="113" t="n">
        <v>45870</v>
      </c>
      <c r="J3" s="113" t="n">
        <v>46266</v>
      </c>
      <c r="K3" s="272" t="s">
        <v>2383</v>
      </c>
      <c r="L3" s="272" t="s">
        <v>2384</v>
      </c>
      <c r="M3" s="272" t="s">
        <v>2385</v>
      </c>
      <c r="N3" s="114" t="s">
        <v>132</v>
      </c>
      <c r="P3" s="114" t="s">
        <v>2386</v>
      </c>
      <c r="R3" s="114" t="s">
        <v>18</v>
      </c>
      <c r="S3" s="114" t="s">
        <v>19</v>
      </c>
      <c r="T3" s="114" t="s">
        <v>20</v>
      </c>
      <c r="U3" s="114" t="s">
        <v>21</v>
      </c>
      <c r="V3" s="114" t="s">
        <v>22</v>
      </c>
      <c r="W3" s="114" t="s">
        <v>23</v>
      </c>
      <c r="X3" s="114" t="s">
        <v>24</v>
      </c>
      <c r="Y3" s="114" t="s">
        <v>25</v>
      </c>
      <c r="Z3" s="114" t="s">
        <v>26</v>
      </c>
      <c r="AA3" s="114" t="s">
        <v>27</v>
      </c>
      <c r="AB3" s="114" t="s">
        <v>28</v>
      </c>
    </row>
    <row r="4" customFormat="false" ht="14.25" hidden="false" customHeight="true" outlineLevel="0" collapsed="false">
      <c r="A4" s="112" t="s">
        <v>134</v>
      </c>
      <c r="B4" s="115" t="s">
        <v>135</v>
      </c>
      <c r="C4" s="115" t="s">
        <v>135</v>
      </c>
      <c r="D4" s="115" t="s">
        <v>135</v>
      </c>
      <c r="E4" s="115" t="s">
        <v>135</v>
      </c>
      <c r="F4" s="115" t="s">
        <v>135</v>
      </c>
      <c r="G4" s="115" t="s">
        <v>135</v>
      </c>
      <c r="H4" s="115" t="s">
        <v>135</v>
      </c>
      <c r="I4" s="115" t="s">
        <v>135</v>
      </c>
      <c r="J4" s="115" t="s">
        <v>135</v>
      </c>
      <c r="K4" s="115" t="s">
        <v>135</v>
      </c>
      <c r="L4" s="115" t="s">
        <v>135</v>
      </c>
      <c r="M4" s="115" t="s">
        <v>135</v>
      </c>
      <c r="N4" s="116" t="s">
        <v>135</v>
      </c>
      <c r="P4" s="116" t="s">
        <v>135</v>
      </c>
      <c r="R4" s="116" t="s">
        <v>135</v>
      </c>
      <c r="S4" s="116" t="s">
        <v>135</v>
      </c>
      <c r="T4" s="116" t="s">
        <v>135</v>
      </c>
      <c r="U4" s="116" t="s">
        <v>135</v>
      </c>
      <c r="V4" s="116" t="s">
        <v>135</v>
      </c>
      <c r="W4" s="116" t="s">
        <v>135</v>
      </c>
      <c r="X4" s="116" t="s">
        <v>135</v>
      </c>
      <c r="Y4" s="116" t="s">
        <v>135</v>
      </c>
      <c r="Z4" s="116" t="s">
        <v>135</v>
      </c>
      <c r="AA4" s="116" t="s">
        <v>135</v>
      </c>
      <c r="AB4" s="116" t="s">
        <v>135</v>
      </c>
    </row>
    <row r="5" customFormat="false" ht="14.25" hidden="false" customHeight="true" outlineLevel="0" collapsed="false">
      <c r="A5" s="85" t="s">
        <v>2387</v>
      </c>
      <c r="B5" s="117"/>
      <c r="C5" s="117" t="n">
        <v>0</v>
      </c>
      <c r="D5" s="117"/>
      <c r="E5" s="117"/>
      <c r="F5" s="117"/>
      <c r="G5" s="117" t="n">
        <v>0</v>
      </c>
      <c r="H5" s="117" t="n">
        <v>-121.15</v>
      </c>
      <c r="I5" s="117" t="n">
        <v>-695.71</v>
      </c>
      <c r="J5" s="117" t="n">
        <v>77309.8</v>
      </c>
      <c r="K5" s="117" t="n">
        <v>2919.57</v>
      </c>
      <c r="L5" s="117" t="n">
        <v>284.37</v>
      </c>
      <c r="M5" s="117" t="n">
        <v>1054.59</v>
      </c>
      <c r="N5" s="117" t="n">
        <v>80751.47</v>
      </c>
      <c r="P5" s="117"/>
      <c r="R5" s="117" t="n">
        <v>0</v>
      </c>
      <c r="S5" s="117" t="n">
        <v>0</v>
      </c>
      <c r="T5" s="117" t="n">
        <v>0</v>
      </c>
      <c r="U5" s="117" t="n">
        <v>0</v>
      </c>
      <c r="V5" s="117" t="n">
        <v>0</v>
      </c>
      <c r="W5" s="117" t="n">
        <v>-121.15</v>
      </c>
      <c r="X5" s="117" t="n">
        <v>-816.86</v>
      </c>
      <c r="Y5" s="117" t="n">
        <v>76492.94</v>
      </c>
      <c r="Z5" s="117" t="n">
        <v>79412.51</v>
      </c>
      <c r="AA5" s="117" t="n">
        <v>79696.88</v>
      </c>
      <c r="AB5" s="117" t="n">
        <v>80751.47</v>
      </c>
    </row>
    <row r="6" customFormat="false" ht="14.25" hidden="false" customHeight="true" outlineLevel="0" collapsed="false">
      <c r="A6" s="85" t="s">
        <v>136</v>
      </c>
      <c r="B6" s="117" t="n">
        <v>665347.300000009</v>
      </c>
      <c r="C6" s="117" t="n">
        <v>655649.960000009</v>
      </c>
      <c r="D6" s="117" t="n">
        <v>662927.530000003</v>
      </c>
      <c r="E6" s="117" t="n">
        <v>668641.570000001</v>
      </c>
      <c r="F6" s="117" t="n">
        <v>842340.310000001</v>
      </c>
      <c r="G6" s="117" t="n">
        <v>684948.830000003</v>
      </c>
      <c r="H6" s="117" t="n">
        <v>740139.200000005</v>
      </c>
      <c r="I6" s="117" t="n">
        <v>623238.830000004</v>
      </c>
      <c r="J6" s="117" t="n">
        <v>745379.960000005</v>
      </c>
      <c r="K6" s="117" t="n">
        <v>603390.030000009</v>
      </c>
      <c r="L6" s="117" t="n">
        <v>612999.43000001</v>
      </c>
      <c r="M6" s="117" t="n">
        <v>683772.07000001</v>
      </c>
      <c r="N6" s="117" t="n">
        <v>8188775.02000007</v>
      </c>
      <c r="P6" s="117" t="n">
        <v>665347.300000009</v>
      </c>
      <c r="R6" s="117" t="n">
        <v>1320997.26000002</v>
      </c>
      <c r="S6" s="117" t="n">
        <v>1983924.79000002</v>
      </c>
      <c r="T6" s="117" t="n">
        <v>2652566.36000002</v>
      </c>
      <c r="U6" s="117" t="n">
        <v>3494906.67000002</v>
      </c>
      <c r="V6" s="117" t="n">
        <v>4179855.50000003</v>
      </c>
      <c r="W6" s="117" t="n">
        <v>4919994.70000003</v>
      </c>
      <c r="X6" s="117" t="n">
        <v>5543233.53000003</v>
      </c>
      <c r="Y6" s="117" t="n">
        <v>6288613.49000004</v>
      </c>
      <c r="Z6" s="117" t="n">
        <v>6892003.52000005</v>
      </c>
      <c r="AA6" s="117" t="n">
        <v>7505002.95000006</v>
      </c>
      <c r="AB6" s="117" t="n">
        <v>8188775.02000007</v>
      </c>
    </row>
    <row r="7" customFormat="false" ht="14.25" hidden="false" customHeight="true" outlineLevel="0" collapsed="false">
      <c r="A7" s="85" t="s">
        <v>137</v>
      </c>
      <c r="B7" s="117" t="n">
        <v>91890.1</v>
      </c>
      <c r="C7" s="117" t="n">
        <v>85829.2</v>
      </c>
      <c r="D7" s="117" t="n">
        <v>87247.96</v>
      </c>
      <c r="E7" s="117" t="n">
        <v>69580.43</v>
      </c>
      <c r="F7" s="117" t="n">
        <v>99310.41</v>
      </c>
      <c r="G7" s="117" t="n">
        <v>77555.62</v>
      </c>
      <c r="H7" s="117" t="n">
        <v>76209.32</v>
      </c>
      <c r="I7" s="117" t="n">
        <v>62739.61</v>
      </c>
      <c r="J7" s="117" t="n">
        <v>65856.52</v>
      </c>
      <c r="K7" s="117" t="n">
        <v>56916.24</v>
      </c>
      <c r="L7" s="117" t="n">
        <v>62213.38</v>
      </c>
      <c r="M7" s="117" t="n">
        <v>65670.46</v>
      </c>
      <c r="N7" s="117" t="n">
        <v>901019.25</v>
      </c>
      <c r="P7" s="117" t="n">
        <v>91890.1</v>
      </c>
      <c r="R7" s="117" t="n">
        <v>177719.3</v>
      </c>
      <c r="S7" s="117" t="n">
        <v>264967.26</v>
      </c>
      <c r="T7" s="117" t="n">
        <v>334547.69</v>
      </c>
      <c r="U7" s="117" t="n">
        <v>433858.1</v>
      </c>
      <c r="V7" s="117" t="n">
        <v>511413.72</v>
      </c>
      <c r="W7" s="117" t="n">
        <v>587623.04</v>
      </c>
      <c r="X7" s="117" t="n">
        <v>650362.65</v>
      </c>
      <c r="Y7" s="117" t="n">
        <v>716219.17</v>
      </c>
      <c r="Z7" s="117" t="n">
        <v>773135.41</v>
      </c>
      <c r="AA7" s="117" t="n">
        <v>835348.79</v>
      </c>
      <c r="AB7" s="117" t="n">
        <v>901019.25</v>
      </c>
    </row>
    <row r="8" customFormat="false" ht="14.25" hidden="false" customHeight="true" outlineLevel="0" collapsed="false">
      <c r="A8" s="85" t="s">
        <v>138</v>
      </c>
      <c r="B8" s="117" t="n">
        <v>15878.93</v>
      </c>
      <c r="C8" s="117" t="n">
        <v>11131.68</v>
      </c>
      <c r="D8" s="117" t="n">
        <v>21528.06</v>
      </c>
      <c r="E8" s="117" t="n">
        <v>14571.76</v>
      </c>
      <c r="F8" s="117" t="n">
        <v>16034.44</v>
      </c>
      <c r="G8" s="117" t="n">
        <v>13321.91</v>
      </c>
      <c r="H8" s="117" t="n">
        <v>27532.1</v>
      </c>
      <c r="I8" s="117" t="n">
        <v>18126.58</v>
      </c>
      <c r="J8" s="117" t="n">
        <v>10468.76</v>
      </c>
      <c r="K8" s="117" t="n">
        <v>11253.22</v>
      </c>
      <c r="L8" s="117" t="n">
        <v>10956.17</v>
      </c>
      <c r="M8" s="117" t="n">
        <v>16400.06</v>
      </c>
      <c r="N8" s="117" t="n">
        <v>187203.67</v>
      </c>
      <c r="P8" s="117" t="n">
        <v>15878.93</v>
      </c>
      <c r="R8" s="117" t="n">
        <v>27010.61</v>
      </c>
      <c r="S8" s="117" t="n">
        <v>48538.67</v>
      </c>
      <c r="T8" s="117" t="n">
        <v>63110.43</v>
      </c>
      <c r="U8" s="117" t="n">
        <v>79144.87</v>
      </c>
      <c r="V8" s="117" t="n">
        <v>92466.78</v>
      </c>
      <c r="W8" s="117" t="n">
        <v>119998.88</v>
      </c>
      <c r="X8" s="117" t="n">
        <v>138125.46</v>
      </c>
      <c r="Y8" s="117" t="n">
        <v>148594.22</v>
      </c>
      <c r="Z8" s="117" t="n">
        <v>159847.44</v>
      </c>
      <c r="AA8" s="117" t="n">
        <v>170803.61</v>
      </c>
      <c r="AB8" s="117" t="n">
        <v>187203.67</v>
      </c>
    </row>
    <row r="9" customFormat="false" ht="14.25" hidden="false" customHeight="true" outlineLevel="0" collapsed="false">
      <c r="A9" s="85" t="s">
        <v>139</v>
      </c>
      <c r="B9" s="117"/>
      <c r="C9" s="117"/>
      <c r="D9" s="117"/>
      <c r="E9" s="117"/>
      <c r="F9" s="117" t="n">
        <v>1597.46</v>
      </c>
      <c r="G9" s="117"/>
      <c r="H9" s="117"/>
      <c r="I9" s="117"/>
      <c r="J9" s="117"/>
      <c r="K9" s="117"/>
      <c r="L9" s="117"/>
      <c r="M9" s="117" t="n">
        <v>-14.28</v>
      </c>
      <c r="N9" s="117" t="n">
        <v>1583.18</v>
      </c>
      <c r="P9" s="117"/>
      <c r="R9" s="117" t="n">
        <v>0</v>
      </c>
      <c r="S9" s="117" t="n">
        <v>0</v>
      </c>
      <c r="T9" s="117" t="n">
        <v>0</v>
      </c>
      <c r="U9" s="117" t="n">
        <v>1597.46</v>
      </c>
      <c r="V9" s="117" t="n">
        <v>1597.46</v>
      </c>
      <c r="W9" s="117" t="n">
        <v>1597.46</v>
      </c>
      <c r="X9" s="117" t="n">
        <v>1597.46</v>
      </c>
      <c r="Y9" s="117" t="n">
        <v>1597.46</v>
      </c>
      <c r="Z9" s="117" t="n">
        <v>1597.46</v>
      </c>
      <c r="AA9" s="117" t="n">
        <v>1597.46</v>
      </c>
      <c r="AB9" s="117" t="n">
        <v>1583.18</v>
      </c>
    </row>
    <row r="10" customFormat="false" ht="14.25" hidden="false" customHeight="true" outlineLevel="0" collapsed="false">
      <c r="A10" s="85" t="s">
        <v>140</v>
      </c>
      <c r="B10" s="117" t="n">
        <v>4135.49</v>
      </c>
      <c r="C10" s="117" t="n">
        <v>8592.99</v>
      </c>
      <c r="D10" s="117" t="n">
        <v>7451.5</v>
      </c>
      <c r="E10" s="117" t="n">
        <v>3314.43</v>
      </c>
      <c r="F10" s="117" t="n">
        <v>3187.34</v>
      </c>
      <c r="G10" s="117" t="n">
        <v>5235.63</v>
      </c>
      <c r="H10" s="117" t="n">
        <v>16671.18</v>
      </c>
      <c r="I10" s="117" t="n">
        <v>6797.75</v>
      </c>
      <c r="J10" s="117" t="n">
        <v>5902.85</v>
      </c>
      <c r="K10" s="117" t="n">
        <v>2059.32</v>
      </c>
      <c r="L10" s="117" t="n">
        <v>5017.43</v>
      </c>
      <c r="M10" s="117" t="n">
        <v>4549.9</v>
      </c>
      <c r="N10" s="117" t="n">
        <v>72915.81</v>
      </c>
      <c r="P10" s="117" t="n">
        <v>4135.49</v>
      </c>
      <c r="R10" s="117" t="n">
        <v>12728.48</v>
      </c>
      <c r="S10" s="117" t="n">
        <v>20179.98</v>
      </c>
      <c r="T10" s="117" t="n">
        <v>23494.41</v>
      </c>
      <c r="U10" s="117" t="n">
        <v>26681.75</v>
      </c>
      <c r="V10" s="117" t="n">
        <v>31917.38</v>
      </c>
      <c r="W10" s="117" t="n">
        <v>48588.56</v>
      </c>
      <c r="X10" s="117" t="n">
        <v>55386.31</v>
      </c>
      <c r="Y10" s="117" t="n">
        <v>61289.16</v>
      </c>
      <c r="Z10" s="117" t="n">
        <v>63348.48</v>
      </c>
      <c r="AA10" s="117" t="n">
        <v>68365.91</v>
      </c>
      <c r="AB10" s="117" t="n">
        <v>72915.81</v>
      </c>
    </row>
    <row r="11" customFormat="false" ht="14.25" hidden="false" customHeight="true" outlineLevel="0" collapsed="false">
      <c r="A11" s="85" t="s">
        <v>141</v>
      </c>
      <c r="B11" s="117" t="n">
        <v>5667.68</v>
      </c>
      <c r="C11" s="117"/>
      <c r="D11" s="117" t="n">
        <v>3573.08</v>
      </c>
      <c r="E11" s="117" t="n">
        <v>11309.68</v>
      </c>
      <c r="F11" s="117" t="n">
        <v>1188.66</v>
      </c>
      <c r="G11" s="117" t="n">
        <v>11738.24</v>
      </c>
      <c r="H11" s="117" t="n">
        <v>8417.71</v>
      </c>
      <c r="I11" s="117" t="n">
        <v>8063.63</v>
      </c>
      <c r="J11" s="117" t="n">
        <v>3066.38</v>
      </c>
      <c r="K11" s="117" t="n">
        <v>-1766.36</v>
      </c>
      <c r="L11" s="117" t="n">
        <v>30231.73</v>
      </c>
      <c r="M11" s="117" t="n">
        <v>10713.92</v>
      </c>
      <c r="N11" s="117" t="n">
        <v>92204.35</v>
      </c>
      <c r="P11" s="117" t="n">
        <v>5667.68</v>
      </c>
      <c r="R11" s="117" t="n">
        <v>5667.68</v>
      </c>
      <c r="S11" s="117" t="n">
        <v>9240.76</v>
      </c>
      <c r="T11" s="117" t="n">
        <v>20550.44</v>
      </c>
      <c r="U11" s="117" t="n">
        <v>21739.1</v>
      </c>
      <c r="V11" s="117" t="n">
        <v>33477.34</v>
      </c>
      <c r="W11" s="117" t="n">
        <v>41895.05</v>
      </c>
      <c r="X11" s="117" t="n">
        <v>49958.68</v>
      </c>
      <c r="Y11" s="117" t="n">
        <v>53025.06</v>
      </c>
      <c r="Z11" s="117" t="n">
        <v>51258.7</v>
      </c>
      <c r="AA11" s="117" t="n">
        <v>81490.43</v>
      </c>
      <c r="AB11" s="117" t="n">
        <v>92204.35</v>
      </c>
    </row>
    <row r="12" customFormat="false" ht="14.25" hidden="false" customHeight="true" outlineLevel="0" collapsed="false">
      <c r="A12" s="85" t="s">
        <v>142</v>
      </c>
      <c r="B12" s="117"/>
      <c r="C12" s="117"/>
      <c r="D12" s="117"/>
      <c r="E12" s="117" t="n">
        <v>850.4</v>
      </c>
      <c r="F12" s="117"/>
      <c r="G12" s="117"/>
      <c r="H12" s="117" t="n">
        <v>679.3</v>
      </c>
      <c r="I12" s="117"/>
      <c r="J12" s="117" t="n">
        <v>850.4</v>
      </c>
      <c r="K12" s="117"/>
      <c r="L12" s="117"/>
      <c r="M12" s="117" t="n">
        <v>850.4</v>
      </c>
      <c r="N12" s="117" t="n">
        <v>3230.5</v>
      </c>
      <c r="P12" s="117"/>
      <c r="R12" s="117" t="n">
        <v>0</v>
      </c>
      <c r="S12" s="117" t="n">
        <v>0</v>
      </c>
      <c r="T12" s="117" t="n">
        <v>850.4</v>
      </c>
      <c r="U12" s="117" t="n">
        <v>850.4</v>
      </c>
      <c r="V12" s="117" t="n">
        <v>850.4</v>
      </c>
      <c r="W12" s="117" t="n">
        <v>1529.7</v>
      </c>
      <c r="X12" s="117" t="n">
        <v>1529.7</v>
      </c>
      <c r="Y12" s="117" t="n">
        <v>2380.1</v>
      </c>
      <c r="Z12" s="117" t="n">
        <v>2380.1</v>
      </c>
      <c r="AA12" s="117" t="n">
        <v>2380.1</v>
      </c>
      <c r="AB12" s="117" t="n">
        <v>3230.5</v>
      </c>
    </row>
    <row r="13" customFormat="false" ht="14.25" hidden="false" customHeight="true" outlineLevel="0" collapsed="false">
      <c r="A13" s="85" t="s">
        <v>143</v>
      </c>
      <c r="B13" s="117" t="n">
        <v>-594.08</v>
      </c>
      <c r="C13" s="117" t="n">
        <v>347582.74</v>
      </c>
      <c r="D13" s="117"/>
      <c r="E13" s="117" t="n">
        <v>263037.5</v>
      </c>
      <c r="F13" s="117" t="n">
        <v>155618.13</v>
      </c>
      <c r="G13" s="117" t="n">
        <v>144633.67</v>
      </c>
      <c r="H13" s="117" t="n">
        <v>214594.9</v>
      </c>
      <c r="I13" s="117" t="n">
        <v>301190.6</v>
      </c>
      <c r="J13" s="117" t="n">
        <v>124776.4</v>
      </c>
      <c r="K13" s="117"/>
      <c r="L13" s="117" t="n">
        <v>183470.34</v>
      </c>
      <c r="M13" s="117" t="n">
        <v>318421.6</v>
      </c>
      <c r="N13" s="117" t="n">
        <v>2052731.8</v>
      </c>
      <c r="P13" s="117" t="n">
        <v>-594.08</v>
      </c>
      <c r="R13" s="117" t="n">
        <v>346988.66</v>
      </c>
      <c r="S13" s="117" t="n">
        <v>346988.66</v>
      </c>
      <c r="T13" s="117" t="n">
        <v>610026.16</v>
      </c>
      <c r="U13" s="117" t="n">
        <v>765644.29</v>
      </c>
      <c r="V13" s="117" t="n">
        <v>910277.96</v>
      </c>
      <c r="W13" s="117" t="n">
        <v>1124872.86</v>
      </c>
      <c r="X13" s="117" t="n">
        <v>1426063.46</v>
      </c>
      <c r="Y13" s="117" t="n">
        <v>1550839.86</v>
      </c>
      <c r="Z13" s="117" t="n">
        <v>1550839.86</v>
      </c>
      <c r="AA13" s="117" t="n">
        <v>1734310.2</v>
      </c>
      <c r="AB13" s="117" t="n">
        <v>2052731.8</v>
      </c>
    </row>
    <row r="14" customFormat="false" ht="14.25" hidden="false" customHeight="true" outlineLevel="0" collapsed="false">
      <c r="A14" s="85" t="s">
        <v>145</v>
      </c>
      <c r="B14" s="117"/>
      <c r="C14" s="117"/>
      <c r="D14" s="117" t="n">
        <v>1275.21</v>
      </c>
      <c r="E14" s="117"/>
      <c r="F14" s="117"/>
      <c r="G14" s="117" t="n">
        <v>4579.64</v>
      </c>
      <c r="H14" s="117"/>
      <c r="I14" s="117"/>
      <c r="J14" s="117"/>
      <c r="K14" s="117" t="n">
        <v>507.08</v>
      </c>
      <c r="L14" s="117" t="n">
        <v>695.57</v>
      </c>
      <c r="M14" s="117" t="n">
        <v>2520</v>
      </c>
      <c r="N14" s="117" t="n">
        <v>9577.5</v>
      </c>
      <c r="P14" s="117"/>
      <c r="R14" s="117" t="n">
        <v>0</v>
      </c>
      <c r="S14" s="117" t="n">
        <v>1275.21</v>
      </c>
      <c r="T14" s="117" t="n">
        <v>1275.21</v>
      </c>
      <c r="U14" s="117" t="n">
        <v>1275.21</v>
      </c>
      <c r="V14" s="117" t="n">
        <v>5854.85</v>
      </c>
      <c r="W14" s="117" t="n">
        <v>5854.85</v>
      </c>
      <c r="X14" s="117" t="n">
        <v>5854.85</v>
      </c>
      <c r="Y14" s="117" t="n">
        <v>5854.85</v>
      </c>
      <c r="Z14" s="117" t="n">
        <v>6361.93</v>
      </c>
      <c r="AA14" s="117" t="n">
        <v>7057.5</v>
      </c>
      <c r="AB14" s="117" t="n">
        <v>9577.5</v>
      </c>
    </row>
    <row r="15" customFormat="false" ht="14.25" hidden="false" customHeight="true" outlineLevel="0" collapsed="false">
      <c r="A15" s="85" t="s">
        <v>146</v>
      </c>
      <c r="B15" s="117" t="n">
        <v>15984.73</v>
      </c>
      <c r="C15" s="117" t="n">
        <v>11101.02</v>
      </c>
      <c r="D15" s="117" t="n">
        <v>14682.72</v>
      </c>
      <c r="E15" s="117" t="n">
        <v>19258.06</v>
      </c>
      <c r="F15" s="117" t="n">
        <v>14585.13</v>
      </c>
      <c r="G15" s="117" t="n">
        <v>13453.51</v>
      </c>
      <c r="H15" s="117" t="n">
        <v>14971.25</v>
      </c>
      <c r="I15" s="117" t="n">
        <v>14286.44</v>
      </c>
      <c r="J15" s="117" t="n">
        <v>14706.56</v>
      </c>
      <c r="K15" s="117" t="n">
        <v>8496.06</v>
      </c>
      <c r="L15" s="117" t="n">
        <v>10058.78</v>
      </c>
      <c r="M15" s="117" t="n">
        <v>9129.88</v>
      </c>
      <c r="N15" s="117" t="n">
        <v>160714.14</v>
      </c>
      <c r="P15" s="117" t="n">
        <v>15984.73</v>
      </c>
      <c r="R15" s="117" t="n">
        <v>27085.75</v>
      </c>
      <c r="S15" s="117" t="n">
        <v>41768.47</v>
      </c>
      <c r="T15" s="117" t="n">
        <v>61026.53</v>
      </c>
      <c r="U15" s="117" t="n">
        <v>75611.66</v>
      </c>
      <c r="V15" s="117" t="n">
        <v>89065.17</v>
      </c>
      <c r="W15" s="117" t="n">
        <v>104036.42</v>
      </c>
      <c r="X15" s="117" t="n">
        <v>118322.86</v>
      </c>
      <c r="Y15" s="117" t="n">
        <v>133029.42</v>
      </c>
      <c r="Z15" s="117" t="n">
        <v>141525.48</v>
      </c>
      <c r="AA15" s="117" t="n">
        <v>151584.26</v>
      </c>
      <c r="AB15" s="117" t="n">
        <v>160714.14</v>
      </c>
    </row>
    <row r="16" customFormat="false" ht="14.25" hidden="false" customHeight="true" outlineLevel="0" collapsed="false">
      <c r="A16" s="85" t="s">
        <v>147</v>
      </c>
      <c r="B16" s="117" t="n">
        <v>74817.97</v>
      </c>
      <c r="C16" s="117" t="n">
        <v>91523.03</v>
      </c>
      <c r="D16" s="117" t="n">
        <v>77394.37</v>
      </c>
      <c r="E16" s="117" t="n">
        <v>59971.53</v>
      </c>
      <c r="F16" s="117" t="n">
        <v>65998.04</v>
      </c>
      <c r="G16" s="117" t="n">
        <v>43688.56</v>
      </c>
      <c r="H16" s="117" t="n">
        <v>79041.44</v>
      </c>
      <c r="I16" s="117" t="n">
        <v>64245.4</v>
      </c>
      <c r="J16" s="117" t="n">
        <v>65554.73</v>
      </c>
      <c r="K16" s="117" t="n">
        <v>50225.36</v>
      </c>
      <c r="L16" s="117" t="n">
        <v>57000.57</v>
      </c>
      <c r="M16" s="117" t="n">
        <v>68517.25</v>
      </c>
      <c r="N16" s="117" t="n">
        <v>797978.25</v>
      </c>
      <c r="P16" s="117" t="n">
        <v>74817.97</v>
      </c>
      <c r="R16" s="117" t="n">
        <v>166341</v>
      </c>
      <c r="S16" s="117" t="n">
        <v>243735.37</v>
      </c>
      <c r="T16" s="117" t="n">
        <v>303706.9</v>
      </c>
      <c r="U16" s="117" t="n">
        <v>369704.94</v>
      </c>
      <c r="V16" s="117" t="n">
        <v>413393.5</v>
      </c>
      <c r="W16" s="117" t="n">
        <v>492434.94</v>
      </c>
      <c r="X16" s="117" t="n">
        <v>556680.34</v>
      </c>
      <c r="Y16" s="117" t="n">
        <v>622235.07</v>
      </c>
      <c r="Z16" s="117" t="n">
        <v>672460.43</v>
      </c>
      <c r="AA16" s="117" t="n">
        <v>729461</v>
      </c>
      <c r="AB16" s="117" t="n">
        <v>797978.25</v>
      </c>
    </row>
    <row r="17" customFormat="false" ht="14.25" hidden="false" customHeight="true" outlineLevel="0" collapsed="false">
      <c r="A17" s="85" t="s">
        <v>148</v>
      </c>
      <c r="B17" s="117" t="n">
        <v>414961</v>
      </c>
      <c r="C17" s="117" t="n">
        <v>385135</v>
      </c>
      <c r="D17" s="117" t="n">
        <v>389673.5</v>
      </c>
      <c r="E17" s="117" t="n">
        <v>244648</v>
      </c>
      <c r="F17" s="117" t="n">
        <v>327442</v>
      </c>
      <c r="G17" s="117" t="n">
        <v>315729.5</v>
      </c>
      <c r="H17" s="117" t="n">
        <v>326042</v>
      </c>
      <c r="I17" s="117" t="n">
        <v>416484</v>
      </c>
      <c r="J17" s="117" t="n">
        <v>309520.8</v>
      </c>
      <c r="K17" s="117" t="n">
        <v>291076</v>
      </c>
      <c r="L17" s="117" t="n">
        <v>319604.5</v>
      </c>
      <c r="M17" s="117" t="n">
        <v>378149.8</v>
      </c>
      <c r="N17" s="117" t="n">
        <v>4118466.1</v>
      </c>
      <c r="P17" s="117" t="n">
        <v>414961</v>
      </c>
      <c r="R17" s="117" t="n">
        <v>800096</v>
      </c>
      <c r="S17" s="117" t="n">
        <v>1189769.5</v>
      </c>
      <c r="T17" s="117" t="n">
        <v>1434417.5</v>
      </c>
      <c r="U17" s="117" t="n">
        <v>1761859.5</v>
      </c>
      <c r="V17" s="117" t="n">
        <v>2077589</v>
      </c>
      <c r="W17" s="117" t="n">
        <v>2403631</v>
      </c>
      <c r="X17" s="117" t="n">
        <v>2820115</v>
      </c>
      <c r="Y17" s="117" t="n">
        <v>3129635.8</v>
      </c>
      <c r="Z17" s="117" t="n">
        <v>3420711.8</v>
      </c>
      <c r="AA17" s="117" t="n">
        <v>3740316.3</v>
      </c>
      <c r="AB17" s="117" t="n">
        <v>4118466.1</v>
      </c>
    </row>
    <row r="18" customFormat="false" ht="14.25" hidden="false" customHeight="true" outlineLevel="0" collapsed="false">
      <c r="A18" s="85" t="s">
        <v>149</v>
      </c>
      <c r="B18" s="117" t="n">
        <v>42663.04</v>
      </c>
      <c r="C18" s="117" t="n">
        <v>40630.42</v>
      </c>
      <c r="D18" s="117" t="n">
        <v>45122.89</v>
      </c>
      <c r="E18" s="117" t="n">
        <v>43476.43</v>
      </c>
      <c r="F18" s="117" t="n">
        <v>49304.7</v>
      </c>
      <c r="G18" s="117" t="n">
        <v>52569.54</v>
      </c>
      <c r="H18" s="117" t="n">
        <v>56033.8100000001</v>
      </c>
      <c r="I18" s="117" t="n">
        <v>43626.89</v>
      </c>
      <c r="J18" s="117" t="n">
        <v>56193.1900000001</v>
      </c>
      <c r="K18" s="117" t="n">
        <v>71675.5700000002</v>
      </c>
      <c r="L18" s="117" t="n">
        <v>87038.7499999997</v>
      </c>
      <c r="M18" s="117" t="n">
        <v>95223.2699999995</v>
      </c>
      <c r="N18" s="117" t="n">
        <v>683558.5</v>
      </c>
      <c r="P18" s="117" t="n">
        <v>42663.04</v>
      </c>
      <c r="R18" s="117" t="n">
        <v>83293.46</v>
      </c>
      <c r="S18" s="117" t="n">
        <v>128416.35</v>
      </c>
      <c r="T18" s="117" t="n">
        <v>171892.78</v>
      </c>
      <c r="U18" s="117" t="n">
        <v>221197.48</v>
      </c>
      <c r="V18" s="117" t="n">
        <v>273767.02</v>
      </c>
      <c r="W18" s="117" t="n">
        <v>329800.83</v>
      </c>
      <c r="X18" s="117" t="n">
        <v>373427.72</v>
      </c>
      <c r="Y18" s="117" t="n">
        <v>429620.91</v>
      </c>
      <c r="Z18" s="117" t="n">
        <v>501296.48</v>
      </c>
      <c r="AA18" s="117" t="n">
        <v>588335.23</v>
      </c>
      <c r="AB18" s="117" t="n">
        <v>683558.5</v>
      </c>
    </row>
    <row r="19" customFormat="false" ht="14.25" hidden="false" customHeight="true" outlineLevel="0" collapsed="false">
      <c r="A19" s="85" t="s">
        <v>150</v>
      </c>
      <c r="B19" s="117" t="n">
        <v>1654.88</v>
      </c>
      <c r="C19" s="117" t="n">
        <v>2455.66</v>
      </c>
      <c r="D19" s="117" t="n">
        <v>2233.52</v>
      </c>
      <c r="E19" s="117" t="n">
        <v>2046.43</v>
      </c>
      <c r="F19" s="117" t="n">
        <v>2364.29</v>
      </c>
      <c r="G19" s="117" t="n">
        <v>5374.81</v>
      </c>
      <c r="H19" s="117" t="n">
        <v>1788.03</v>
      </c>
      <c r="I19" s="117" t="n">
        <v>4027.72</v>
      </c>
      <c r="J19" s="117" t="n">
        <v>3358.59</v>
      </c>
      <c r="K19" s="117" t="n">
        <v>3795.33</v>
      </c>
      <c r="L19" s="117" t="n">
        <v>3533.44</v>
      </c>
      <c r="M19" s="117" t="n">
        <v>3126.19</v>
      </c>
      <c r="N19" s="117" t="n">
        <v>35758.89</v>
      </c>
      <c r="P19" s="117" t="n">
        <v>1654.88</v>
      </c>
      <c r="R19" s="117" t="n">
        <v>4110.54</v>
      </c>
      <c r="S19" s="117" t="n">
        <v>6344.06</v>
      </c>
      <c r="T19" s="117" t="n">
        <v>8390.49</v>
      </c>
      <c r="U19" s="117" t="n">
        <v>10754.78</v>
      </c>
      <c r="V19" s="117" t="n">
        <v>16129.59</v>
      </c>
      <c r="W19" s="117" t="n">
        <v>17917.62</v>
      </c>
      <c r="X19" s="117" t="n">
        <v>21945.34</v>
      </c>
      <c r="Y19" s="117" t="n">
        <v>25303.93</v>
      </c>
      <c r="Z19" s="117" t="n">
        <v>29099.26</v>
      </c>
      <c r="AA19" s="117" t="n">
        <v>32632.7</v>
      </c>
      <c r="AB19" s="117" t="n">
        <v>35758.89</v>
      </c>
    </row>
    <row r="20" customFormat="false" ht="14.25" hidden="false" customHeight="true" outlineLevel="0" collapsed="false">
      <c r="A20" s="85" t="s">
        <v>151</v>
      </c>
      <c r="B20" s="117" t="n">
        <v>203.73</v>
      </c>
      <c r="C20" s="117" t="n">
        <v>255841.44</v>
      </c>
      <c r="D20" s="117"/>
      <c r="E20" s="117" t="n">
        <v>184350.47</v>
      </c>
      <c r="F20" s="117"/>
      <c r="G20" s="117"/>
      <c r="H20" s="117" t="n">
        <v>143527.77</v>
      </c>
      <c r="I20" s="117" t="n">
        <v>-2422.68</v>
      </c>
      <c r="J20" s="117" t="n">
        <v>159908.54</v>
      </c>
      <c r="K20" s="117"/>
      <c r="L20" s="117"/>
      <c r="M20" s="117" t="n">
        <v>137974.18</v>
      </c>
      <c r="N20" s="117" t="n">
        <v>879383.45</v>
      </c>
      <c r="P20" s="117" t="n">
        <v>203.73</v>
      </c>
      <c r="R20" s="117" t="n">
        <v>256045.17</v>
      </c>
      <c r="S20" s="117" t="n">
        <v>256045.17</v>
      </c>
      <c r="T20" s="117" t="n">
        <v>440395.64</v>
      </c>
      <c r="U20" s="117" t="n">
        <v>440395.64</v>
      </c>
      <c r="V20" s="117" t="n">
        <v>440395.64</v>
      </c>
      <c r="W20" s="117" t="n">
        <v>583923.41</v>
      </c>
      <c r="X20" s="117" t="n">
        <v>581500.73</v>
      </c>
      <c r="Y20" s="117" t="n">
        <v>741409.27</v>
      </c>
      <c r="Z20" s="117" t="n">
        <v>741409.27</v>
      </c>
      <c r="AA20" s="117" t="n">
        <v>741409.27</v>
      </c>
      <c r="AB20" s="117" t="n">
        <v>879383.45</v>
      </c>
    </row>
    <row r="21" customFormat="false" ht="14.25" hidden="false" customHeight="true" outlineLevel="0" collapsed="false">
      <c r="A21" s="85" t="s">
        <v>152</v>
      </c>
      <c r="B21" s="117"/>
      <c r="C21" s="117"/>
      <c r="D21" s="117"/>
      <c r="E21" s="117" t="n">
        <v>20354.79</v>
      </c>
      <c r="F21" s="117"/>
      <c r="G21" s="117"/>
      <c r="H21" s="117"/>
      <c r="I21" s="117"/>
      <c r="J21" s="117" t="n">
        <v>20673.57</v>
      </c>
      <c r="K21" s="117"/>
      <c r="L21" s="117"/>
      <c r="M21" s="117"/>
      <c r="N21" s="117" t="n">
        <v>41028.36</v>
      </c>
      <c r="P21" s="117"/>
      <c r="R21" s="117" t="n">
        <v>0</v>
      </c>
      <c r="S21" s="117" t="n">
        <v>0</v>
      </c>
      <c r="T21" s="117" t="n">
        <v>20354.79</v>
      </c>
      <c r="U21" s="117" t="n">
        <v>20354.79</v>
      </c>
      <c r="V21" s="117" t="n">
        <v>20354.79</v>
      </c>
      <c r="W21" s="117" t="n">
        <v>20354.79</v>
      </c>
      <c r="X21" s="117" t="n">
        <v>20354.79</v>
      </c>
      <c r="Y21" s="117" t="n">
        <v>41028.36</v>
      </c>
      <c r="Z21" s="117" t="n">
        <v>41028.36</v>
      </c>
      <c r="AA21" s="117" t="n">
        <v>41028.36</v>
      </c>
      <c r="AB21" s="117" t="n">
        <v>41028.36</v>
      </c>
    </row>
    <row r="22" customFormat="false" ht="14.25" hidden="false" customHeight="true" outlineLevel="0" collapsed="false">
      <c r="A22" s="85" t="s">
        <v>153</v>
      </c>
      <c r="B22" s="117"/>
      <c r="C22" s="117" t="n">
        <v>23907.35</v>
      </c>
      <c r="D22" s="117" t="n">
        <v>38588.13</v>
      </c>
      <c r="E22" s="117"/>
      <c r="F22" s="117" t="n">
        <v>-0.48</v>
      </c>
      <c r="G22" s="117" t="n">
        <v>37671.79</v>
      </c>
      <c r="H22" s="117" t="n">
        <v>609.99</v>
      </c>
      <c r="I22" s="117" t="n">
        <v>41467.05</v>
      </c>
      <c r="J22" s="117"/>
      <c r="K22" s="117" t="n">
        <v>20724.08</v>
      </c>
      <c r="L22" s="117"/>
      <c r="M22" s="117"/>
      <c r="N22" s="117" t="n">
        <v>162967.91</v>
      </c>
      <c r="P22" s="117"/>
      <c r="R22" s="117" t="n">
        <v>23907.35</v>
      </c>
      <c r="S22" s="117" t="n">
        <v>62495.48</v>
      </c>
      <c r="T22" s="117" t="n">
        <v>62495.48</v>
      </c>
      <c r="U22" s="117" t="n">
        <v>62495</v>
      </c>
      <c r="V22" s="117" t="n">
        <v>100166.79</v>
      </c>
      <c r="W22" s="117" t="n">
        <v>100776.78</v>
      </c>
      <c r="X22" s="117" t="n">
        <v>142243.83</v>
      </c>
      <c r="Y22" s="117" t="n">
        <v>142243.83</v>
      </c>
      <c r="Z22" s="117" t="n">
        <v>162967.91</v>
      </c>
      <c r="AA22" s="117" t="n">
        <v>162967.91</v>
      </c>
      <c r="AB22" s="117" t="n">
        <v>162967.91</v>
      </c>
    </row>
    <row r="23" customFormat="false" ht="14.25" hidden="false" customHeight="true" outlineLevel="0" collapsed="false">
      <c r="A23" s="85" t="s">
        <v>94</v>
      </c>
      <c r="B23" s="117"/>
      <c r="C23" s="117"/>
      <c r="D23" s="117"/>
      <c r="E23" s="117"/>
      <c r="F23" s="117"/>
      <c r="G23" s="117"/>
      <c r="H23" s="117"/>
      <c r="I23" s="117"/>
      <c r="J23" s="117" t="n">
        <v>-1.37</v>
      </c>
      <c r="K23" s="117"/>
      <c r="L23" s="117"/>
      <c r="M23" s="117" t="n">
        <v>161576.19</v>
      </c>
      <c r="N23" s="117" t="n">
        <v>161574.82</v>
      </c>
      <c r="P23" s="117"/>
      <c r="R23" s="117" t="n">
        <v>0</v>
      </c>
      <c r="S23" s="117" t="n">
        <v>0</v>
      </c>
      <c r="T23" s="117" t="n">
        <v>0</v>
      </c>
      <c r="U23" s="117" t="n">
        <v>0</v>
      </c>
      <c r="V23" s="117" t="n">
        <v>0</v>
      </c>
      <c r="W23" s="117" t="n">
        <v>0</v>
      </c>
      <c r="X23" s="117" t="n">
        <v>0</v>
      </c>
      <c r="Y23" s="117" t="n">
        <v>-1.37</v>
      </c>
      <c r="Z23" s="117" t="n">
        <v>-1.37</v>
      </c>
      <c r="AA23" s="117" t="n">
        <v>-1.37</v>
      </c>
      <c r="AB23" s="117" t="n">
        <v>161574.82</v>
      </c>
    </row>
    <row r="24" customFormat="false" ht="14.25" hidden="false" customHeight="true" outlineLevel="0" collapsed="false">
      <c r="A24" s="85" t="s">
        <v>154</v>
      </c>
      <c r="B24" s="117" t="n">
        <v>15923.68</v>
      </c>
      <c r="C24" s="117"/>
      <c r="D24" s="117" t="n">
        <v>16377.13</v>
      </c>
      <c r="E24" s="117" t="n">
        <v>17556.44</v>
      </c>
      <c r="F24" s="117"/>
      <c r="G24" s="117" t="n">
        <v>14559.92</v>
      </c>
      <c r="H24" s="117" t="n">
        <v>16222.13</v>
      </c>
      <c r="I24" s="117" t="n">
        <v>19066.6</v>
      </c>
      <c r="J24" s="117" t="n">
        <v>11239.03</v>
      </c>
      <c r="K24" s="117"/>
      <c r="L24" s="117" t="n">
        <v>17813.97</v>
      </c>
      <c r="M24" s="117" t="n">
        <v>0</v>
      </c>
      <c r="N24" s="117" t="n">
        <v>128758.9</v>
      </c>
      <c r="P24" s="117" t="n">
        <v>15923.68</v>
      </c>
      <c r="R24" s="117" t="n">
        <v>15923.68</v>
      </c>
      <c r="S24" s="117" t="n">
        <v>32300.81</v>
      </c>
      <c r="T24" s="117" t="n">
        <v>49857.25</v>
      </c>
      <c r="U24" s="117" t="n">
        <v>49857.25</v>
      </c>
      <c r="V24" s="117" t="n">
        <v>64417.17</v>
      </c>
      <c r="W24" s="117" t="n">
        <v>80639.3</v>
      </c>
      <c r="X24" s="117" t="n">
        <v>99705.9</v>
      </c>
      <c r="Y24" s="117" t="n">
        <v>110944.93</v>
      </c>
      <c r="Z24" s="117" t="n">
        <v>110944.93</v>
      </c>
      <c r="AA24" s="117" t="n">
        <v>128758.9</v>
      </c>
      <c r="AB24" s="117" t="n">
        <v>128758.9</v>
      </c>
    </row>
    <row r="25" customFormat="false" ht="14.25" hidden="false" customHeight="true" outlineLevel="0" collapsed="false">
      <c r="A25" s="85" t="s">
        <v>155</v>
      </c>
      <c r="B25" s="117" t="n">
        <v>391520.95</v>
      </c>
      <c r="C25" s="117" t="n">
        <v>377981.61</v>
      </c>
      <c r="D25" s="117" t="n">
        <v>334336.04</v>
      </c>
      <c r="E25" s="117" t="n">
        <v>264520.55</v>
      </c>
      <c r="F25" s="117" t="n">
        <v>318316.8</v>
      </c>
      <c r="G25" s="117" t="n">
        <v>371311.12</v>
      </c>
      <c r="H25" s="117" t="n">
        <v>316462.25</v>
      </c>
      <c r="I25" s="117" t="n">
        <v>273201.5</v>
      </c>
      <c r="J25" s="117" t="n">
        <v>258929.86</v>
      </c>
      <c r="K25" s="117" t="n">
        <v>234970.3</v>
      </c>
      <c r="L25" s="117" t="n">
        <v>169336.07</v>
      </c>
      <c r="M25" s="117" t="n">
        <v>190607.48</v>
      </c>
      <c r="N25" s="117" t="n">
        <v>3501494.53</v>
      </c>
      <c r="P25" s="117" t="n">
        <v>391520.95</v>
      </c>
      <c r="R25" s="117" t="n">
        <v>769502.56</v>
      </c>
      <c r="S25" s="117" t="n">
        <v>1103838.6</v>
      </c>
      <c r="T25" s="117" t="n">
        <v>1368359.15</v>
      </c>
      <c r="U25" s="117" t="n">
        <v>1686675.95</v>
      </c>
      <c r="V25" s="117" t="n">
        <v>2057987.07</v>
      </c>
      <c r="W25" s="117" t="n">
        <v>2374449.32</v>
      </c>
      <c r="X25" s="117" t="n">
        <v>2647650.82</v>
      </c>
      <c r="Y25" s="117" t="n">
        <v>2906580.68</v>
      </c>
      <c r="Z25" s="117" t="n">
        <v>3141550.98</v>
      </c>
      <c r="AA25" s="117" t="n">
        <v>3310887.05</v>
      </c>
      <c r="AB25" s="117" t="n">
        <v>3501494.53</v>
      </c>
    </row>
    <row r="26" customFormat="false" ht="14.25" hidden="false" customHeight="true" outlineLevel="0" collapsed="false">
      <c r="A26" s="85" t="s">
        <v>156</v>
      </c>
      <c r="B26" s="117" t="n">
        <v>50777.76</v>
      </c>
      <c r="C26" s="117"/>
      <c r="D26" s="117"/>
      <c r="E26" s="117"/>
      <c r="F26" s="117"/>
      <c r="G26" s="117" t="n">
        <v>65362.29</v>
      </c>
      <c r="H26" s="117"/>
      <c r="I26" s="117"/>
      <c r="J26" s="117"/>
      <c r="K26" s="117"/>
      <c r="L26" s="117" t="n">
        <v>44572.45</v>
      </c>
      <c r="M26" s="117"/>
      <c r="N26" s="117" t="n">
        <v>160712.5</v>
      </c>
      <c r="P26" s="117" t="n">
        <v>50777.76</v>
      </c>
      <c r="R26" s="117" t="n">
        <v>50777.76</v>
      </c>
      <c r="S26" s="117" t="n">
        <v>50777.76</v>
      </c>
      <c r="T26" s="117" t="n">
        <v>50777.76</v>
      </c>
      <c r="U26" s="117" t="n">
        <v>50777.76</v>
      </c>
      <c r="V26" s="117" t="n">
        <v>116140.05</v>
      </c>
      <c r="W26" s="117" t="n">
        <v>116140.05</v>
      </c>
      <c r="X26" s="117" t="n">
        <v>116140.05</v>
      </c>
      <c r="Y26" s="117" t="n">
        <v>116140.05</v>
      </c>
      <c r="Z26" s="117" t="n">
        <v>116140.05</v>
      </c>
      <c r="AA26" s="117" t="n">
        <v>160712.5</v>
      </c>
      <c r="AB26" s="117" t="n">
        <v>160712.5</v>
      </c>
    </row>
    <row r="27" customFormat="false" ht="14.25" hidden="false" customHeight="true" outlineLevel="0" collapsed="false">
      <c r="A27" s="85" t="s">
        <v>157</v>
      </c>
      <c r="B27" s="117" t="n">
        <v>49158.59</v>
      </c>
      <c r="C27" s="117" t="n">
        <v>73976.74</v>
      </c>
      <c r="D27" s="117" t="n">
        <v>11470.17</v>
      </c>
      <c r="E27" s="117"/>
      <c r="F27" s="117" t="n">
        <v>169505.88</v>
      </c>
      <c r="G27" s="117" t="n">
        <v>14810.7</v>
      </c>
      <c r="H27" s="117" t="n">
        <v>61466.82</v>
      </c>
      <c r="I27" s="117" t="n">
        <v>16110.54</v>
      </c>
      <c r="J27" s="117" t="n">
        <v>16422.81</v>
      </c>
      <c r="K27" s="117" t="n">
        <v>92018.45</v>
      </c>
      <c r="L27" s="117" t="n">
        <v>127411.06</v>
      </c>
      <c r="M27" s="117" t="n">
        <v>1400.99</v>
      </c>
      <c r="N27" s="117" t="n">
        <v>633752.75</v>
      </c>
      <c r="P27" s="117" t="n">
        <v>49158.59</v>
      </c>
      <c r="R27" s="117" t="n">
        <v>123135.33</v>
      </c>
      <c r="S27" s="117" t="n">
        <v>134605.5</v>
      </c>
      <c r="T27" s="117" t="n">
        <v>134605.5</v>
      </c>
      <c r="U27" s="117" t="n">
        <v>304111.38</v>
      </c>
      <c r="V27" s="117" t="n">
        <v>318922.08</v>
      </c>
      <c r="W27" s="117" t="n">
        <v>380388.9</v>
      </c>
      <c r="X27" s="117" t="n">
        <v>396499.44</v>
      </c>
      <c r="Y27" s="117" t="n">
        <v>412922.25</v>
      </c>
      <c r="Z27" s="117" t="n">
        <v>504940.7</v>
      </c>
      <c r="AA27" s="117" t="n">
        <v>632351.76</v>
      </c>
      <c r="AB27" s="117" t="n">
        <v>633752.75</v>
      </c>
    </row>
    <row r="28" customFormat="false" ht="14.25" hidden="false" customHeight="true" outlineLevel="0" collapsed="false">
      <c r="A28" s="85" t="s">
        <v>158</v>
      </c>
      <c r="B28" s="117"/>
      <c r="C28" s="117"/>
      <c r="D28" s="117"/>
      <c r="E28" s="117" t="n">
        <v>49617.59</v>
      </c>
      <c r="F28" s="117"/>
      <c r="G28" s="117"/>
      <c r="H28" s="117"/>
      <c r="I28" s="117"/>
      <c r="J28" s="117" t="n">
        <v>54153.1</v>
      </c>
      <c r="K28" s="117" t="n">
        <v>3920.16</v>
      </c>
      <c r="L28" s="117"/>
      <c r="M28" s="117"/>
      <c r="N28" s="117" t="n">
        <v>107690.85</v>
      </c>
      <c r="P28" s="117"/>
      <c r="R28" s="117" t="n">
        <v>0</v>
      </c>
      <c r="S28" s="117" t="n">
        <v>0</v>
      </c>
      <c r="T28" s="117" t="n">
        <v>49617.59</v>
      </c>
      <c r="U28" s="117" t="n">
        <v>49617.59</v>
      </c>
      <c r="V28" s="117" t="n">
        <v>49617.59</v>
      </c>
      <c r="W28" s="117" t="n">
        <v>49617.59</v>
      </c>
      <c r="X28" s="117" t="n">
        <v>49617.59</v>
      </c>
      <c r="Y28" s="117" t="n">
        <v>103770.69</v>
      </c>
      <c r="Z28" s="117" t="n">
        <v>107690.85</v>
      </c>
      <c r="AA28" s="117" t="n">
        <v>107690.85</v>
      </c>
      <c r="AB28" s="117" t="n">
        <v>107690.85</v>
      </c>
    </row>
    <row r="29" customFormat="false" ht="14.25" hidden="false" customHeight="true" outlineLevel="0" collapsed="false">
      <c r="A29" s="85" t="s">
        <v>159</v>
      </c>
      <c r="B29" s="117" t="n">
        <v>68604.55</v>
      </c>
      <c r="C29" s="117"/>
      <c r="D29" s="117" t="n">
        <v>84607.51</v>
      </c>
      <c r="E29" s="117"/>
      <c r="F29" s="117"/>
      <c r="G29" s="117" t="n">
        <v>83128.56</v>
      </c>
      <c r="H29" s="117" t="n">
        <v>90587.54</v>
      </c>
      <c r="I29" s="117"/>
      <c r="J29" s="117" t="n">
        <v>-4343.69</v>
      </c>
      <c r="K29" s="117" t="n">
        <v>86858.25</v>
      </c>
      <c r="L29" s="117"/>
      <c r="M29" s="117" t="n">
        <v>80366.28</v>
      </c>
      <c r="N29" s="117" t="n">
        <v>489809</v>
      </c>
      <c r="P29" s="117" t="n">
        <v>68604.55</v>
      </c>
      <c r="R29" s="117" t="n">
        <v>68604.55</v>
      </c>
      <c r="S29" s="117" t="n">
        <v>153212.06</v>
      </c>
      <c r="T29" s="117" t="n">
        <v>153212.06</v>
      </c>
      <c r="U29" s="117" t="n">
        <v>153212.06</v>
      </c>
      <c r="V29" s="117" t="n">
        <v>236340.62</v>
      </c>
      <c r="W29" s="117" t="n">
        <v>326928.16</v>
      </c>
      <c r="X29" s="117" t="n">
        <v>326928.16</v>
      </c>
      <c r="Y29" s="117" t="n">
        <v>322584.47</v>
      </c>
      <c r="Z29" s="117" t="n">
        <v>409442.72</v>
      </c>
      <c r="AA29" s="117" t="n">
        <v>409442.72</v>
      </c>
      <c r="AB29" s="117" t="n">
        <v>489809</v>
      </c>
    </row>
    <row r="30" customFormat="false" ht="14.25" hidden="false" customHeight="true" outlineLevel="0" collapsed="false">
      <c r="A30" s="85" t="s">
        <v>160</v>
      </c>
      <c r="B30" s="117"/>
      <c r="C30" s="117" t="n">
        <v>34034.18</v>
      </c>
      <c r="D30" s="117"/>
      <c r="E30" s="117"/>
      <c r="F30" s="117"/>
      <c r="G30" s="117"/>
      <c r="H30" s="117"/>
      <c r="I30" s="117" t="n">
        <v>25140.85</v>
      </c>
      <c r="J30" s="117"/>
      <c r="K30" s="117"/>
      <c r="L30" s="117"/>
      <c r="M30" s="117"/>
      <c r="N30" s="117" t="n">
        <v>59175.03</v>
      </c>
      <c r="P30" s="117"/>
      <c r="R30" s="117" t="n">
        <v>34034.18</v>
      </c>
      <c r="S30" s="117" t="n">
        <v>34034.18</v>
      </c>
      <c r="T30" s="117" t="n">
        <v>34034.18</v>
      </c>
      <c r="U30" s="117" t="n">
        <v>34034.18</v>
      </c>
      <c r="V30" s="117" t="n">
        <v>34034.18</v>
      </c>
      <c r="W30" s="117" t="n">
        <v>34034.18</v>
      </c>
      <c r="X30" s="117" t="n">
        <v>59175.03</v>
      </c>
      <c r="Y30" s="117" t="n">
        <v>59175.03</v>
      </c>
      <c r="Z30" s="117" t="n">
        <v>59175.03</v>
      </c>
      <c r="AA30" s="117" t="n">
        <v>59175.03</v>
      </c>
      <c r="AB30" s="117" t="n">
        <v>59175.03</v>
      </c>
    </row>
    <row r="31" customFormat="false" ht="14.25" hidden="false" customHeight="true" outlineLevel="0" collapsed="false">
      <c r="A31" s="85" t="s">
        <v>84</v>
      </c>
      <c r="B31" s="117"/>
      <c r="C31" s="117"/>
      <c r="D31" s="117"/>
      <c r="E31" s="117"/>
      <c r="F31" s="117"/>
      <c r="G31" s="117" t="n">
        <v>0</v>
      </c>
      <c r="H31" s="117"/>
      <c r="I31" s="117"/>
      <c r="J31" s="117" t="n">
        <v>31722.98</v>
      </c>
      <c r="K31" s="117"/>
      <c r="L31" s="117"/>
      <c r="M31" s="117"/>
      <c r="N31" s="117" t="n">
        <v>31722.98</v>
      </c>
      <c r="P31" s="117"/>
      <c r="R31" s="117" t="n">
        <v>0</v>
      </c>
      <c r="S31" s="117" t="n">
        <v>0</v>
      </c>
      <c r="T31" s="117" t="n">
        <v>0</v>
      </c>
      <c r="U31" s="117" t="n">
        <v>0</v>
      </c>
      <c r="V31" s="117" t="n">
        <v>0</v>
      </c>
      <c r="W31" s="117" t="n">
        <v>0</v>
      </c>
      <c r="X31" s="117" t="n">
        <v>0</v>
      </c>
      <c r="Y31" s="117" t="n">
        <v>31722.98</v>
      </c>
      <c r="Z31" s="117" t="n">
        <v>31722.98</v>
      </c>
      <c r="AA31" s="117" t="n">
        <v>31722.98</v>
      </c>
      <c r="AB31" s="117" t="n">
        <v>31722.98</v>
      </c>
    </row>
    <row r="32" customFormat="false" ht="14.25" hidden="false" customHeight="true" outlineLevel="0" collapsed="false">
      <c r="A32" s="85" t="s">
        <v>161</v>
      </c>
      <c r="B32" s="117" t="n">
        <v>20732.48</v>
      </c>
      <c r="C32" s="117" t="n">
        <v>19941.82</v>
      </c>
      <c r="D32" s="117" t="n">
        <v>-20732.48</v>
      </c>
      <c r="E32" s="117"/>
      <c r="F32" s="117"/>
      <c r="G32" s="117"/>
      <c r="H32" s="117" t="n">
        <v>13897.42</v>
      </c>
      <c r="I32" s="117"/>
      <c r="J32" s="117" t="n">
        <v>1987.54</v>
      </c>
      <c r="K32" s="117"/>
      <c r="L32" s="117"/>
      <c r="M32" s="117"/>
      <c r="N32" s="117" t="n">
        <v>35826.78</v>
      </c>
      <c r="P32" s="117" t="n">
        <v>20732.48</v>
      </c>
      <c r="R32" s="117" t="n">
        <v>40674.3</v>
      </c>
      <c r="S32" s="117" t="n">
        <v>19941.82</v>
      </c>
      <c r="T32" s="117" t="n">
        <v>19941.82</v>
      </c>
      <c r="U32" s="117" t="n">
        <v>19941.82</v>
      </c>
      <c r="V32" s="117" t="n">
        <v>19941.82</v>
      </c>
      <c r="W32" s="117" t="n">
        <v>33839.24</v>
      </c>
      <c r="X32" s="117" t="n">
        <v>33839.24</v>
      </c>
      <c r="Y32" s="117" t="n">
        <v>35826.78</v>
      </c>
      <c r="Z32" s="117" t="n">
        <v>35826.78</v>
      </c>
      <c r="AA32" s="117" t="n">
        <v>35826.78</v>
      </c>
      <c r="AB32" s="117" t="n">
        <v>35826.78</v>
      </c>
    </row>
    <row r="33" customFormat="false" ht="14.25" hidden="false" customHeight="true" outlineLevel="0" collapsed="false">
      <c r="A33" s="85" t="s">
        <v>162</v>
      </c>
      <c r="B33" s="117" t="n">
        <v>249206.12</v>
      </c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 t="n">
        <v>222074.04</v>
      </c>
      <c r="N33" s="117" t="n">
        <v>471280.16</v>
      </c>
      <c r="P33" s="117" t="n">
        <v>249206.12</v>
      </c>
      <c r="R33" s="117" t="n">
        <v>249206.12</v>
      </c>
      <c r="S33" s="117" t="n">
        <v>249206.12</v>
      </c>
      <c r="T33" s="117" t="n">
        <v>249206.12</v>
      </c>
      <c r="U33" s="117" t="n">
        <v>249206.12</v>
      </c>
      <c r="V33" s="117" t="n">
        <v>249206.12</v>
      </c>
      <c r="W33" s="117" t="n">
        <v>249206.12</v>
      </c>
      <c r="X33" s="117" t="n">
        <v>249206.12</v>
      </c>
      <c r="Y33" s="117" t="n">
        <v>249206.12</v>
      </c>
      <c r="Z33" s="117" t="n">
        <v>249206.12</v>
      </c>
      <c r="AA33" s="117" t="n">
        <v>249206.12</v>
      </c>
      <c r="AB33" s="117" t="n">
        <v>471280.16</v>
      </c>
    </row>
    <row r="34" customFormat="false" ht="14.25" hidden="false" customHeight="true" outlineLevel="0" collapsed="false">
      <c r="A34" s="85" t="s">
        <v>163</v>
      </c>
      <c r="B34" s="117"/>
      <c r="C34" s="117"/>
      <c r="D34" s="117" t="n">
        <v>171813.81</v>
      </c>
      <c r="E34" s="117"/>
      <c r="F34" s="117"/>
      <c r="G34" s="117"/>
      <c r="H34" s="117"/>
      <c r="I34" s="117"/>
      <c r="J34" s="117"/>
      <c r="K34" s="117"/>
      <c r="L34" s="117" t="n">
        <v>115405.87</v>
      </c>
      <c r="M34" s="117" t="n">
        <v>83394.96</v>
      </c>
      <c r="N34" s="117" t="n">
        <v>370614.64</v>
      </c>
      <c r="P34" s="117"/>
      <c r="R34" s="117" t="n">
        <v>0</v>
      </c>
      <c r="S34" s="117" t="n">
        <v>171813.81</v>
      </c>
      <c r="T34" s="117" t="n">
        <v>171813.81</v>
      </c>
      <c r="U34" s="117" t="n">
        <v>171813.81</v>
      </c>
      <c r="V34" s="117" t="n">
        <v>171813.81</v>
      </c>
      <c r="W34" s="117" t="n">
        <v>171813.81</v>
      </c>
      <c r="X34" s="117" t="n">
        <v>171813.81</v>
      </c>
      <c r="Y34" s="117" t="n">
        <v>171813.81</v>
      </c>
      <c r="Z34" s="117" t="n">
        <v>171813.81</v>
      </c>
      <c r="AA34" s="117" t="n">
        <v>287219.68</v>
      </c>
      <c r="AB34" s="117" t="n">
        <v>370614.64</v>
      </c>
    </row>
    <row r="35" customFormat="false" ht="14.25" hidden="false" customHeight="true" outlineLevel="0" collapsed="false">
      <c r="A35" s="85" t="s">
        <v>164</v>
      </c>
      <c r="B35" s="117"/>
      <c r="C35" s="117" t="n">
        <v>49906.61</v>
      </c>
      <c r="D35" s="117" t="n">
        <v>25514.68</v>
      </c>
      <c r="E35" s="117" t="n">
        <v>27828.48</v>
      </c>
      <c r="F35" s="117" t="n">
        <v>31259.76</v>
      </c>
      <c r="G35" s="117" t="n">
        <v>37331.12</v>
      </c>
      <c r="H35" s="117" t="n">
        <v>27604.14</v>
      </c>
      <c r="I35" s="117" t="n">
        <v>21966.81</v>
      </c>
      <c r="J35" s="117" t="n">
        <v>64828.58</v>
      </c>
      <c r="K35" s="117"/>
      <c r="L35" s="117" t="n">
        <v>62633.86</v>
      </c>
      <c r="M35" s="117"/>
      <c r="N35" s="117" t="n">
        <v>348874.04</v>
      </c>
      <c r="P35" s="117"/>
      <c r="R35" s="117" t="n">
        <v>49906.61</v>
      </c>
      <c r="S35" s="117" t="n">
        <v>75421.29</v>
      </c>
      <c r="T35" s="117" t="n">
        <v>103249.77</v>
      </c>
      <c r="U35" s="117" t="n">
        <v>134509.53</v>
      </c>
      <c r="V35" s="117" t="n">
        <v>171840.65</v>
      </c>
      <c r="W35" s="117" t="n">
        <v>199444.79</v>
      </c>
      <c r="X35" s="117" t="n">
        <v>221411.6</v>
      </c>
      <c r="Y35" s="117" t="n">
        <v>286240.18</v>
      </c>
      <c r="Z35" s="117" t="n">
        <v>286240.18</v>
      </c>
      <c r="AA35" s="117" t="n">
        <v>348874.04</v>
      </c>
      <c r="AB35" s="117" t="n">
        <v>348874.04</v>
      </c>
    </row>
    <row r="36" customFormat="false" ht="14.25" hidden="false" customHeight="true" outlineLevel="0" collapsed="false">
      <c r="A36" s="85" t="s">
        <v>165</v>
      </c>
      <c r="B36" s="117"/>
      <c r="C36" s="117"/>
      <c r="D36" s="117"/>
      <c r="E36" s="117"/>
      <c r="F36" s="117"/>
      <c r="G36" s="117" t="n">
        <v>22310.96</v>
      </c>
      <c r="H36" s="117"/>
      <c r="I36" s="117"/>
      <c r="J36" s="117"/>
      <c r="K36" s="117"/>
      <c r="L36" s="117"/>
      <c r="M36" s="117"/>
      <c r="N36" s="117" t="n">
        <v>22310.96</v>
      </c>
      <c r="P36" s="117"/>
      <c r="R36" s="117" t="n">
        <v>0</v>
      </c>
      <c r="S36" s="117" t="n">
        <v>0</v>
      </c>
      <c r="T36" s="117" t="n">
        <v>0</v>
      </c>
      <c r="U36" s="117" t="n">
        <v>0</v>
      </c>
      <c r="V36" s="117" t="n">
        <v>22310.96</v>
      </c>
      <c r="W36" s="117" t="n">
        <v>22310.96</v>
      </c>
      <c r="X36" s="117" t="n">
        <v>22310.96</v>
      </c>
      <c r="Y36" s="117" t="n">
        <v>22310.96</v>
      </c>
      <c r="Z36" s="117" t="n">
        <v>22310.96</v>
      </c>
      <c r="AA36" s="117" t="n">
        <v>22310.96</v>
      </c>
      <c r="AB36" s="117" t="n">
        <v>22310.96</v>
      </c>
    </row>
    <row r="37" customFormat="false" ht="14.25" hidden="false" customHeight="true" outlineLevel="0" collapsed="false">
      <c r="A37" s="85" t="s">
        <v>166</v>
      </c>
      <c r="B37" s="117"/>
      <c r="C37" s="117"/>
      <c r="D37" s="117"/>
      <c r="E37" s="117" t="n">
        <v>41531.96</v>
      </c>
      <c r="F37" s="117"/>
      <c r="G37" s="117"/>
      <c r="H37" s="117"/>
      <c r="I37" s="117"/>
      <c r="J37" s="117"/>
      <c r="K37" s="117"/>
      <c r="L37" s="117"/>
      <c r="M37" s="117"/>
      <c r="N37" s="117" t="n">
        <v>41531.96</v>
      </c>
      <c r="P37" s="117"/>
      <c r="R37" s="117" t="n">
        <v>0</v>
      </c>
      <c r="S37" s="117" t="n">
        <v>0</v>
      </c>
      <c r="T37" s="117" t="n">
        <v>41531.96</v>
      </c>
      <c r="U37" s="117" t="n">
        <v>41531.96</v>
      </c>
      <c r="V37" s="117" t="n">
        <v>41531.96</v>
      </c>
      <c r="W37" s="117" t="n">
        <v>41531.96</v>
      </c>
      <c r="X37" s="117" t="n">
        <v>41531.96</v>
      </c>
      <c r="Y37" s="117" t="n">
        <v>41531.96</v>
      </c>
      <c r="Z37" s="117" t="n">
        <v>41531.96</v>
      </c>
      <c r="AA37" s="117" t="n">
        <v>41531.96</v>
      </c>
      <c r="AB37" s="117" t="n">
        <v>41531.96</v>
      </c>
    </row>
    <row r="38" customFormat="false" ht="14.25" hidden="false" customHeight="true" outlineLevel="0" collapsed="false">
      <c r="A38" s="84" t="s">
        <v>132</v>
      </c>
      <c r="B38" s="130" t="n">
        <v>2177659.954</v>
      </c>
      <c r="C38" s="130" t="n">
        <v>2476658.921</v>
      </c>
      <c r="D38" s="130" t="n">
        <v>1993255.126</v>
      </c>
      <c r="E38" s="130" t="n">
        <v>2025782.746</v>
      </c>
      <c r="F38" s="130" t="n">
        <v>2116971.686</v>
      </c>
      <c r="G38" s="130" t="n">
        <v>2019310.258</v>
      </c>
      <c r="H38" s="130" t="n">
        <v>2232491.129</v>
      </c>
      <c r="I38" s="130" t="n">
        <v>1957759.307</v>
      </c>
      <c r="J38" s="130" t="n">
        <v>2021164.683</v>
      </c>
      <c r="K38" s="130" t="n">
        <v>1537249.795</v>
      </c>
      <c r="L38" s="130" t="n">
        <v>1919892.863</v>
      </c>
      <c r="M38" s="130" t="n">
        <v>2534595.466</v>
      </c>
      <c r="N38" s="130" t="n">
        <v>25012791.934</v>
      </c>
      <c r="P38" s="130" t="n">
        <v>2177659.954</v>
      </c>
      <c r="R38" s="130" t="n">
        <v>4654318.875</v>
      </c>
      <c r="S38" s="130" t="n">
        <v>6647574.001</v>
      </c>
      <c r="T38" s="130" t="n">
        <v>8673356.747</v>
      </c>
      <c r="U38" s="130" t="n">
        <v>10790328.433</v>
      </c>
      <c r="V38" s="130" t="n">
        <v>12809638.691</v>
      </c>
      <c r="W38" s="130" t="n">
        <v>15042129.82</v>
      </c>
      <c r="X38" s="130" t="n">
        <v>16999889.127</v>
      </c>
      <c r="Y38" s="130" t="n">
        <v>19021053.81</v>
      </c>
      <c r="Z38" s="130" t="n">
        <v>20558303.605</v>
      </c>
      <c r="AA38" s="130" t="n">
        <v>22478196.468</v>
      </c>
      <c r="AB38" s="130" t="n">
        <v>25012791.934</v>
      </c>
    </row>
    <row r="39" customFormat="false" ht="14.25" hidden="false" customHeight="true" outlineLevel="0" collapsed="false">
      <c r="R39" s="117" t="n">
        <v>0</v>
      </c>
      <c r="S39" s="117" t="n">
        <v>0</v>
      </c>
      <c r="T39" s="117" t="n">
        <v>0</v>
      </c>
      <c r="U39" s="117" t="n">
        <v>0</v>
      </c>
      <c r="V39" s="117" t="n">
        <v>0</v>
      </c>
      <c r="W39" s="117" t="n">
        <v>0</v>
      </c>
      <c r="X39" s="117" t="n">
        <v>0</v>
      </c>
      <c r="Y39" s="117" t="n">
        <v>0</v>
      </c>
      <c r="Z39" s="117" t="n">
        <v>0</v>
      </c>
      <c r="AA39" s="117" t="n">
        <v>0</v>
      </c>
      <c r="AB39" s="117" t="n">
        <v>0</v>
      </c>
    </row>
    <row r="40" customFormat="false" ht="14.25" hidden="false" customHeight="true" outlineLevel="0" collapsed="false">
      <c r="A40" s="24" t="s">
        <v>33</v>
      </c>
      <c r="B40" s="117" t="n">
        <v>452441.08</v>
      </c>
      <c r="C40" s="117" t="n">
        <v>422279.312</v>
      </c>
      <c r="D40" s="117" t="n">
        <v>442108.94</v>
      </c>
      <c r="E40" s="117" t="n">
        <v>473814.796</v>
      </c>
      <c r="F40" s="117" t="n">
        <v>560199.913</v>
      </c>
      <c r="G40" s="117" t="n">
        <v>429114.049</v>
      </c>
      <c r="H40" s="117" t="n">
        <v>502006.141</v>
      </c>
      <c r="I40" s="117" t="n">
        <v>429300.053</v>
      </c>
      <c r="J40" s="117" t="n">
        <v>514559.045</v>
      </c>
      <c r="K40" s="117" t="n">
        <v>403387.075</v>
      </c>
      <c r="L40" s="117" t="n">
        <v>399305.088</v>
      </c>
      <c r="M40" s="117" t="n">
        <v>453775.686</v>
      </c>
      <c r="N40" s="117" t="n">
        <v>5482291.178</v>
      </c>
      <c r="P40" s="117" t="n">
        <v>452441.08</v>
      </c>
      <c r="R40" s="117" t="n">
        <v>874720.392</v>
      </c>
      <c r="S40" s="117" t="n">
        <v>1316829.332</v>
      </c>
      <c r="T40" s="117" t="n">
        <v>1790644.128</v>
      </c>
      <c r="U40" s="117" t="n">
        <v>2350844.041</v>
      </c>
      <c r="V40" s="117" t="n">
        <v>2779958.09</v>
      </c>
      <c r="W40" s="117" t="n">
        <v>3281964.231</v>
      </c>
      <c r="X40" s="117" t="n">
        <v>3711264.284</v>
      </c>
      <c r="Y40" s="117" t="n">
        <v>4225823.329</v>
      </c>
      <c r="Z40" s="117" t="n">
        <v>4629210.404</v>
      </c>
      <c r="AA40" s="117" t="n">
        <v>5028515.492</v>
      </c>
      <c r="AB40" s="117" t="n">
        <v>5482291.178</v>
      </c>
    </row>
    <row r="41" customFormat="false" ht="14.25" hidden="false" customHeight="true" outlineLevel="0" collapsed="false">
      <c r="A41" s="24" t="s">
        <v>34</v>
      </c>
      <c r="B41" s="117" t="n">
        <v>63301.42</v>
      </c>
      <c r="C41" s="117" t="n">
        <v>82457.193</v>
      </c>
      <c r="D41" s="117" t="n">
        <v>98496.489</v>
      </c>
      <c r="E41" s="117" t="n">
        <v>100846.291</v>
      </c>
      <c r="F41" s="117" t="n">
        <v>104005.538</v>
      </c>
      <c r="G41" s="117" t="n">
        <v>94683.953</v>
      </c>
      <c r="H41" s="117" t="n">
        <v>95719.442</v>
      </c>
      <c r="I41" s="117" t="n">
        <v>96254.067</v>
      </c>
      <c r="J41" s="117" t="n">
        <v>104489.476</v>
      </c>
      <c r="K41" s="117" t="n">
        <v>80742.389</v>
      </c>
      <c r="L41" s="117" t="n">
        <v>78931.671</v>
      </c>
      <c r="M41" s="117" t="n">
        <v>89875.877</v>
      </c>
      <c r="N41" s="117" t="n">
        <v>1089803.806</v>
      </c>
      <c r="P41" s="117" t="n">
        <v>63301.42</v>
      </c>
      <c r="R41" s="117" t="n">
        <v>145758.613</v>
      </c>
      <c r="S41" s="117" t="n">
        <v>244255.102</v>
      </c>
      <c r="T41" s="117" t="n">
        <v>345101.393</v>
      </c>
      <c r="U41" s="117" t="n">
        <v>449106.931</v>
      </c>
      <c r="V41" s="117" t="n">
        <v>543790.884</v>
      </c>
      <c r="W41" s="117" t="n">
        <v>639510.326</v>
      </c>
      <c r="X41" s="117" t="n">
        <v>735764.393</v>
      </c>
      <c r="Y41" s="117" t="n">
        <v>840253.869</v>
      </c>
      <c r="Z41" s="117" t="n">
        <v>920996.258</v>
      </c>
      <c r="AA41" s="117" t="n">
        <v>999927.929</v>
      </c>
      <c r="AB41" s="117" t="n">
        <v>1089803.806</v>
      </c>
    </row>
    <row r="42" customFormat="false" ht="14.25" hidden="false" customHeight="true" outlineLevel="0" collapsed="false">
      <c r="A42" s="24" t="s">
        <v>35</v>
      </c>
      <c r="B42" s="117" t="n">
        <v>164714.584</v>
      </c>
      <c r="C42" s="117" t="n">
        <v>163451.946</v>
      </c>
      <c r="D42" s="117" t="n">
        <v>155174.617</v>
      </c>
      <c r="E42" s="117" t="n">
        <v>132554.789</v>
      </c>
      <c r="F42" s="117" t="n">
        <v>211638.805</v>
      </c>
      <c r="G42" s="117" t="n">
        <v>174598.676</v>
      </c>
      <c r="H42" s="117" t="n">
        <v>157377.696</v>
      </c>
      <c r="I42" s="117" t="n">
        <v>112372.337</v>
      </c>
      <c r="J42" s="117" t="n">
        <v>141046.592</v>
      </c>
      <c r="K42" s="117" t="n">
        <v>128887.331</v>
      </c>
      <c r="L42" s="117" t="n">
        <v>144720.944</v>
      </c>
      <c r="M42" s="117" t="n">
        <v>149421.213</v>
      </c>
      <c r="N42" s="117" t="n">
        <v>1835959.53</v>
      </c>
      <c r="P42" s="117" t="n">
        <v>164714.584</v>
      </c>
      <c r="R42" s="117" t="n">
        <v>328166.53</v>
      </c>
      <c r="S42" s="117" t="n">
        <v>483341.147</v>
      </c>
      <c r="T42" s="117" t="n">
        <v>615895.936</v>
      </c>
      <c r="U42" s="117" t="n">
        <v>827534.741</v>
      </c>
      <c r="V42" s="117" t="n">
        <v>1002133.417</v>
      </c>
      <c r="W42" s="117" t="n">
        <v>1159511.113</v>
      </c>
      <c r="X42" s="117" t="n">
        <v>1271883.45</v>
      </c>
      <c r="Y42" s="117" t="n">
        <v>1412930.042</v>
      </c>
      <c r="Z42" s="117" t="n">
        <v>1541817.373</v>
      </c>
      <c r="AA42" s="117" t="n">
        <v>1686538.317</v>
      </c>
      <c r="AB42" s="117" t="n">
        <v>1835959.53</v>
      </c>
    </row>
    <row r="43" customFormat="false" ht="14.25" hidden="false" customHeight="true" outlineLevel="0" collapsed="false">
      <c r="B43" s="131" t="n">
        <v>680457.084</v>
      </c>
      <c r="C43" s="131" t="n">
        <v>668188.451</v>
      </c>
      <c r="D43" s="131" t="n">
        <v>695780.046</v>
      </c>
      <c r="E43" s="131" t="n">
        <v>707215.876</v>
      </c>
      <c r="F43" s="131" t="n">
        <v>875844.256</v>
      </c>
      <c r="G43" s="131" t="n">
        <v>698396.678</v>
      </c>
      <c r="H43" s="131" t="n">
        <v>755103.279</v>
      </c>
      <c r="I43" s="131" t="n">
        <v>637926.457</v>
      </c>
      <c r="J43" s="131" t="n">
        <v>760095.113</v>
      </c>
      <c r="K43" s="131" t="n">
        <v>613016.795</v>
      </c>
      <c r="L43" s="131" t="n">
        <v>622957.703</v>
      </c>
      <c r="M43" s="131" t="n">
        <v>693072.776</v>
      </c>
      <c r="N43" s="131" t="n">
        <v>8408054.514</v>
      </c>
      <c r="P43" s="131" t="n">
        <v>680457.084</v>
      </c>
      <c r="R43" s="131" t="n">
        <v>1348645.535</v>
      </c>
      <c r="S43" s="131" t="n">
        <v>2044425.581</v>
      </c>
      <c r="T43" s="131" t="n">
        <v>2751641.457</v>
      </c>
      <c r="U43" s="131" t="n">
        <v>3627485.713</v>
      </c>
      <c r="V43" s="131" t="n">
        <v>4325882.391</v>
      </c>
      <c r="W43" s="131" t="n">
        <v>5080985.67</v>
      </c>
      <c r="X43" s="131" t="n">
        <v>5718912.127</v>
      </c>
      <c r="Y43" s="131" t="n">
        <v>6479007.24</v>
      </c>
      <c r="Z43" s="131" t="n">
        <v>7092024.035</v>
      </c>
      <c r="AA43" s="131" t="n">
        <v>7714981.738</v>
      </c>
      <c r="AB43" s="131" t="n">
        <v>8408054.514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sheetData>
    <row r="1" customFormat="false" ht="15" hidden="false" customHeight="true" outlineLevel="0" collapsed="false">
      <c r="A1" s="91" t="s">
        <v>2388</v>
      </c>
      <c r="AN1" s="273" t="s">
        <v>2389</v>
      </c>
      <c r="AO1" s="273" t="s">
        <v>2390</v>
      </c>
      <c r="AP1" s="273" t="s">
        <v>2391</v>
      </c>
      <c r="AQ1" s="273" t="s">
        <v>2392</v>
      </c>
      <c r="AR1" s="273" t="s">
        <v>2393</v>
      </c>
      <c r="AS1" s="273" t="s">
        <v>2394</v>
      </c>
    </row>
    <row r="2" customFormat="false" ht="15" hidden="false" customHeight="true" outlineLevel="0" collapsed="false">
      <c r="A2" s="91" t="s">
        <v>106</v>
      </c>
      <c r="B2" s="91" t="s">
        <v>107</v>
      </c>
      <c r="C2" s="273" t="s">
        <v>2395</v>
      </c>
      <c r="D2" s="273" t="s">
        <v>2396</v>
      </c>
      <c r="E2" s="273" t="s">
        <v>2397</v>
      </c>
      <c r="F2" s="273" t="s">
        <v>2398</v>
      </c>
      <c r="G2" s="273" t="s">
        <v>2399</v>
      </c>
      <c r="H2" s="273" t="s">
        <v>2400</v>
      </c>
      <c r="I2" s="273" t="s">
        <v>2401</v>
      </c>
      <c r="J2" s="273" t="s">
        <v>2402</v>
      </c>
      <c r="K2" s="273" t="s">
        <v>2403</v>
      </c>
      <c r="L2" s="273" t="s">
        <v>2404</v>
      </c>
      <c r="M2" s="273" t="s">
        <v>2405</v>
      </c>
      <c r="N2" s="273" t="s">
        <v>2406</v>
      </c>
      <c r="O2" s="273" t="s">
        <v>2407</v>
      </c>
      <c r="P2" s="273" t="s">
        <v>2408</v>
      </c>
      <c r="Q2" s="273" t="s">
        <v>2409</v>
      </c>
      <c r="R2" s="273" t="s">
        <v>2410</v>
      </c>
      <c r="S2" s="273" t="s">
        <v>2411</v>
      </c>
      <c r="T2" s="273" t="s">
        <v>2412</v>
      </c>
      <c r="U2" s="273" t="s">
        <v>2413</v>
      </c>
      <c r="V2" s="273" t="s">
        <v>2414</v>
      </c>
      <c r="W2" s="273" t="s">
        <v>2415</v>
      </c>
      <c r="X2" s="273" t="s">
        <v>2416</v>
      </c>
      <c r="Y2" s="273" t="s">
        <v>2417</v>
      </c>
      <c r="Z2" s="273" t="s">
        <v>2418</v>
      </c>
      <c r="AA2" s="273" t="s">
        <v>2419</v>
      </c>
      <c r="AB2" s="273" t="s">
        <v>2420</v>
      </c>
      <c r="AC2" s="273" t="s">
        <v>2421</v>
      </c>
      <c r="AD2" s="273" t="s">
        <v>2422</v>
      </c>
      <c r="AE2" s="273" t="s">
        <v>2423</v>
      </c>
      <c r="AF2" s="273" t="s">
        <v>2424</v>
      </c>
      <c r="AG2" s="273" t="s">
        <v>2425</v>
      </c>
      <c r="AH2" s="273" t="s">
        <v>2426</v>
      </c>
      <c r="AI2" s="273" t="s">
        <v>2427</v>
      </c>
      <c r="AJ2" s="273" t="s">
        <v>2428</v>
      </c>
      <c r="AK2" s="273" t="s">
        <v>2429</v>
      </c>
      <c r="AL2" s="273" t="s">
        <v>2430</v>
      </c>
      <c r="AN2" s="93" t="n">
        <v>1</v>
      </c>
      <c r="AO2" s="93" t="s">
        <v>4</v>
      </c>
      <c r="AP2" s="93" t="n">
        <v>19</v>
      </c>
      <c r="AQ2" s="93"/>
      <c r="AR2" s="93" t="n">
        <v>5</v>
      </c>
      <c r="AS2" s="93"/>
    </row>
    <row r="3" customFormat="false" ht="15" hidden="false" customHeight="true" outlineLevel="0" collapsed="false">
      <c r="A3" s="93" t="s">
        <v>2431</v>
      </c>
      <c r="C3" s="93" t="n">
        <v>1</v>
      </c>
      <c r="D3" s="93" t="n">
        <v>2</v>
      </c>
      <c r="E3" s="93" t="n">
        <v>3</v>
      </c>
      <c r="F3" s="93" t="n">
        <v>4</v>
      </c>
      <c r="G3" s="93" t="n">
        <v>5</v>
      </c>
      <c r="H3" s="93" t="n">
        <v>6</v>
      </c>
      <c r="I3" s="93" t="n">
        <v>7</v>
      </c>
      <c r="J3" s="93" t="n">
        <v>8</v>
      </c>
      <c r="K3" s="93" t="n">
        <v>9</v>
      </c>
      <c r="L3" s="93" t="n">
        <v>10</v>
      </c>
      <c r="M3" s="93" t="n">
        <v>11</v>
      </c>
      <c r="N3" s="93" t="n">
        <v>12</v>
      </c>
      <c r="O3" s="93" t="n">
        <v>1</v>
      </c>
      <c r="P3" s="93" t="n">
        <v>2</v>
      </c>
      <c r="Q3" s="93" t="n">
        <v>3</v>
      </c>
      <c r="R3" s="93" t="n">
        <v>4</v>
      </c>
      <c r="S3" s="93" t="n">
        <v>5</v>
      </c>
      <c r="T3" s="93" t="n">
        <v>6</v>
      </c>
      <c r="U3" s="93" t="n">
        <v>7</v>
      </c>
      <c r="V3" s="93" t="n">
        <v>8</v>
      </c>
      <c r="W3" s="93" t="n">
        <v>9</v>
      </c>
      <c r="X3" s="93" t="n">
        <v>10</v>
      </c>
      <c r="Y3" s="93" t="n">
        <v>11</v>
      </c>
      <c r="Z3" s="93" t="n">
        <v>12</v>
      </c>
      <c r="AA3" s="93" t="n">
        <v>1</v>
      </c>
      <c r="AB3" s="93" t="n">
        <v>2</v>
      </c>
      <c r="AC3" s="93" t="n">
        <v>3</v>
      </c>
      <c r="AD3" s="93" t="n">
        <v>4</v>
      </c>
      <c r="AE3" s="93" t="n">
        <v>5</v>
      </c>
      <c r="AF3" s="93" t="n">
        <v>6</v>
      </c>
      <c r="AG3" s="93" t="n">
        <v>7</v>
      </c>
      <c r="AH3" s="93" t="n">
        <v>8</v>
      </c>
      <c r="AI3" s="93" t="n">
        <v>9</v>
      </c>
      <c r="AJ3" s="93" t="n">
        <v>10</v>
      </c>
      <c r="AK3" s="93" t="n">
        <v>11</v>
      </c>
      <c r="AL3" s="93" t="n">
        <v>12</v>
      </c>
      <c r="AN3" s="93" t="n">
        <v>2</v>
      </c>
      <c r="AO3" s="93" t="s">
        <v>5</v>
      </c>
      <c r="AP3" s="93" t="n">
        <v>21</v>
      </c>
      <c r="AQ3" s="93"/>
      <c r="AR3" s="93" t="n">
        <v>6</v>
      </c>
      <c r="AS3" s="93"/>
    </row>
    <row r="4" customFormat="false" ht="15" hidden="false" customHeight="true" outlineLevel="0" collapsed="false">
      <c r="A4" s="93" t="s">
        <v>2432</v>
      </c>
      <c r="C4" s="93" t="n">
        <v>1</v>
      </c>
      <c r="D4" s="93" t="n">
        <v>1</v>
      </c>
      <c r="E4" s="93" t="n">
        <v>1</v>
      </c>
      <c r="F4" s="93" t="n">
        <v>2</v>
      </c>
      <c r="G4" s="93" t="n">
        <v>2</v>
      </c>
      <c r="H4" s="93" t="n">
        <v>2</v>
      </c>
      <c r="I4" s="93" t="n">
        <v>3</v>
      </c>
      <c r="J4" s="93" t="n">
        <v>3</v>
      </c>
      <c r="K4" s="93" t="n">
        <v>3</v>
      </c>
      <c r="L4" s="93" t="n">
        <v>4</v>
      </c>
      <c r="M4" s="93" t="n">
        <v>4</v>
      </c>
      <c r="N4" s="93" t="n">
        <v>4</v>
      </c>
      <c r="O4" s="93" t="n">
        <v>1</v>
      </c>
      <c r="P4" s="93" t="n">
        <v>1</v>
      </c>
      <c r="Q4" s="93" t="n">
        <v>1</v>
      </c>
      <c r="R4" s="93" t="n">
        <v>2</v>
      </c>
      <c r="S4" s="93" t="n">
        <v>2</v>
      </c>
      <c r="T4" s="93" t="n">
        <v>2</v>
      </c>
      <c r="U4" s="93" t="n">
        <v>3</v>
      </c>
      <c r="V4" s="93" t="n">
        <v>3</v>
      </c>
      <c r="W4" s="93" t="n">
        <v>3</v>
      </c>
      <c r="X4" s="93" t="n">
        <v>4</v>
      </c>
      <c r="Y4" s="93" t="n">
        <v>4</v>
      </c>
      <c r="Z4" s="93" t="n">
        <v>4</v>
      </c>
      <c r="AA4" s="93" t="n">
        <v>1</v>
      </c>
      <c r="AB4" s="93" t="n">
        <v>1</v>
      </c>
      <c r="AC4" s="93" t="n">
        <v>1</v>
      </c>
      <c r="AD4" s="93" t="n">
        <v>2</v>
      </c>
      <c r="AE4" s="93" t="n">
        <v>2</v>
      </c>
      <c r="AF4" s="93" t="n">
        <v>2</v>
      </c>
      <c r="AG4" s="93" t="n">
        <v>3</v>
      </c>
      <c r="AH4" s="93" t="n">
        <v>3</v>
      </c>
      <c r="AI4" s="93" t="n">
        <v>3</v>
      </c>
      <c r="AJ4" s="93" t="n">
        <v>4</v>
      </c>
      <c r="AK4" s="93" t="n">
        <v>4</v>
      </c>
      <c r="AL4" s="93" t="n">
        <v>4</v>
      </c>
      <c r="AN4" s="93" t="n">
        <v>3</v>
      </c>
      <c r="AO4" s="93" t="s">
        <v>6</v>
      </c>
      <c r="AP4" s="93" t="n">
        <v>22</v>
      </c>
      <c r="AQ4" s="93"/>
      <c r="AR4" s="93" t="n">
        <v>7</v>
      </c>
      <c r="AS4" s="93"/>
    </row>
    <row r="5" customFormat="false" ht="15" hidden="false" customHeight="true" outlineLevel="0" collapsed="false">
      <c r="A5" s="93" t="str">
        <f aca="false">ינואר!C3</f>
        <v>סופר פארם לייף</v>
      </c>
      <c r="B5" s="93" t="s">
        <v>2433</v>
      </c>
      <c r="C5" s="274" t="n">
        <f aca="false">ינואר!E3</f>
        <v>-594.08</v>
      </c>
      <c r="D5" s="274" t="n">
        <f aca="false">פברואר!E3</f>
        <v>347582.74</v>
      </c>
      <c r="E5" s="274" t="n">
        <f aca="false">מרץ!E3</f>
        <v>0</v>
      </c>
      <c r="F5" s="274" t="n">
        <f aca="false">אפריל!E3</f>
        <v>263037.5</v>
      </c>
      <c r="G5" s="274" t="n">
        <f aca="false">מאי!E3</f>
        <v>155618.13</v>
      </c>
      <c r="H5" s="274" t="n">
        <f aca="false">יוני!E3</f>
        <v>144633.67</v>
      </c>
      <c r="I5" s="274" t="n">
        <f aca="false">יולי!F3</f>
        <v>214594.9</v>
      </c>
      <c r="J5" s="274" t="n">
        <f aca="false">אוגוסט!F3</f>
        <v>301190.6</v>
      </c>
      <c r="K5" s="274" t="n">
        <f aca="false">ספטמבר!F3</f>
        <v>124776.4</v>
      </c>
      <c r="L5" s="274" t="n">
        <f aca="false">אוקטובר!F3</f>
        <v>0</v>
      </c>
      <c r="M5" s="274" t="n">
        <f aca="false">נובמבר!F3</f>
        <v>183470.34</v>
      </c>
      <c r="N5" s="274" t="n">
        <f aca="false">דצמבר!F3</f>
        <v>318421.6</v>
      </c>
      <c r="O5" s="274" t="n">
        <f aca="false">ינואר!F3</f>
        <v>58427.8</v>
      </c>
      <c r="P5" s="274" t="n">
        <f aca="false">פברואר!F3</f>
        <v>233209.9</v>
      </c>
      <c r="Q5" s="274" t="n">
        <f aca="false">מרץ!F3</f>
        <v>66608.1</v>
      </c>
      <c r="R5" s="274" t="n">
        <f aca="false">אפריל!F3</f>
        <v>336937.6</v>
      </c>
      <c r="S5" s="274" t="n">
        <f aca="false">מאי!F3</f>
        <v>131634</v>
      </c>
      <c r="T5" s="274" t="n">
        <f aca="false">יוני!F3</f>
        <v>0</v>
      </c>
      <c r="U5" s="274" t="n">
        <f aca="false">יולי!G3</f>
        <v>83088</v>
      </c>
      <c r="V5" s="274" t="n">
        <f aca="false">אוגוסט!G3</f>
        <v>243929.1</v>
      </c>
      <c r="W5" s="274" t="n">
        <f aca="false">ספטמבר!G3</f>
        <v>157587.19</v>
      </c>
      <c r="X5" s="274" t="n">
        <f aca="false">אוקטובר!G3</f>
        <v>33955.2</v>
      </c>
      <c r="Y5" s="274" t="n">
        <f aca="false">נובמבר!G3</f>
        <v>265660.9</v>
      </c>
      <c r="Z5" s="274" t="n">
        <f aca="false">דצמבר!G3</f>
        <v>97619.06</v>
      </c>
      <c r="AA5" s="274" t="n">
        <f aca="false">ינואר!G3</f>
        <v>63104</v>
      </c>
      <c r="AB5" s="274" t="n">
        <f aca="false">פברואר!G3</f>
        <v>364352.2</v>
      </c>
      <c r="AC5" s="274" t="n">
        <f aca="false">מרץ!G3</f>
        <v>123280.14</v>
      </c>
      <c r="AD5" s="274" t="n">
        <f aca="false">אפריל!G3</f>
        <v>124575.26</v>
      </c>
      <c r="AE5" s="274" t="n">
        <f aca="false">מאי!G3</f>
        <v>0</v>
      </c>
      <c r="AF5" s="274" t="n">
        <f aca="false">יוני!G3</f>
        <v>65131.7</v>
      </c>
      <c r="AG5" s="274" t="n">
        <f aca="false">יולי!H3</f>
        <v>73969</v>
      </c>
      <c r="AH5" s="274" t="n">
        <f aca="false">אוגוסט!H3</f>
        <v>299421.55</v>
      </c>
      <c r="AI5" s="274" t="n">
        <f aca="false">ספטמבר!H3</f>
        <v>193941.5</v>
      </c>
      <c r="AJ5" s="274" t="n">
        <f aca="false">אוקטובר!H3</f>
        <v>20995.2</v>
      </c>
      <c r="AK5" s="274" t="n">
        <f aca="false">נובמבר!H3</f>
        <v>0</v>
      </c>
      <c r="AL5" s="274" t="n">
        <f aca="false">דצמבר!H3</f>
        <v>0</v>
      </c>
      <c r="AN5" s="93" t="n">
        <v>4</v>
      </c>
      <c r="AO5" s="93" t="s">
        <v>7</v>
      </c>
      <c r="AP5" s="93" t="n">
        <v>23</v>
      </c>
      <c r="AQ5" s="93"/>
      <c r="AR5" s="93" t="n">
        <v>8</v>
      </c>
      <c r="AS5" s="93"/>
    </row>
    <row r="6" customFormat="false" ht="15" hidden="false" customHeight="true" outlineLevel="0" collapsed="false">
      <c r="A6" s="93" t="str">
        <f aca="false">ינואר!C4</f>
        <v>סופרפארם</v>
      </c>
      <c r="B6" s="93" t="s">
        <v>2433</v>
      </c>
      <c r="C6" s="274" t="n">
        <f aca="false">ינואר!E4</f>
        <v>452441.08</v>
      </c>
      <c r="D6" s="274" t="n">
        <f aca="false">פברואר!E4</f>
        <v>422279.312</v>
      </c>
      <c r="E6" s="274" t="n">
        <f aca="false">מרץ!E4</f>
        <v>442108.94</v>
      </c>
      <c r="F6" s="274" t="n">
        <f aca="false">אפריל!E4</f>
        <v>473814.796</v>
      </c>
      <c r="G6" s="274" t="n">
        <f aca="false">מאי!E4</f>
        <v>560199.913</v>
      </c>
      <c r="H6" s="274" t="n">
        <f aca="false">יוני!E4</f>
        <v>429114.049</v>
      </c>
      <c r="I6" s="274" t="n">
        <f aca="false">יולי!F4</f>
        <v>502006.141</v>
      </c>
      <c r="J6" s="274" t="n">
        <f aca="false">אוגוסט!F4</f>
        <v>429300.053</v>
      </c>
      <c r="K6" s="274" t="n">
        <f aca="false">ספטמבר!F4</f>
        <v>514559.045</v>
      </c>
      <c r="L6" s="274" t="n">
        <f aca="false">אוקטובר!F4</f>
        <v>403387.075</v>
      </c>
      <c r="M6" s="274" t="n">
        <f aca="false">נובמבר!F4</f>
        <v>399305.088</v>
      </c>
      <c r="N6" s="274" t="n">
        <f aca="false">דצמבר!F4</f>
        <v>453775.686</v>
      </c>
      <c r="O6" s="274" t="n">
        <f aca="false">ינואר!F4</f>
        <v>670882.199700005</v>
      </c>
      <c r="P6" s="274" t="n">
        <f aca="false">פברואר!F4</f>
        <v>406825.346200003</v>
      </c>
      <c r="Q6" s="274" t="n">
        <f aca="false">מרץ!F4</f>
        <v>437918.572000002</v>
      </c>
      <c r="R6" s="274" t="n">
        <f aca="false">אפריל!F4</f>
        <v>549545.830000007</v>
      </c>
      <c r="S6" s="274" t="n">
        <f aca="false">מאי!F4</f>
        <v>729180.694700011</v>
      </c>
      <c r="T6" s="274" t="n">
        <f aca="false">יוני!F4</f>
        <v>452295.980000005</v>
      </c>
      <c r="U6" s="274" t="n">
        <f aca="false">יולי!G4</f>
        <v>486312.520000005</v>
      </c>
      <c r="V6" s="274" t="n">
        <f aca="false">אוגוסט!G4</f>
        <v>495074.58</v>
      </c>
      <c r="W6" s="274" t="n">
        <f aca="false">ספטמבר!G4</f>
        <v>465794.42</v>
      </c>
      <c r="X6" s="274" t="n">
        <f aca="false">אוקטובר!G4</f>
        <v>417469.78</v>
      </c>
      <c r="Y6" s="274" t="n">
        <f aca="false">נובמבר!G4</f>
        <v>507426.01</v>
      </c>
      <c r="Z6" s="274" t="n">
        <f aca="false">דצמבר!G4</f>
        <v>453051.69</v>
      </c>
      <c r="AA6" s="274" t="n">
        <f aca="false">ינואר!G4</f>
        <v>423956.26</v>
      </c>
      <c r="AB6" s="274" t="n">
        <f aca="false">פברואר!G4</f>
        <v>469684.033</v>
      </c>
      <c r="AC6" s="274" t="n">
        <f aca="false">מרץ!G4</f>
        <v>418342.47</v>
      </c>
      <c r="AD6" s="274" t="n">
        <f aca="false">אפריל!G4</f>
        <v>429718.198</v>
      </c>
      <c r="AE6" s="274" t="n">
        <f aca="false">מאי!G4</f>
        <v>498482.53</v>
      </c>
      <c r="AF6" s="274" t="n">
        <f aca="false">יוני!G4</f>
        <v>534754.402</v>
      </c>
      <c r="AG6" s="274" t="n">
        <f aca="false">יולי!H4</f>
        <v>453851.216</v>
      </c>
      <c r="AH6" s="274" t="n">
        <f aca="false">אוגוסט!H4</f>
        <v>588822.689</v>
      </c>
      <c r="AI6" s="274" t="n">
        <f aca="false">ספטמבר!H4</f>
        <v>413784.462</v>
      </c>
      <c r="AJ6" s="274" t="n">
        <f aca="false">אוקטובר!H4</f>
        <v>0</v>
      </c>
      <c r="AK6" s="274" t="n">
        <f aca="false">נובמבר!H4</f>
        <v>0</v>
      </c>
      <c r="AL6" s="274" t="n">
        <f aca="false">דצמבר!H4</f>
        <v>0</v>
      </c>
      <c r="AN6" s="93" t="n">
        <v>5</v>
      </c>
      <c r="AO6" s="93" t="s">
        <v>8</v>
      </c>
      <c r="AP6" s="93" t="n">
        <v>24</v>
      </c>
      <c r="AQ6" s="93"/>
      <c r="AR6" s="93" t="n">
        <v>9</v>
      </c>
      <c r="AS6" s="93"/>
    </row>
    <row r="7" customFormat="false" ht="15" hidden="false" customHeight="true" outlineLevel="0" collapsed="false">
      <c r="A7" s="93" t="str">
        <f aca="false">ינואר!C5</f>
        <v>BE</v>
      </c>
      <c r="B7" s="93" t="s">
        <v>2433</v>
      </c>
      <c r="C7" s="274" t="n">
        <f aca="false">ינואר!E5</f>
        <v>63301.42</v>
      </c>
      <c r="D7" s="274" t="n">
        <f aca="false">פברואר!E5</f>
        <v>82457.193</v>
      </c>
      <c r="E7" s="274" t="n">
        <f aca="false">מרץ!E5</f>
        <v>98496.489</v>
      </c>
      <c r="F7" s="274" t="n">
        <f aca="false">אפריל!E5</f>
        <v>100846.291</v>
      </c>
      <c r="G7" s="274" t="n">
        <f aca="false">מאי!E5</f>
        <v>104005.538</v>
      </c>
      <c r="H7" s="274" t="n">
        <f aca="false">יוני!E5</f>
        <v>94683.953</v>
      </c>
      <c r="I7" s="274" t="n">
        <f aca="false">יולי!F5</f>
        <v>95719.442</v>
      </c>
      <c r="J7" s="274" t="n">
        <f aca="false">אוגוסט!F5</f>
        <v>96254.067</v>
      </c>
      <c r="K7" s="274" t="n">
        <f aca="false">ספטמבר!F5</f>
        <v>104489.476</v>
      </c>
      <c r="L7" s="274" t="n">
        <f aca="false">אוקטובר!F5</f>
        <v>80742.389</v>
      </c>
      <c r="M7" s="274" t="n">
        <f aca="false">נובמבר!F5</f>
        <v>78931.671</v>
      </c>
      <c r="N7" s="274" t="n">
        <f aca="false">דצמבר!F5</f>
        <v>89875.877</v>
      </c>
      <c r="O7" s="274" t="n">
        <f aca="false">ינואר!F5</f>
        <v>54489.89</v>
      </c>
      <c r="P7" s="274" t="n">
        <f aca="false">פברואר!F5</f>
        <v>65962.26</v>
      </c>
      <c r="Q7" s="274" t="n">
        <f aca="false">מרץ!F5</f>
        <v>58257.29</v>
      </c>
      <c r="R7" s="274" t="n">
        <f aca="false">אפריל!F5</f>
        <v>75168</v>
      </c>
      <c r="S7" s="274" t="n">
        <f aca="false">מאי!F5</f>
        <v>80577.77</v>
      </c>
      <c r="T7" s="274" t="n">
        <f aca="false">יוני!F5</f>
        <v>87191.65</v>
      </c>
      <c r="U7" s="274" t="n">
        <f aca="false">יולי!G5</f>
        <v>59921.68</v>
      </c>
      <c r="V7" s="274" t="n">
        <f aca="false">אוגוסט!G5</f>
        <v>73631.74</v>
      </c>
      <c r="W7" s="274" t="n">
        <f aca="false">ספטמבר!G5</f>
        <v>64918.49</v>
      </c>
      <c r="X7" s="274" t="n">
        <f aca="false">אוקטובר!G5</f>
        <v>61390.42</v>
      </c>
      <c r="Y7" s="274" t="n">
        <f aca="false">נובמבר!G5</f>
        <v>85930.39</v>
      </c>
      <c r="Z7" s="274" t="n">
        <f aca="false">דצמבר!G5</f>
        <v>61250.28</v>
      </c>
      <c r="AA7" s="274" t="n">
        <f aca="false">ינואר!G5</f>
        <v>67635.75</v>
      </c>
      <c r="AB7" s="274" t="n">
        <f aca="false">פברואר!G5</f>
        <v>68397.329</v>
      </c>
      <c r="AC7" s="274" t="n">
        <f aca="false">מרץ!G5</f>
        <v>59847.151</v>
      </c>
      <c r="AD7" s="274" t="n">
        <f aca="false">אפריל!G5</f>
        <v>83501.964</v>
      </c>
      <c r="AE7" s="274" t="n">
        <f aca="false">מאי!G5</f>
        <v>81328.338</v>
      </c>
      <c r="AF7" s="274" t="n">
        <f aca="false">יוני!G5</f>
        <v>76564.033</v>
      </c>
      <c r="AG7" s="274" t="n">
        <f aca="false">יולי!H5</f>
        <v>72470.216</v>
      </c>
      <c r="AH7" s="274" t="n">
        <f aca="false">אוגוסט!H5</f>
        <v>70518.812</v>
      </c>
      <c r="AI7" s="274" t="n">
        <f aca="false">ספטמבר!H5</f>
        <v>70795.452</v>
      </c>
      <c r="AJ7" s="274" t="n">
        <f aca="false">אוקטובר!H5</f>
        <v>0</v>
      </c>
      <c r="AK7" s="274" t="n">
        <f aca="false">נובמבר!H5</f>
        <v>0</v>
      </c>
      <c r="AL7" s="274" t="n">
        <f aca="false">דצמבר!H5</f>
        <v>0</v>
      </c>
      <c r="AN7" s="93" t="n">
        <v>6</v>
      </c>
      <c r="AO7" s="93" t="s">
        <v>9</v>
      </c>
      <c r="AP7" s="93" t="n">
        <v>25</v>
      </c>
      <c r="AQ7" s="93"/>
      <c r="AR7" s="93" t="n">
        <v>10</v>
      </c>
      <c r="AS7" s="93"/>
    </row>
    <row r="8" customFormat="false" ht="15" hidden="false" customHeight="true" outlineLevel="0" collapsed="false">
      <c r="A8" s="93" t="str">
        <f aca="false">ינואר!C6</f>
        <v>בתי מרקחת</v>
      </c>
      <c r="B8" s="93" t="s">
        <v>2433</v>
      </c>
      <c r="C8" s="274" t="n">
        <f aca="false">ינואר!E6</f>
        <v>164714.584</v>
      </c>
      <c r="D8" s="274" t="n">
        <f aca="false">פברואר!E6</f>
        <v>163451.946</v>
      </c>
      <c r="E8" s="274" t="n">
        <f aca="false">מרץ!E6</f>
        <v>155174.617</v>
      </c>
      <c r="F8" s="274" t="n">
        <f aca="false">אפריל!E6</f>
        <v>132554.789</v>
      </c>
      <c r="G8" s="274" t="n">
        <f aca="false">מאי!E6</f>
        <v>211638.805</v>
      </c>
      <c r="H8" s="274" t="n">
        <f aca="false">יוני!E6</f>
        <v>174598.676</v>
      </c>
      <c r="I8" s="274" t="n">
        <f aca="false">יולי!F6</f>
        <v>157377.696</v>
      </c>
      <c r="J8" s="274" t="n">
        <f aca="false">אוגוסט!F6</f>
        <v>112372.337</v>
      </c>
      <c r="K8" s="274" t="n">
        <f aca="false">ספטמבר!F6</f>
        <v>141046.592</v>
      </c>
      <c r="L8" s="274" t="n">
        <f aca="false">אוקטובר!F6</f>
        <v>128887.331</v>
      </c>
      <c r="M8" s="274" t="n">
        <f aca="false">נובמבר!F6</f>
        <v>144720.944</v>
      </c>
      <c r="N8" s="274" t="n">
        <f aca="false">דצמבר!F6</f>
        <v>149421.213</v>
      </c>
      <c r="O8" s="274" t="n">
        <f aca="false">ינואר!F6</f>
        <v>136160.380299998</v>
      </c>
      <c r="P8" s="274" t="n">
        <f aca="false">פברואר!F6</f>
        <v>133409.823800003</v>
      </c>
      <c r="Q8" s="274" t="n">
        <f aca="false">מרץ!F6</f>
        <v>153012.03</v>
      </c>
      <c r="R8" s="274" t="n">
        <f aca="false">אפריל!F6</f>
        <v>173213.55</v>
      </c>
      <c r="S8" s="274" t="n">
        <f aca="false">מאי!F6</f>
        <v>186515.155300001</v>
      </c>
      <c r="T8" s="274" t="n">
        <f aca="false">יוני!F6</f>
        <v>160476.44</v>
      </c>
      <c r="U8" s="274" t="n">
        <f aca="false">יולי!G6</f>
        <v>221525.16</v>
      </c>
      <c r="V8" s="274" t="n">
        <f aca="false">אוגוסט!G6</f>
        <v>179847.32</v>
      </c>
      <c r="W8" s="274" t="n">
        <f aca="false">ספטמבר!G6</f>
        <v>134403.73</v>
      </c>
      <c r="X8" s="274" t="n">
        <f aca="false">אוקטובר!G6</f>
        <v>150616.42</v>
      </c>
      <c r="Y8" s="274" t="n">
        <f aca="false">נובמבר!G6</f>
        <v>167763.05</v>
      </c>
      <c r="Z8" s="274" t="n">
        <f aca="false">דצמבר!G6</f>
        <v>144058.52</v>
      </c>
      <c r="AA8" s="274" t="n">
        <f aca="false">ינואר!G6</f>
        <v>192169.79</v>
      </c>
      <c r="AB8" s="274" t="n">
        <f aca="false">פברואר!G6</f>
        <v>140722.24</v>
      </c>
      <c r="AC8" s="274" t="n">
        <f aca="false">מרץ!G6</f>
        <v>122676.557</v>
      </c>
      <c r="AD8" s="274" t="n">
        <f aca="false">אפריל!G6</f>
        <v>125615.726</v>
      </c>
      <c r="AE8" s="274" t="n">
        <f aca="false">מאי!G6</f>
        <v>148972.084</v>
      </c>
      <c r="AF8" s="274" t="n">
        <f aca="false">יוני!G6</f>
        <v>188367.581</v>
      </c>
      <c r="AG8" s="274" t="n">
        <f aca="false">יולי!H6</f>
        <v>152144.318</v>
      </c>
      <c r="AH8" s="274" t="n">
        <f aca="false">אוגוסט!H6</f>
        <v>160218.084</v>
      </c>
      <c r="AI8" s="274" t="n">
        <f aca="false">ספטמבר!H6</f>
        <v>178661.465</v>
      </c>
      <c r="AJ8" s="274" t="n">
        <f aca="false">אוקטובר!H6</f>
        <v>0</v>
      </c>
      <c r="AK8" s="274" t="n">
        <f aca="false">נובמבר!H6</f>
        <v>0</v>
      </c>
      <c r="AL8" s="274" t="n">
        <f aca="false">דצמבר!H6</f>
        <v>0</v>
      </c>
      <c r="AN8" s="93" t="n">
        <v>7</v>
      </c>
      <c r="AO8" s="93" t="s">
        <v>10</v>
      </c>
      <c r="AP8" s="93" t="n">
        <v>26</v>
      </c>
      <c r="AQ8" s="93" t="n">
        <v>44</v>
      </c>
      <c r="AR8" s="93" t="n">
        <v>11</v>
      </c>
      <c r="AS8" s="93" t="n">
        <v>35</v>
      </c>
    </row>
    <row r="9" customFormat="false" ht="15" hidden="false" customHeight="true" outlineLevel="0" collapsed="false">
      <c r="A9" s="93" t="str">
        <f aca="false">ינואר!C7</f>
        <v>כללית</v>
      </c>
      <c r="B9" s="93" t="s">
        <v>2433</v>
      </c>
      <c r="C9" s="274" t="n">
        <f aca="false">ינואר!E7</f>
        <v>414961</v>
      </c>
      <c r="D9" s="274" t="n">
        <f aca="false">פברואר!E7</f>
        <v>385135</v>
      </c>
      <c r="E9" s="274" t="n">
        <f aca="false">מרץ!E7</f>
        <v>389673.5</v>
      </c>
      <c r="F9" s="274" t="n">
        <f aca="false">אפריל!E7</f>
        <v>244648</v>
      </c>
      <c r="G9" s="274" t="n">
        <f aca="false">מאי!E7</f>
        <v>327442</v>
      </c>
      <c r="H9" s="274" t="n">
        <f aca="false">יוני!E7</f>
        <v>315729.5</v>
      </c>
      <c r="I9" s="274" t="n">
        <f aca="false">יולי!F7</f>
        <v>326042</v>
      </c>
      <c r="J9" s="274" t="n">
        <f aca="false">אוגוסט!F7</f>
        <v>416484</v>
      </c>
      <c r="K9" s="274" t="n">
        <f aca="false">ספטמבר!F7</f>
        <v>309520.8</v>
      </c>
      <c r="L9" s="274" t="n">
        <f aca="false">אוקטובר!F7</f>
        <v>291076</v>
      </c>
      <c r="M9" s="274" t="n">
        <f aca="false">נובמבר!F7</f>
        <v>319604.5</v>
      </c>
      <c r="N9" s="274" t="n">
        <f aca="false">דצמבר!F7</f>
        <v>378149.8</v>
      </c>
      <c r="O9" s="274" t="n">
        <f aca="false">ינואר!F7</f>
        <v>326467.5</v>
      </c>
      <c r="P9" s="274" t="n">
        <f aca="false">פברואר!F7</f>
        <v>371734.5</v>
      </c>
      <c r="Q9" s="274" t="n">
        <f aca="false">מרץ!F7</f>
        <v>376182</v>
      </c>
      <c r="R9" s="274" t="n">
        <f aca="false">אפריל!F7</f>
        <v>263457</v>
      </c>
      <c r="S9" s="274" t="n">
        <f aca="false">מאי!F7</f>
        <v>307503</v>
      </c>
      <c r="T9" s="274" t="n">
        <f aca="false">יוני!F7</f>
        <v>363201.5</v>
      </c>
      <c r="U9" s="274" t="n">
        <f aca="false">יולי!G7</f>
        <v>329541.7</v>
      </c>
      <c r="V9" s="274" t="n">
        <f aca="false">אוגוסט!G7</f>
        <v>273604.4</v>
      </c>
      <c r="W9" s="274" t="n">
        <f aca="false">ספטמבר!G7</f>
        <v>337200.15</v>
      </c>
      <c r="X9" s="274" t="n">
        <f aca="false">אוקטובר!G7</f>
        <v>184903.8</v>
      </c>
      <c r="Y9" s="274" t="n">
        <f aca="false">נובמבר!G7</f>
        <v>308121.37</v>
      </c>
      <c r="Z9" s="274" t="n">
        <f aca="false">דצמבר!G7</f>
        <v>367699.5</v>
      </c>
      <c r="AA9" s="274" t="n">
        <f aca="false">ינואר!G7</f>
        <v>320186.2</v>
      </c>
      <c r="AB9" s="274" t="n">
        <f aca="false">פברואר!G7</f>
        <v>299047.35</v>
      </c>
      <c r="AC9" s="274" t="n">
        <f aca="false">מרץ!G7</f>
        <v>244180.55</v>
      </c>
      <c r="AD9" s="274" t="n">
        <f aca="false">אפריל!G7</f>
        <v>220778.2</v>
      </c>
      <c r="AE9" s="274" t="n">
        <f aca="false">מאי!G7</f>
        <v>318846.8</v>
      </c>
      <c r="AF9" s="274" t="n">
        <f aca="false">יוני!G7</f>
        <v>339371.75</v>
      </c>
      <c r="AG9" s="274" t="n">
        <f aca="false">יולי!H7</f>
        <v>392888.3</v>
      </c>
      <c r="AH9" s="274" t="n">
        <f aca="false">אוגוסט!H7</f>
        <v>295436</v>
      </c>
      <c r="AI9" s="274" t="n">
        <f aca="false">ספטמבר!H7</f>
        <v>296928.1</v>
      </c>
      <c r="AJ9" s="274" t="n">
        <f aca="false">אוקטובר!H7</f>
        <v>0</v>
      </c>
      <c r="AK9" s="274" t="n">
        <f aca="false">נובמבר!H7</f>
        <v>0</v>
      </c>
      <c r="AL9" s="274" t="n">
        <f aca="false">דצמבר!H7</f>
        <v>0</v>
      </c>
      <c r="AN9" s="93" t="n">
        <v>8</v>
      </c>
      <c r="AO9" s="93" t="s">
        <v>11</v>
      </c>
      <c r="AP9" s="93" t="n">
        <v>27</v>
      </c>
      <c r="AQ9" s="93" t="n">
        <v>45</v>
      </c>
      <c r="AR9" s="93" t="n">
        <v>12</v>
      </c>
      <c r="AS9" s="93" t="n">
        <v>36</v>
      </c>
    </row>
    <row r="10" customFormat="false" ht="15" hidden="false" customHeight="true" outlineLevel="0" collapsed="false">
      <c r="A10" s="93" t="str">
        <f aca="false">ינואר!C8</f>
        <v>מאוחדת</v>
      </c>
      <c r="B10" s="93" t="s">
        <v>2433</v>
      </c>
      <c r="C10" s="274" t="n">
        <f aca="false">ינואר!E8</f>
        <v>74817.97</v>
      </c>
      <c r="D10" s="274" t="n">
        <f aca="false">פברואר!E8</f>
        <v>91523.03</v>
      </c>
      <c r="E10" s="274" t="n">
        <f aca="false">מרץ!E8</f>
        <v>77394.37</v>
      </c>
      <c r="F10" s="274" t="n">
        <f aca="false">אפריל!E8</f>
        <v>59971.53</v>
      </c>
      <c r="G10" s="274" t="n">
        <f aca="false">מאי!E8</f>
        <v>65998.04</v>
      </c>
      <c r="H10" s="274" t="n">
        <f aca="false">יוני!E8</f>
        <v>43688.56</v>
      </c>
      <c r="I10" s="274" t="n">
        <f aca="false">יולי!F8</f>
        <v>79041.44</v>
      </c>
      <c r="J10" s="274" t="n">
        <f aca="false">אוגוסט!F8</f>
        <v>64245.4</v>
      </c>
      <c r="K10" s="274" t="n">
        <f aca="false">ספטמבר!F8</f>
        <v>65554.73</v>
      </c>
      <c r="L10" s="274" t="n">
        <f aca="false">אוקטובר!F8</f>
        <v>50225.36</v>
      </c>
      <c r="M10" s="274" t="n">
        <f aca="false">נובמבר!F8</f>
        <v>57000.57</v>
      </c>
      <c r="N10" s="274" t="n">
        <f aca="false">דצמבר!F8</f>
        <v>68517.25</v>
      </c>
      <c r="O10" s="274" t="n">
        <f aca="false">ינואר!F8</f>
        <v>57834.64</v>
      </c>
      <c r="P10" s="274" t="n">
        <f aca="false">פברואר!F8</f>
        <v>82146.14</v>
      </c>
      <c r="Q10" s="274" t="n">
        <f aca="false">מרץ!F8</f>
        <v>74502.3</v>
      </c>
      <c r="R10" s="274" t="n">
        <f aca="false">אפריל!F8</f>
        <v>62433.13</v>
      </c>
      <c r="S10" s="274" t="n">
        <f aca="false">מאי!F8</f>
        <v>88130.8</v>
      </c>
      <c r="T10" s="274" t="n">
        <f aca="false">יוני!F8</f>
        <v>62616.16</v>
      </c>
      <c r="U10" s="274" t="n">
        <f aca="false">יולי!G8</f>
        <v>95914.88</v>
      </c>
      <c r="V10" s="274" t="n">
        <f aca="false">אוגוסט!G8</f>
        <v>81013.09</v>
      </c>
      <c r="W10" s="274" t="n">
        <f aca="false">ספטמבר!G8</f>
        <v>89206.99</v>
      </c>
      <c r="X10" s="274" t="n">
        <f aca="false">אוקטובר!G8</f>
        <v>70789.24</v>
      </c>
      <c r="Y10" s="274" t="n">
        <f aca="false">נובמבר!G8</f>
        <v>68004.57</v>
      </c>
      <c r="Z10" s="274" t="n">
        <f aca="false">דצמבר!G8</f>
        <v>60034.25</v>
      </c>
      <c r="AA10" s="274" t="n">
        <f aca="false">ינואר!G8</f>
        <v>60425.14</v>
      </c>
      <c r="AB10" s="274" t="n">
        <f aca="false">פברואר!G8</f>
        <v>59215.28</v>
      </c>
      <c r="AC10" s="274" t="n">
        <f aca="false">מרץ!G8</f>
        <v>55389.04</v>
      </c>
      <c r="AD10" s="274" t="n">
        <f aca="false">אפריל!G8</f>
        <v>50971.08</v>
      </c>
      <c r="AE10" s="274" t="n">
        <f aca="false">מאי!G8</f>
        <v>47091.772</v>
      </c>
      <c r="AF10" s="274" t="n">
        <f aca="false">יוני!G8</f>
        <v>70005.299</v>
      </c>
      <c r="AG10" s="274" t="n">
        <f aca="false">יולי!H8</f>
        <v>49165.266</v>
      </c>
      <c r="AH10" s="274" t="n">
        <f aca="false">אוגוסט!H8</f>
        <v>73310.601</v>
      </c>
      <c r="AI10" s="274" t="n">
        <f aca="false">ספטמבר!H8</f>
        <v>54681.263</v>
      </c>
      <c r="AJ10" s="274" t="n">
        <f aca="false">אוקטובר!H8</f>
        <v>0</v>
      </c>
      <c r="AK10" s="274" t="n">
        <f aca="false">נובמבר!H8</f>
        <v>0</v>
      </c>
      <c r="AL10" s="274" t="n">
        <f aca="false">דצמבר!H8</f>
        <v>0</v>
      </c>
      <c r="AN10" s="93" t="n">
        <v>9</v>
      </c>
      <c r="AO10" s="93" t="s">
        <v>12</v>
      </c>
      <c r="AP10" s="93" t="n">
        <v>28</v>
      </c>
      <c r="AQ10" s="93" t="n">
        <v>46</v>
      </c>
      <c r="AR10" s="93" t="n">
        <v>13</v>
      </c>
      <c r="AS10" s="93" t="n">
        <v>37</v>
      </c>
    </row>
    <row r="11" customFormat="false" ht="15" hidden="false" customHeight="true" outlineLevel="0" collapsed="false">
      <c r="A11" s="93" t="str">
        <f aca="false">ינואר!C50</f>
        <v>מכבי</v>
      </c>
      <c r="B11" s="93" t="s">
        <v>2433</v>
      </c>
      <c r="C11" s="274" t="n">
        <f aca="false">ינואר!E50</f>
        <v>0</v>
      </c>
      <c r="D11" s="274" t="n">
        <f aca="false">פברואר!E50</f>
        <v>0</v>
      </c>
      <c r="E11" s="274" t="n">
        <f aca="false">מרץ!E50</f>
        <v>0</v>
      </c>
      <c r="F11" s="274" t="n">
        <f aca="false">אפריל!E50</f>
        <v>0</v>
      </c>
      <c r="G11" s="274" t="n">
        <f aca="false">מאי!E50</f>
        <v>0</v>
      </c>
      <c r="H11" s="274" t="n">
        <f aca="false">יוני!E50</f>
        <v>0</v>
      </c>
      <c r="I11" s="274" t="n">
        <f aca="false">יולי!F50</f>
        <v>0</v>
      </c>
      <c r="J11" s="274" t="n">
        <f aca="false">אוגוסט!F50</f>
        <v>0</v>
      </c>
      <c r="K11" s="274" t="n">
        <f aca="false">ספטמבר!F50</f>
        <v>0</v>
      </c>
      <c r="L11" s="274" t="n">
        <f aca="false">אוקטובר!F50</f>
        <v>0</v>
      </c>
      <c r="M11" s="274" t="n">
        <f aca="false">נובמבר!F50</f>
        <v>0</v>
      </c>
      <c r="N11" s="274" t="n">
        <f aca="false">דצמבר!F50</f>
        <v>0</v>
      </c>
      <c r="O11" s="274" t="n">
        <f aca="false">ינואר!F50</f>
        <v>0</v>
      </c>
      <c r="P11" s="274" t="n">
        <f aca="false">פברואר!F50</f>
        <v>0</v>
      </c>
      <c r="Q11" s="274" t="n">
        <f aca="false">מרץ!F50</f>
        <v>0</v>
      </c>
      <c r="R11" s="274" t="n">
        <f aca="false">אפריל!F50</f>
        <v>0</v>
      </c>
      <c r="S11" s="274" t="n">
        <f aca="false">מאי!F50</f>
        <v>0</v>
      </c>
      <c r="T11" s="274" t="n">
        <f aca="false">יוני!F50</f>
        <v>0</v>
      </c>
      <c r="U11" s="274" t="n">
        <f aca="false">יולי!G50</f>
        <v>0</v>
      </c>
      <c r="V11" s="274" t="n">
        <f aca="false">אוגוסט!G50</f>
        <v>0</v>
      </c>
      <c r="W11" s="274" t="n">
        <f aca="false">ספטמבר!G50</f>
        <v>0</v>
      </c>
      <c r="X11" s="274" t="n">
        <f aca="false">אוקטובר!G50</f>
        <v>0</v>
      </c>
      <c r="Y11" s="274" t="n">
        <f aca="false">נובמבר!G50</f>
        <v>0</v>
      </c>
      <c r="Z11" s="274" t="n">
        <f aca="false">דצמבר!G50</f>
        <v>0</v>
      </c>
      <c r="AA11" s="274" t="n">
        <f aca="false">ינואר!G50</f>
        <v>0</v>
      </c>
      <c r="AB11" s="274" t="n">
        <f aca="false">פברואר!G50</f>
        <v>0</v>
      </c>
      <c r="AC11" s="274" t="n">
        <f aca="false">מרץ!G50</f>
        <v>0</v>
      </c>
      <c r="AD11" s="274" t="n">
        <f aca="false">אפריל!G50</f>
        <v>0</v>
      </c>
      <c r="AE11" s="274" t="n">
        <f aca="false">מאי!G50</f>
        <v>0</v>
      </c>
      <c r="AF11" s="274" t="n">
        <f aca="false">יוני!G50</f>
        <v>0</v>
      </c>
      <c r="AG11" s="274" t="n">
        <f aca="false">יולי!H50</f>
        <v>0</v>
      </c>
      <c r="AH11" s="274" t="n">
        <f aca="false">אוגוסט!H50</f>
        <v>0</v>
      </c>
      <c r="AI11" s="274" t="n">
        <f aca="false">ספטמבר!H50</f>
        <v>0</v>
      </c>
      <c r="AJ11" s="274" t="n">
        <f aca="false">אוקטובר!H50</f>
        <v>0</v>
      </c>
      <c r="AK11" s="274" t="n">
        <f aca="false">נובמבר!H50</f>
        <v>0</v>
      </c>
      <c r="AL11" s="274" t="n">
        <f aca="false">דצמבר!H50</f>
        <v>0</v>
      </c>
      <c r="AN11" s="93" t="n">
        <v>10</v>
      </c>
      <c r="AO11" s="93" t="s">
        <v>13</v>
      </c>
      <c r="AP11" s="93" t="n">
        <v>29</v>
      </c>
      <c r="AQ11" s="93" t="n">
        <v>47</v>
      </c>
      <c r="AR11" s="93" t="n">
        <v>14</v>
      </c>
      <c r="AS11" s="93" t="n">
        <v>38</v>
      </c>
    </row>
    <row r="12" customFormat="false" ht="15" hidden="false" customHeight="true" outlineLevel="0" collapsed="false">
      <c r="A12" s="93" t="str">
        <f aca="false">ינואר!C9</f>
        <v>מכוני אורטופדיה</v>
      </c>
      <c r="B12" s="93" t="s">
        <v>2433</v>
      </c>
      <c r="C12" s="274" t="n">
        <f aca="false">ינואר!E9</f>
        <v>91890.1</v>
      </c>
      <c r="D12" s="274" t="n">
        <f aca="false">פברואר!E9</f>
        <v>85829.2</v>
      </c>
      <c r="E12" s="274" t="n">
        <f aca="false">מרץ!E9</f>
        <v>87247.96</v>
      </c>
      <c r="F12" s="274" t="n">
        <f aca="false">אפריל!E9</f>
        <v>69580.43</v>
      </c>
      <c r="G12" s="274" t="n">
        <f aca="false">מאי!E9</f>
        <v>99310.41</v>
      </c>
      <c r="H12" s="274" t="n">
        <f aca="false">יוני!E9</f>
        <v>77555.62</v>
      </c>
      <c r="I12" s="274" t="n">
        <f aca="false">יולי!F9</f>
        <v>76209.32</v>
      </c>
      <c r="J12" s="274" t="n">
        <f aca="false">אוגוסט!F9</f>
        <v>62739.61</v>
      </c>
      <c r="K12" s="274" t="n">
        <f aca="false">ספטמבר!F9</f>
        <v>65856.52</v>
      </c>
      <c r="L12" s="274" t="n">
        <f aca="false">אוקטובר!F9</f>
        <v>56916.24</v>
      </c>
      <c r="M12" s="274" t="n">
        <f aca="false">נובמבר!F9</f>
        <v>62213.38</v>
      </c>
      <c r="N12" s="274" t="n">
        <f aca="false">דצמבר!F9</f>
        <v>65670.46</v>
      </c>
      <c r="O12" s="274" t="n">
        <f aca="false">ינואר!F9</f>
        <v>72633.3</v>
      </c>
      <c r="P12" s="274" t="n">
        <f aca="false">פברואר!F9</f>
        <v>46378.11</v>
      </c>
      <c r="Q12" s="274" t="n">
        <f aca="false">מרץ!F9</f>
        <v>65531.82</v>
      </c>
      <c r="R12" s="274" t="n">
        <f aca="false">אפריל!F9</f>
        <v>74555.12</v>
      </c>
      <c r="S12" s="274" t="n">
        <f aca="false">מאי!F9</f>
        <v>94846.85</v>
      </c>
      <c r="T12" s="274" t="n">
        <f aca="false">יוני!F9</f>
        <v>63999.64</v>
      </c>
      <c r="U12" s="274" t="n">
        <f aca="false">יולי!G9</f>
        <v>81305.01</v>
      </c>
      <c r="V12" s="274" t="n">
        <f aca="false">אוגוסט!G9</f>
        <v>61998.83</v>
      </c>
      <c r="W12" s="274" t="n">
        <f aca="false">ספטמבר!G9</f>
        <v>69988.58</v>
      </c>
      <c r="X12" s="274" t="n">
        <f aca="false">אוקטובר!G9</f>
        <v>57765.28</v>
      </c>
      <c r="Y12" s="274" t="n">
        <f aca="false">נובמבר!G9</f>
        <v>96453.83</v>
      </c>
      <c r="Z12" s="274" t="n">
        <f aca="false">דצמבר!G9</f>
        <v>69362.57</v>
      </c>
      <c r="AA12" s="274" t="n">
        <f aca="false">ינואר!G9</f>
        <v>86618.03</v>
      </c>
      <c r="AB12" s="274" t="n">
        <f aca="false">פברואר!G9</f>
        <v>81282.23</v>
      </c>
      <c r="AC12" s="274" t="n">
        <f aca="false">מרץ!G9</f>
        <v>48951.14</v>
      </c>
      <c r="AD12" s="274" t="n">
        <f aca="false">אפריל!G9</f>
        <v>88526.04</v>
      </c>
      <c r="AE12" s="274" t="n">
        <f aca="false">מאי!G9</f>
        <v>102176.91</v>
      </c>
      <c r="AF12" s="274" t="n">
        <f aca="false">יוני!G9</f>
        <v>67723.22</v>
      </c>
      <c r="AG12" s="274" t="n">
        <f aca="false">יולי!H9</f>
        <v>65635.87</v>
      </c>
      <c r="AH12" s="274" t="n">
        <f aca="false">אוגוסט!H9</f>
        <v>76847.55</v>
      </c>
      <c r="AI12" s="274" t="n">
        <f aca="false">ספטמבר!H9</f>
        <v>60353.17</v>
      </c>
      <c r="AJ12" s="274" t="n">
        <f aca="false">אוקטובר!H9</f>
        <v>0</v>
      </c>
      <c r="AK12" s="274" t="n">
        <f aca="false">נובמבר!H9</f>
        <v>0</v>
      </c>
      <c r="AL12" s="274" t="n">
        <f aca="false">דצמבר!H9</f>
        <v>0</v>
      </c>
      <c r="AN12" s="93" t="n">
        <v>11</v>
      </c>
      <c r="AO12" s="93" t="s">
        <v>14</v>
      </c>
      <c r="AP12" s="93" t="n">
        <v>30</v>
      </c>
      <c r="AQ12" s="93" t="n">
        <v>48</v>
      </c>
      <c r="AR12" s="93" t="n">
        <v>15</v>
      </c>
      <c r="AS12" s="93" t="n">
        <v>39</v>
      </c>
    </row>
    <row r="13" customFormat="false" ht="15" hidden="false" customHeight="true" outlineLevel="0" collapsed="false">
      <c r="A13" s="93" t="str">
        <f aca="false">ינואר!C10</f>
        <v>לקוחות מפעל</v>
      </c>
      <c r="B13" s="93" t="s">
        <v>2433</v>
      </c>
      <c r="C13" s="274" t="n">
        <f aca="false">ינואר!E10</f>
        <v>15878.93</v>
      </c>
      <c r="D13" s="274" t="n">
        <f aca="false">פברואר!E10</f>
        <v>11131.68</v>
      </c>
      <c r="E13" s="274" t="n">
        <f aca="false">מרץ!E10</f>
        <v>21528.06</v>
      </c>
      <c r="F13" s="274" t="n">
        <f aca="false">אפריל!E10</f>
        <v>14571.76</v>
      </c>
      <c r="G13" s="274" t="n">
        <f aca="false">מאי!E10</f>
        <v>16034.44</v>
      </c>
      <c r="H13" s="274" t="n">
        <f aca="false">יוני!E10</f>
        <v>13321.91</v>
      </c>
      <c r="I13" s="274" t="n">
        <f aca="false">יולי!F10</f>
        <v>27532.1</v>
      </c>
      <c r="J13" s="274" t="n">
        <f aca="false">אוגוסט!F10</f>
        <v>18126.58</v>
      </c>
      <c r="K13" s="274" t="n">
        <f aca="false">ספטמבר!F10</f>
        <v>10468.76</v>
      </c>
      <c r="L13" s="274" t="n">
        <f aca="false">אוקטובר!F10</f>
        <v>11253.22</v>
      </c>
      <c r="M13" s="274" t="n">
        <f aca="false">נובמבר!F10</f>
        <v>10956.17</v>
      </c>
      <c r="N13" s="274" t="n">
        <f aca="false">דצמבר!F10</f>
        <v>16400.06</v>
      </c>
      <c r="O13" s="274" t="n">
        <f aca="false">ינואר!F10</f>
        <v>16402.68</v>
      </c>
      <c r="P13" s="274" t="n">
        <f aca="false">פברואר!F10</f>
        <v>17589.94</v>
      </c>
      <c r="Q13" s="274" t="n">
        <f aca="false">מרץ!F10</f>
        <v>21300.79</v>
      </c>
      <c r="R13" s="274" t="n">
        <f aca="false">אפריל!F10</f>
        <v>15201.7</v>
      </c>
      <c r="S13" s="274" t="n">
        <f aca="false">מאי!F10</f>
        <v>15870.65</v>
      </c>
      <c r="T13" s="274" t="n">
        <f aca="false">יוני!F10</f>
        <v>9192.17</v>
      </c>
      <c r="U13" s="274" t="n">
        <f aca="false">יולי!G10</f>
        <v>10971.32</v>
      </c>
      <c r="V13" s="274" t="n">
        <f aca="false">אוגוסט!G10</f>
        <v>12420.51</v>
      </c>
      <c r="W13" s="274" t="n">
        <f aca="false">ספטמבר!G10</f>
        <v>17490.72</v>
      </c>
      <c r="X13" s="274" t="n">
        <f aca="false">אוקטובר!G10</f>
        <v>9579</v>
      </c>
      <c r="Y13" s="274" t="n">
        <f aca="false">נובמבר!G10</f>
        <v>28016.53</v>
      </c>
      <c r="Z13" s="274" t="n">
        <f aca="false">דצמבר!G10</f>
        <v>11214.5</v>
      </c>
      <c r="AA13" s="274" t="n">
        <f aca="false">ינואר!G10</f>
        <v>18073.66</v>
      </c>
      <c r="AB13" s="274" t="n">
        <f aca="false">פברואר!G10</f>
        <v>11368.09</v>
      </c>
      <c r="AC13" s="274" t="n">
        <f aca="false">מרץ!G10</f>
        <v>6765.24</v>
      </c>
      <c r="AD13" s="274" t="n">
        <f aca="false">אפריל!G10</f>
        <v>11923.54</v>
      </c>
      <c r="AE13" s="274" t="n">
        <f aca="false">מאי!G10</f>
        <v>6343.11</v>
      </c>
      <c r="AF13" s="274" t="n">
        <f aca="false">יוני!G10</f>
        <v>6761.44</v>
      </c>
      <c r="AG13" s="274" t="n">
        <f aca="false">יולי!H10</f>
        <v>5105.8</v>
      </c>
      <c r="AH13" s="274" t="n">
        <f aca="false">אוגוסט!H10</f>
        <v>4321.85</v>
      </c>
      <c r="AI13" s="274" t="n">
        <f aca="false">ספטמבר!H10</f>
        <v>8755.86</v>
      </c>
      <c r="AJ13" s="274" t="n">
        <f aca="false">אוקטובר!H10</f>
        <v>0</v>
      </c>
      <c r="AK13" s="274" t="n">
        <f aca="false">נובמבר!H10</f>
        <v>0</v>
      </c>
      <c r="AL13" s="274" t="n">
        <f aca="false">דצמבר!H10</f>
        <v>0</v>
      </c>
      <c r="AN13" s="93" t="n">
        <v>12</v>
      </c>
      <c r="AO13" s="93" t="s">
        <v>15</v>
      </c>
      <c r="AP13" s="93" t="n">
        <v>31</v>
      </c>
      <c r="AQ13" s="93" t="n">
        <v>49</v>
      </c>
      <c r="AR13" s="93" t="n">
        <v>16</v>
      </c>
      <c r="AS13" s="93" t="n">
        <v>40</v>
      </c>
    </row>
    <row r="14" customFormat="false" ht="15" hidden="false" customHeight="true" outlineLevel="0" collapsed="false">
      <c r="A14" s="93" t="str">
        <f aca="false">ינואר!C11</f>
        <v>חנויות פרטיות</v>
      </c>
      <c r="B14" s="93" t="s">
        <v>2433</v>
      </c>
      <c r="C14" s="274" t="n">
        <f aca="false">ינואר!E11</f>
        <v>5667.68</v>
      </c>
      <c r="D14" s="274" t="n">
        <f aca="false">פברואר!E11</f>
        <v>0</v>
      </c>
      <c r="E14" s="274" t="n">
        <f aca="false">מרץ!E11</f>
        <v>3573.08</v>
      </c>
      <c r="F14" s="274" t="n">
        <f aca="false">אפריל!E11</f>
        <v>11309.68</v>
      </c>
      <c r="G14" s="274" t="n">
        <f aca="false">מאי!E11</f>
        <v>1188.66</v>
      </c>
      <c r="H14" s="274" t="n">
        <f aca="false">יוני!E11</f>
        <v>11738.24</v>
      </c>
      <c r="I14" s="274" t="n">
        <f aca="false">יולי!F11</f>
        <v>8417.71</v>
      </c>
      <c r="J14" s="274" t="n">
        <f aca="false">אוגוסט!F11</f>
        <v>8063.63</v>
      </c>
      <c r="K14" s="274" t="n">
        <f aca="false">ספטמבר!F11</f>
        <v>3066.38</v>
      </c>
      <c r="L14" s="274" t="n">
        <f aca="false">אוקטובר!F11</f>
        <v>-1766.36</v>
      </c>
      <c r="M14" s="274" t="n">
        <f aca="false">נובמבר!F11</f>
        <v>30231.73</v>
      </c>
      <c r="N14" s="274" t="n">
        <f aca="false">דצמבר!F11</f>
        <v>10713.92</v>
      </c>
      <c r="O14" s="274" t="n">
        <f aca="false">ינואר!F11</f>
        <v>6025.5</v>
      </c>
      <c r="P14" s="274" t="n">
        <f aca="false">פברואר!F11</f>
        <v>4045.81</v>
      </c>
      <c r="Q14" s="274" t="n">
        <f aca="false">מרץ!F11</f>
        <v>11352.51</v>
      </c>
      <c r="R14" s="274" t="n">
        <f aca="false">אפריל!F11</f>
        <v>4054.42</v>
      </c>
      <c r="S14" s="274" t="n">
        <f aca="false">מאי!F11</f>
        <v>5871.12</v>
      </c>
      <c r="T14" s="274" t="n">
        <f aca="false">יוני!F11</f>
        <v>4288.26</v>
      </c>
      <c r="U14" s="274" t="n">
        <f aca="false">יולי!G11</f>
        <v>4990.47</v>
      </c>
      <c r="V14" s="274" t="n">
        <f aca="false">אוגוסט!G11</f>
        <v>1459.42</v>
      </c>
      <c r="W14" s="274" t="n">
        <f aca="false">ספטמבר!G11</f>
        <v>4228.87</v>
      </c>
      <c r="X14" s="274" t="n">
        <f aca="false">אוקטובר!G11</f>
        <v>3274.69</v>
      </c>
      <c r="Y14" s="274" t="n">
        <f aca="false">נובמבר!G11</f>
        <v>1902.07</v>
      </c>
      <c r="Z14" s="274" t="n">
        <f aca="false">דצמבר!G11</f>
        <v>5866.58</v>
      </c>
      <c r="AA14" s="274" t="n">
        <f aca="false">ינואר!G11</f>
        <v>5894.68</v>
      </c>
      <c r="AB14" s="274" t="n">
        <f aca="false">פברואר!G11</f>
        <v>3319.04</v>
      </c>
      <c r="AC14" s="274" t="n">
        <f aca="false">מרץ!G11</f>
        <v>3196.2</v>
      </c>
      <c r="AD14" s="274" t="n">
        <f aca="false">אפריל!G11</f>
        <v>4956.22</v>
      </c>
      <c r="AE14" s="274" t="n">
        <f aca="false">מאי!G11</f>
        <v>7664.69</v>
      </c>
      <c r="AF14" s="274" t="n">
        <f aca="false">יוני!G11</f>
        <v>8984.58</v>
      </c>
      <c r="AG14" s="274" t="n">
        <f aca="false">יולי!H11</f>
        <v>3863.17</v>
      </c>
      <c r="AH14" s="274" t="n">
        <f aca="false">אוגוסט!H11</f>
        <v>2043.68</v>
      </c>
      <c r="AI14" s="274" t="n">
        <f aca="false">ספטמבר!H11</f>
        <v>5091.7</v>
      </c>
      <c r="AJ14" s="274" t="n">
        <f aca="false">אוקטובר!H11</f>
        <v>0</v>
      </c>
      <c r="AK14" s="274" t="n">
        <f aca="false">נובמבר!H11</f>
        <v>0</v>
      </c>
      <c r="AL14" s="274" t="n">
        <f aca="false">דצמבר!H11</f>
        <v>0</v>
      </c>
    </row>
    <row r="15" customFormat="false" ht="15" hidden="false" customHeight="true" outlineLevel="0" collapsed="false">
      <c r="A15" s="93" t="str">
        <f aca="false">ינואר!C12</f>
        <v>מכוני פדיקור</v>
      </c>
      <c r="B15" s="93" t="s">
        <v>2433</v>
      </c>
      <c r="C15" s="274" t="n">
        <f aca="false">ינואר!E12</f>
        <v>0</v>
      </c>
      <c r="D15" s="274" t="n">
        <f aca="false">פברואר!E12</f>
        <v>0</v>
      </c>
      <c r="E15" s="274" t="n">
        <f aca="false">מרץ!E12</f>
        <v>0</v>
      </c>
      <c r="F15" s="274" t="n">
        <f aca="false">אפריל!E12</f>
        <v>850.4</v>
      </c>
      <c r="G15" s="274" t="n">
        <f aca="false">מאי!E12</f>
        <v>0</v>
      </c>
      <c r="H15" s="274" t="n">
        <f aca="false">יוני!E12</f>
        <v>0</v>
      </c>
      <c r="I15" s="274" t="n">
        <f aca="false">יולי!F12</f>
        <v>679.3</v>
      </c>
      <c r="J15" s="274" t="n">
        <f aca="false">אוגוסט!F12</f>
        <v>0</v>
      </c>
      <c r="K15" s="274" t="n">
        <f aca="false">ספטמבר!F12</f>
        <v>850.4</v>
      </c>
      <c r="L15" s="274" t="n">
        <f aca="false">אוקטובר!F12</f>
        <v>0</v>
      </c>
      <c r="M15" s="274" t="n">
        <f aca="false">נובמבר!F12</f>
        <v>0</v>
      </c>
      <c r="N15" s="274" t="n">
        <f aca="false">דצמבר!F12</f>
        <v>850.4</v>
      </c>
      <c r="O15" s="274" t="n">
        <f aca="false">ינואר!F12</f>
        <v>1162.85</v>
      </c>
      <c r="P15" s="274" t="n">
        <f aca="false">פברואר!F12</f>
        <v>569.45</v>
      </c>
      <c r="Q15" s="274" t="n">
        <f aca="false">מרץ!F12</f>
        <v>0</v>
      </c>
      <c r="R15" s="274" t="n">
        <f aca="false">אפריל!F12</f>
        <v>0</v>
      </c>
      <c r="S15" s="274" t="n">
        <f aca="false">מאי!F12</f>
        <v>0</v>
      </c>
      <c r="T15" s="274" t="n">
        <f aca="false">יוני!F12</f>
        <v>1244.84</v>
      </c>
      <c r="U15" s="274" t="n">
        <f aca="false">יולי!G12</f>
        <v>0</v>
      </c>
      <c r="V15" s="274" t="n">
        <f aca="false">אוגוסט!G12</f>
        <v>0</v>
      </c>
      <c r="W15" s="274" t="n">
        <f aca="false">ספטמבר!G12</f>
        <v>0</v>
      </c>
      <c r="X15" s="274" t="n">
        <f aca="false">אוקטובר!G12</f>
        <v>669.74</v>
      </c>
      <c r="Y15" s="274" t="n">
        <f aca="false">נובמבר!G12</f>
        <v>498.8</v>
      </c>
      <c r="Z15" s="274" t="n">
        <f aca="false">דצמבר!G12</f>
        <v>0</v>
      </c>
      <c r="AA15" s="274" t="n">
        <f aca="false">ינואר!G12</f>
        <v>810.6</v>
      </c>
      <c r="AB15" s="274" t="n">
        <f aca="false">פברואר!G12</f>
        <v>0</v>
      </c>
      <c r="AC15" s="274" t="n">
        <f aca="false">מרץ!G12</f>
        <v>1106.56</v>
      </c>
      <c r="AD15" s="274" t="n">
        <f aca="false">אפריל!G12</f>
        <v>0</v>
      </c>
      <c r="AE15" s="274" t="n">
        <f aca="false">מאי!G12</f>
        <v>0</v>
      </c>
      <c r="AF15" s="274" t="n">
        <f aca="false">יוני!G12</f>
        <v>1658.99</v>
      </c>
      <c r="AG15" s="274" t="n">
        <f aca="false">יולי!H12</f>
        <v>0</v>
      </c>
      <c r="AH15" s="274" t="n">
        <f aca="false">אוגוסט!H12</f>
        <v>728.87</v>
      </c>
      <c r="AI15" s="274" t="n">
        <f aca="false">ספטמבר!H12</f>
        <v>0</v>
      </c>
      <c r="AJ15" s="274" t="n">
        <f aca="false">אוקטובר!H12</f>
        <v>0</v>
      </c>
      <c r="AK15" s="274" t="n">
        <f aca="false">נובמבר!H12</f>
        <v>0</v>
      </c>
      <c r="AL15" s="274" t="n">
        <f aca="false">דצמבר!H12</f>
        <v>0</v>
      </c>
      <c r="AN15" s="93" t="s">
        <v>2434</v>
      </c>
    </row>
    <row r="16" customFormat="false" ht="15" hidden="false" customHeight="true" outlineLevel="0" collapsed="false">
      <c r="A16" s="93" t="str">
        <f aca="false">ינואר!C13</f>
        <v>חנויות נעליים</v>
      </c>
      <c r="B16" s="93" t="s">
        <v>2433</v>
      </c>
      <c r="C16" s="274" t="n">
        <f aca="false">ינואר!E13</f>
        <v>0</v>
      </c>
      <c r="D16" s="274" t="n">
        <f aca="false">פברואר!E13</f>
        <v>0</v>
      </c>
      <c r="E16" s="274" t="n">
        <f aca="false">מרץ!E13</f>
        <v>0</v>
      </c>
      <c r="F16" s="274" t="n">
        <f aca="false">אפריל!E13</f>
        <v>0</v>
      </c>
      <c r="G16" s="274" t="n">
        <f aca="false">מאי!E13</f>
        <v>1597.46</v>
      </c>
      <c r="H16" s="274" t="n">
        <f aca="false">יוני!E13</f>
        <v>0</v>
      </c>
      <c r="I16" s="274" t="n">
        <f aca="false">יולי!F13</f>
        <v>0</v>
      </c>
      <c r="J16" s="274" t="n">
        <f aca="false">אוגוסט!F13</f>
        <v>0</v>
      </c>
      <c r="K16" s="274" t="n">
        <f aca="false">ספטמבר!F13</f>
        <v>0</v>
      </c>
      <c r="L16" s="274" t="n">
        <f aca="false">אוקטובר!F13</f>
        <v>0</v>
      </c>
      <c r="M16" s="274" t="n">
        <f aca="false">נובמבר!F13</f>
        <v>0</v>
      </c>
      <c r="N16" s="274" t="n">
        <f aca="false">דצמבר!F13</f>
        <v>-14.28</v>
      </c>
      <c r="O16" s="274" t="n">
        <f aca="false">ינואר!F13</f>
        <v>0</v>
      </c>
      <c r="P16" s="274" t="n">
        <f aca="false">פברואר!F13</f>
        <v>0</v>
      </c>
      <c r="Q16" s="274" t="n">
        <f aca="false">מרץ!F13</f>
        <v>0</v>
      </c>
      <c r="R16" s="274" t="n">
        <f aca="false">אפריל!F13</f>
        <v>0</v>
      </c>
      <c r="S16" s="274" t="n">
        <f aca="false">מאי!F13</f>
        <v>0</v>
      </c>
      <c r="T16" s="274" t="n">
        <f aca="false">יוני!F13</f>
        <v>0</v>
      </c>
      <c r="U16" s="274" t="n">
        <f aca="false">יולי!G13</f>
        <v>0</v>
      </c>
      <c r="V16" s="274" t="n">
        <f aca="false">אוגוסט!G13</f>
        <v>0</v>
      </c>
      <c r="W16" s="274" t="n">
        <f aca="false">ספטמבר!G13</f>
        <v>0</v>
      </c>
      <c r="X16" s="274" t="n">
        <f aca="false">אוקטובר!G13</f>
        <v>514.2</v>
      </c>
      <c r="Y16" s="274" t="n">
        <f aca="false">נובמבר!G13</f>
        <v>0</v>
      </c>
      <c r="Z16" s="274" t="n">
        <f aca="false">דצמבר!G13</f>
        <v>0</v>
      </c>
      <c r="AA16" s="274" t="n">
        <f aca="false">ינואר!G13</f>
        <v>0</v>
      </c>
      <c r="AB16" s="274" t="n">
        <f aca="false">פברואר!G13</f>
        <v>0</v>
      </c>
      <c r="AC16" s="274" t="n">
        <f aca="false">מרץ!G13</f>
        <v>0</v>
      </c>
      <c r="AD16" s="274" t="n">
        <f aca="false">אפריל!G13</f>
        <v>0</v>
      </c>
      <c r="AE16" s="274" t="n">
        <f aca="false">מאי!G13</f>
        <v>1896.82</v>
      </c>
      <c r="AF16" s="274" t="n">
        <f aca="false">יוני!G13</f>
        <v>0</v>
      </c>
      <c r="AG16" s="274" t="n">
        <f aca="false">יולי!H13</f>
        <v>0</v>
      </c>
      <c r="AH16" s="274" t="n">
        <f aca="false">אוגוסט!H13</f>
        <v>0</v>
      </c>
      <c r="AI16" s="274" t="n">
        <f aca="false">ספטמבר!H13</f>
        <v>0</v>
      </c>
      <c r="AJ16" s="274" t="n">
        <f aca="false">אוקטובר!H13</f>
        <v>0</v>
      </c>
      <c r="AK16" s="274" t="n">
        <f aca="false">נובמבר!H13</f>
        <v>0</v>
      </c>
      <c r="AL16" s="274" t="n">
        <f aca="false">דצמבר!H13</f>
        <v>0</v>
      </c>
    </row>
    <row r="17" customFormat="false" ht="15" hidden="false" customHeight="true" outlineLevel="0" collapsed="false">
      <c r="A17" s="93" t="str">
        <f aca="false">ינואר!C14</f>
        <v>בתי חולים ושרות</v>
      </c>
      <c r="B17" s="93" t="s">
        <v>2433</v>
      </c>
      <c r="C17" s="274" t="n">
        <f aca="false">ינואר!E14</f>
        <v>0</v>
      </c>
      <c r="D17" s="274" t="n">
        <f aca="false">פברואר!E14</f>
        <v>0</v>
      </c>
      <c r="E17" s="274" t="n">
        <f aca="false">מרץ!E14</f>
        <v>1275.21</v>
      </c>
      <c r="F17" s="274" t="n">
        <f aca="false">אפריל!E14</f>
        <v>0</v>
      </c>
      <c r="G17" s="274" t="n">
        <f aca="false">מאי!E14</f>
        <v>0</v>
      </c>
      <c r="H17" s="274" t="n">
        <f aca="false">יוני!E14</f>
        <v>4579.64</v>
      </c>
      <c r="I17" s="274" t="n">
        <f aca="false">יולי!F14</f>
        <v>0</v>
      </c>
      <c r="J17" s="274" t="n">
        <f aca="false">אוגוסט!F14</f>
        <v>0</v>
      </c>
      <c r="K17" s="274" t="n">
        <f aca="false">ספטמבר!F14</f>
        <v>0</v>
      </c>
      <c r="L17" s="274" t="n">
        <f aca="false">אוקטובר!F14</f>
        <v>507.08</v>
      </c>
      <c r="M17" s="274" t="n">
        <f aca="false">נובמבר!F14</f>
        <v>695.57</v>
      </c>
      <c r="N17" s="274" t="n">
        <f aca="false">דצמבר!F14</f>
        <v>2520</v>
      </c>
      <c r="O17" s="274" t="n">
        <f aca="false">ינואר!F14</f>
        <v>0</v>
      </c>
      <c r="P17" s="274" t="n">
        <f aca="false">פברואר!F14</f>
        <v>11067.51</v>
      </c>
      <c r="Q17" s="274" t="n">
        <f aca="false">מרץ!F14</f>
        <v>0</v>
      </c>
      <c r="R17" s="274" t="n">
        <f aca="false">אפריל!F14</f>
        <v>0</v>
      </c>
      <c r="S17" s="274" t="n">
        <f aca="false">מאי!F14</f>
        <v>0</v>
      </c>
      <c r="T17" s="274" t="n">
        <f aca="false">יוני!F14</f>
        <v>0</v>
      </c>
      <c r="U17" s="274" t="n">
        <f aca="false">יולי!G14</f>
        <v>651.15</v>
      </c>
      <c r="V17" s="274" t="n">
        <f aca="false">אוגוסט!G14</f>
        <v>0</v>
      </c>
      <c r="W17" s="274" t="n">
        <f aca="false">ספטמבר!G14</f>
        <v>0</v>
      </c>
      <c r="X17" s="274" t="n">
        <f aca="false">אוקטובר!G14</f>
        <v>0</v>
      </c>
      <c r="Y17" s="274" t="n">
        <f aca="false">נובמבר!G14</f>
        <v>0</v>
      </c>
      <c r="Z17" s="274" t="n">
        <f aca="false">דצמבר!G14</f>
        <v>1813.57</v>
      </c>
      <c r="AA17" s="274" t="n">
        <f aca="false">ינואר!G14</f>
        <v>2523.6</v>
      </c>
      <c r="AB17" s="274" t="n">
        <f aca="false">פברואר!G14</f>
        <v>947.38</v>
      </c>
      <c r="AC17" s="274" t="n">
        <f aca="false">מרץ!G14</f>
        <v>0</v>
      </c>
      <c r="AD17" s="274" t="n">
        <f aca="false">אפריל!G14</f>
        <v>847.74</v>
      </c>
      <c r="AE17" s="274" t="n">
        <f aca="false">מאי!G14</f>
        <v>3430</v>
      </c>
      <c r="AF17" s="274" t="n">
        <f aca="false">יוני!G14</f>
        <v>0</v>
      </c>
      <c r="AG17" s="274" t="n">
        <f aca="false">יולי!H14</f>
        <v>478.2</v>
      </c>
      <c r="AH17" s="274" t="n">
        <f aca="false">אוגוסט!H14</f>
        <v>0</v>
      </c>
      <c r="AI17" s="274" t="n">
        <f aca="false">ספטמבר!H14</f>
        <v>6726.56</v>
      </c>
      <c r="AJ17" s="274" t="n">
        <f aca="false">אוקטובר!H14</f>
        <v>0</v>
      </c>
      <c r="AK17" s="274" t="n">
        <f aca="false">נובמבר!H14</f>
        <v>0</v>
      </c>
      <c r="AL17" s="274" t="n">
        <f aca="false">דצמבר!H14</f>
        <v>0</v>
      </c>
    </row>
    <row r="18" customFormat="false" ht="15" hidden="false" customHeight="true" outlineLevel="0" collapsed="false">
      <c r="A18" s="93" t="str">
        <f aca="false">ינואר!C15</f>
        <v>מכוני פיזיותרפיה</v>
      </c>
      <c r="B18" s="93" t="s">
        <v>2433</v>
      </c>
      <c r="C18" s="274" t="n">
        <f aca="false">ינואר!E15</f>
        <v>4135.49</v>
      </c>
      <c r="D18" s="274" t="n">
        <f aca="false">פברואר!E15</f>
        <v>8592.99</v>
      </c>
      <c r="E18" s="274" t="n">
        <f aca="false">מרץ!E15</f>
        <v>7451.5</v>
      </c>
      <c r="F18" s="274" t="n">
        <f aca="false">אפריל!E15</f>
        <v>3314.43</v>
      </c>
      <c r="G18" s="274" t="n">
        <f aca="false">מאי!E15</f>
        <v>3187.34</v>
      </c>
      <c r="H18" s="274" t="n">
        <f aca="false">יוני!E15</f>
        <v>5235.63</v>
      </c>
      <c r="I18" s="274" t="n">
        <f aca="false">יולי!F15</f>
        <v>16671.18</v>
      </c>
      <c r="J18" s="274" t="n">
        <f aca="false">אוגוסט!F15</f>
        <v>6797.75</v>
      </c>
      <c r="K18" s="274" t="n">
        <f aca="false">ספטמבר!F15</f>
        <v>5902.85</v>
      </c>
      <c r="L18" s="274" t="n">
        <f aca="false">אוקטובר!F15</f>
        <v>2059.32</v>
      </c>
      <c r="M18" s="274" t="n">
        <f aca="false">נובמבר!F15</f>
        <v>5017.43</v>
      </c>
      <c r="N18" s="274" t="n">
        <f aca="false">דצמבר!F15</f>
        <v>4549.9</v>
      </c>
      <c r="O18" s="274" t="n">
        <f aca="false">ינואר!F15</f>
        <v>15213.91</v>
      </c>
      <c r="P18" s="274" t="n">
        <f aca="false">פברואר!F15</f>
        <v>12501.56</v>
      </c>
      <c r="Q18" s="274" t="n">
        <f aca="false">מרץ!F15</f>
        <v>2138.43</v>
      </c>
      <c r="R18" s="274" t="n">
        <f aca="false">אפריל!F15</f>
        <v>5898.37</v>
      </c>
      <c r="S18" s="274" t="n">
        <f aca="false">מאי!F15</f>
        <v>707.660000000001</v>
      </c>
      <c r="T18" s="274" t="n">
        <f aca="false">יוני!F15</f>
        <v>17697.58</v>
      </c>
      <c r="U18" s="274" t="n">
        <f aca="false">יולי!G15</f>
        <v>7828.72</v>
      </c>
      <c r="V18" s="274" t="n">
        <f aca="false">אוגוסט!G15</f>
        <v>5704.97</v>
      </c>
      <c r="W18" s="274" t="n">
        <f aca="false">ספטמבר!G15</f>
        <v>9679.47</v>
      </c>
      <c r="X18" s="274" t="n">
        <f aca="false">אוקטובר!G15</f>
        <v>4038.81</v>
      </c>
      <c r="Y18" s="274" t="n">
        <f aca="false">נובמבר!G15</f>
        <v>12930.62</v>
      </c>
      <c r="Z18" s="274" t="n">
        <f aca="false">דצמבר!G15</f>
        <v>361.5</v>
      </c>
      <c r="AA18" s="274" t="n">
        <f aca="false">ינואר!G15</f>
        <v>11467.92</v>
      </c>
      <c r="AB18" s="274" t="n">
        <f aca="false">פברואר!G15</f>
        <v>15269.72</v>
      </c>
      <c r="AC18" s="274" t="n">
        <f aca="false">מרץ!G15</f>
        <v>6672.87</v>
      </c>
      <c r="AD18" s="274" t="n">
        <f aca="false">אפריל!G15</f>
        <v>33906.96</v>
      </c>
      <c r="AE18" s="274" t="n">
        <f aca="false">מאי!G15</f>
        <v>6150.22</v>
      </c>
      <c r="AF18" s="274" t="n">
        <f aca="false">יוני!G15</f>
        <v>15643.41</v>
      </c>
      <c r="AG18" s="274" t="n">
        <f aca="false">יולי!H15</f>
        <v>10025.73</v>
      </c>
      <c r="AH18" s="274" t="n">
        <f aca="false">אוגוסט!H15</f>
        <v>10118.69</v>
      </c>
      <c r="AI18" s="274" t="n">
        <f aca="false">ספטמבר!H15</f>
        <v>9421.74</v>
      </c>
      <c r="AJ18" s="274" t="n">
        <f aca="false">אוקטובר!H15</f>
        <v>0</v>
      </c>
      <c r="AK18" s="274" t="n">
        <f aca="false">נובמבר!H15</f>
        <v>0</v>
      </c>
      <c r="AL18" s="274" t="n">
        <f aca="false">דצמבר!H15</f>
        <v>0</v>
      </c>
    </row>
    <row r="19" customFormat="false" ht="15" hidden="false" customHeight="true" outlineLevel="0" collapsed="false">
      <c r="A19" s="93" t="str">
        <f aca="false">ינואר!C17</f>
        <v>לקוחות אינטרנט</v>
      </c>
      <c r="B19" s="93" t="s">
        <v>2433</v>
      </c>
      <c r="C19" s="274" t="n">
        <f aca="false">ינואר!E17</f>
        <v>42663.04</v>
      </c>
      <c r="D19" s="274" t="n">
        <f aca="false">פברואר!E17</f>
        <v>40630.42</v>
      </c>
      <c r="E19" s="274" t="n">
        <f aca="false">מרץ!E17</f>
        <v>45122.89</v>
      </c>
      <c r="F19" s="274" t="n">
        <f aca="false">אפריל!E17</f>
        <v>43476.43</v>
      </c>
      <c r="G19" s="274" t="n">
        <f aca="false">מאי!E17</f>
        <v>49304.7</v>
      </c>
      <c r="H19" s="274" t="n">
        <f aca="false">יוני!E17</f>
        <v>52569.54</v>
      </c>
      <c r="I19" s="274" t="n">
        <f aca="false">יולי!F17</f>
        <v>56033.8100000001</v>
      </c>
      <c r="J19" s="274" t="n">
        <f aca="false">אוגוסט!F17</f>
        <v>43626.89</v>
      </c>
      <c r="K19" s="274" t="n">
        <f aca="false">ספטמבר!F17</f>
        <v>56193.1900000001</v>
      </c>
      <c r="L19" s="274" t="n">
        <f aca="false">אוקטובר!F17</f>
        <v>71675.5700000002</v>
      </c>
      <c r="M19" s="274" t="n">
        <f aca="false">נובמבר!F17</f>
        <v>87038.7499999997</v>
      </c>
      <c r="N19" s="274" t="n">
        <f aca="false">דצמבר!F17</f>
        <v>95223.2699999995</v>
      </c>
      <c r="O19" s="274" t="n">
        <f aca="false">ינואר!F17</f>
        <v>92988.1699999996</v>
      </c>
      <c r="P19" s="274" t="n">
        <f aca="false">פברואר!F17</f>
        <v>97231.1799999998</v>
      </c>
      <c r="Q19" s="274" t="n">
        <f aca="false">מרץ!F17</f>
        <v>98819.24</v>
      </c>
      <c r="R19" s="274" t="n">
        <f aca="false">אפריל!F17</f>
        <v>96447.3100000002</v>
      </c>
      <c r="S19" s="274" t="n">
        <f aca="false">מאי!F17</f>
        <v>99302.9500000002</v>
      </c>
      <c r="T19" s="274" t="n">
        <f aca="false">יוני!F17</f>
        <v>128892.76</v>
      </c>
      <c r="U19" s="274" t="n">
        <f aca="false">יולי!G17</f>
        <v>163496.619999998</v>
      </c>
      <c r="V19" s="274" t="n">
        <f aca="false">אוגוסט!G17</f>
        <v>136844.33</v>
      </c>
      <c r="W19" s="274" t="n">
        <f aca="false">ספטמבר!G17</f>
        <v>143120.649999998</v>
      </c>
      <c r="X19" s="274" t="n">
        <f aca="false">אוקטובר!G17</f>
        <v>136200.54</v>
      </c>
      <c r="Y19" s="274" t="n">
        <f aca="false">נובמבר!G17</f>
        <v>249690.080000002</v>
      </c>
      <c r="Z19" s="274" t="n">
        <f aca="false">דצמבר!G17</f>
        <v>213224.459999998</v>
      </c>
      <c r="AA19" s="274" t="n">
        <f aca="false">ינואר!G17</f>
        <v>212354.119999999</v>
      </c>
      <c r="AB19" s="274" t="n">
        <f aca="false">פברואר!G17</f>
        <v>236431.199999999</v>
      </c>
      <c r="AC19" s="274" t="n">
        <f aca="false">מרץ!G17</f>
        <v>409497.070000013</v>
      </c>
      <c r="AD19" s="274" t="n">
        <f aca="false">אפריל!G17</f>
        <v>544858.410000022</v>
      </c>
      <c r="AE19" s="274" t="n">
        <f aca="false">מאי!G17</f>
        <v>404699.340000001</v>
      </c>
      <c r="AF19" s="274" t="n">
        <f aca="false">יוני!G17</f>
        <v>423398.059999998</v>
      </c>
      <c r="AG19" s="274" t="n">
        <f aca="false">יולי!H17</f>
        <v>398018.329999997</v>
      </c>
      <c r="AH19" s="274" t="n">
        <f aca="false">אוגוסט!H17</f>
        <v>391167.74</v>
      </c>
      <c r="AI19" s="274" t="n">
        <f aca="false">ספטמבר!H17</f>
        <v>347579.04</v>
      </c>
      <c r="AJ19" s="274" t="n">
        <f aca="false">אוקטובר!H17</f>
        <v>0</v>
      </c>
      <c r="AK19" s="274" t="n">
        <f aca="false">נובמבר!H17</f>
        <v>0</v>
      </c>
      <c r="AL19" s="274" t="n">
        <f aca="false">דצמבר!H17</f>
        <v>0</v>
      </c>
    </row>
    <row r="20" customFormat="false" ht="15" hidden="false" customHeight="true" outlineLevel="0" collapsed="false">
      <c r="A20" s="93" t="str">
        <f aca="false">ינואר!C18</f>
        <v>סופר פארם מרקט פלייס</v>
      </c>
      <c r="B20" s="93" t="s">
        <v>2433</v>
      </c>
      <c r="C20" s="274" t="n">
        <f aca="false">ינואר!E18</f>
        <v>1654.88</v>
      </c>
      <c r="D20" s="274" t="n">
        <f aca="false">פברואר!E18</f>
        <v>2455.66</v>
      </c>
      <c r="E20" s="274" t="n">
        <f aca="false">מרץ!E18</f>
        <v>2233.52</v>
      </c>
      <c r="F20" s="274" t="n">
        <f aca="false">אפריל!E18</f>
        <v>2046.43</v>
      </c>
      <c r="G20" s="274" t="n">
        <f aca="false">מאי!E18</f>
        <v>2364.29</v>
      </c>
      <c r="H20" s="274" t="n">
        <f aca="false">יוני!E18</f>
        <v>5374.81</v>
      </c>
      <c r="I20" s="274" t="n">
        <f aca="false">יולי!F18</f>
        <v>1788.03</v>
      </c>
      <c r="J20" s="274" t="n">
        <f aca="false">אוגוסט!F18</f>
        <v>4027.72</v>
      </c>
      <c r="K20" s="274" t="n">
        <f aca="false">ספטמבר!F18</f>
        <v>3358.59</v>
      </c>
      <c r="L20" s="274" t="n">
        <f aca="false">אוקטובר!F18</f>
        <v>3795.33</v>
      </c>
      <c r="M20" s="274" t="n">
        <f aca="false">נובמבר!F18</f>
        <v>3533.44</v>
      </c>
      <c r="N20" s="274" t="n">
        <f aca="false">דצמבר!F18</f>
        <v>3126.19</v>
      </c>
      <c r="O20" s="274" t="n">
        <f aca="false">ינואר!F18</f>
        <v>2032.3</v>
      </c>
      <c r="P20" s="274" t="n">
        <f aca="false">פברואר!F18</f>
        <v>3188.82</v>
      </c>
      <c r="Q20" s="274" t="n">
        <f aca="false">מרץ!F18</f>
        <v>3577.56</v>
      </c>
      <c r="R20" s="274" t="n">
        <f aca="false">אפריל!F18</f>
        <v>2606.4</v>
      </c>
      <c r="S20" s="274" t="n">
        <f aca="false">מאי!F18</f>
        <v>1491.14</v>
      </c>
      <c r="T20" s="274" t="n">
        <f aca="false">יוני!F18</f>
        <v>4432.93</v>
      </c>
      <c r="U20" s="274" t="n">
        <f aca="false">יולי!G18</f>
        <v>1318.12</v>
      </c>
      <c r="V20" s="274" t="n">
        <f aca="false">אוגוסט!G18</f>
        <v>2497.52</v>
      </c>
      <c r="W20" s="274" t="n">
        <f aca="false">ספטמבר!G18</f>
        <v>1798.35</v>
      </c>
      <c r="X20" s="274" t="n">
        <f aca="false">אוקטובר!G18</f>
        <v>1762.26</v>
      </c>
      <c r="Y20" s="274" t="n">
        <f aca="false">נובמבר!G18</f>
        <v>1058.88</v>
      </c>
      <c r="Z20" s="274" t="n">
        <f aca="false">דצמבר!G18</f>
        <v>1561.46</v>
      </c>
      <c r="AA20" s="274" t="n">
        <f aca="false">ינואר!G18</f>
        <v>1274.4</v>
      </c>
      <c r="AB20" s="274" t="n">
        <f aca="false">פברואר!G18</f>
        <v>1747</v>
      </c>
      <c r="AC20" s="274" t="n">
        <f aca="false">מרץ!G18</f>
        <v>2065.63</v>
      </c>
      <c r="AD20" s="274" t="n">
        <f aca="false">אפריל!G18</f>
        <v>1302.94</v>
      </c>
      <c r="AE20" s="274" t="n">
        <f aca="false">מאי!G18</f>
        <v>2347.76</v>
      </c>
      <c r="AF20" s="274" t="n">
        <f aca="false">יוני!G18</f>
        <v>1069.29</v>
      </c>
      <c r="AG20" s="274" t="n">
        <f aca="false">יולי!H18</f>
        <v>1741.74</v>
      </c>
      <c r="AH20" s="274" t="n">
        <f aca="false">אוגוסט!H18</f>
        <v>1484.7</v>
      </c>
      <c r="AI20" s="274" t="n">
        <f aca="false">ספטמבר!H18</f>
        <v>547.02</v>
      </c>
      <c r="AJ20" s="274" t="n">
        <f aca="false">אוקטובר!H18</f>
        <v>0</v>
      </c>
      <c r="AK20" s="274" t="n">
        <f aca="false">נובמבר!H18</f>
        <v>0</v>
      </c>
      <c r="AL20" s="274" t="n">
        <f aca="false">דצמבר!H18</f>
        <v>0</v>
      </c>
    </row>
    <row r="21" customFormat="false" ht="15" hidden="false" customHeight="true" outlineLevel="0" collapsed="false">
      <c r="A21" s="93" t="str">
        <f aca="false">ינואר!C20</f>
        <v>AMAZON</v>
      </c>
      <c r="B21" s="93" t="s">
        <v>2435</v>
      </c>
      <c r="C21" s="274" t="n">
        <f aca="false">ינואר!E20</f>
        <v>391520.95</v>
      </c>
      <c r="D21" s="274" t="n">
        <f aca="false">פברואר!E20</f>
        <v>377981.61</v>
      </c>
      <c r="E21" s="274" t="n">
        <f aca="false">מרץ!E20</f>
        <v>334336.04</v>
      </c>
      <c r="F21" s="274" t="n">
        <f aca="false">אפריל!E20</f>
        <v>264520.55</v>
      </c>
      <c r="G21" s="274" t="n">
        <f aca="false">מאי!E20</f>
        <v>318316.8</v>
      </c>
      <c r="H21" s="274" t="n">
        <f aca="false">יוני!E20</f>
        <v>371311.12</v>
      </c>
      <c r="I21" s="274" t="n">
        <f aca="false">יולי!F20</f>
        <v>316462.25</v>
      </c>
      <c r="J21" s="274" t="n">
        <f aca="false">אוגוסט!F20</f>
        <v>273201.5</v>
      </c>
      <c r="K21" s="274" t="n">
        <f aca="false">ספטמבר!F20</f>
        <v>258929.86</v>
      </c>
      <c r="L21" s="274" t="n">
        <f aca="false">אוקטובר!F20</f>
        <v>234970.3</v>
      </c>
      <c r="M21" s="274" t="n">
        <f aca="false">נובמבר!F20</f>
        <v>169336.07</v>
      </c>
      <c r="N21" s="274" t="n">
        <f aca="false">דצמבר!F20</f>
        <v>190607.48</v>
      </c>
      <c r="O21" s="274" t="n">
        <f aca="false">ינואר!F20</f>
        <v>187395.64</v>
      </c>
      <c r="P21" s="274" t="n">
        <f aca="false">פברואר!F20</f>
        <v>188313.47</v>
      </c>
      <c r="Q21" s="274" t="n">
        <f aca="false">מרץ!F20</f>
        <v>239973.2</v>
      </c>
      <c r="R21" s="274" t="n">
        <f aca="false">אפריל!F20</f>
        <v>238431.78</v>
      </c>
      <c r="S21" s="274" t="n">
        <f aca="false">מאי!F20</f>
        <v>252540.02</v>
      </c>
      <c r="T21" s="274" t="n">
        <f aca="false">יוני!F20</f>
        <v>68328.76</v>
      </c>
      <c r="U21" s="274" t="n">
        <f aca="false">יולי!G20</f>
        <v>353503.85</v>
      </c>
      <c r="V21" s="274" t="n">
        <f aca="false">אוגוסט!G20</f>
        <v>252496.44</v>
      </c>
      <c r="W21" s="274" t="n">
        <f aca="false">ספטמבר!G20</f>
        <v>247434.35</v>
      </c>
      <c r="X21" s="274" t="n">
        <f aca="false">אוקטובר!G20</f>
        <v>223589.21</v>
      </c>
      <c r="Y21" s="274" t="n">
        <f aca="false">נובמבר!G20</f>
        <v>271266.06</v>
      </c>
      <c r="Z21" s="274" t="n">
        <f aca="false">דצמבר!G20</f>
        <v>182118.44</v>
      </c>
      <c r="AA21" s="274" t="n">
        <f aca="false">ינואר!G20</f>
        <v>178026.69</v>
      </c>
      <c r="AB21" s="274" t="n">
        <f aca="false">פברואר!G20</f>
        <v>194189.2</v>
      </c>
      <c r="AC21" s="274" t="n">
        <f aca="false">מרץ!G20</f>
        <v>213959.66</v>
      </c>
      <c r="AD21" s="274" t="n">
        <f aca="false">אפריל!G20</f>
        <v>214988.69</v>
      </c>
      <c r="AE21" s="274" t="n">
        <f aca="false">מאי!G20</f>
        <v>224163.96</v>
      </c>
      <c r="AF21" s="274" t="n">
        <f aca="false">יוני!G20</f>
        <v>229029.21</v>
      </c>
      <c r="AG21" s="274" t="n">
        <f aca="false">יולי!H20</f>
        <v>223994.55</v>
      </c>
      <c r="AH21" s="274" t="n">
        <f aca="false">אוגוסט!H20</f>
        <v>202592.25</v>
      </c>
      <c r="AI21" s="274" t="n">
        <f aca="false">ספטמבר!H20</f>
        <v>198718.53</v>
      </c>
      <c r="AJ21" s="274" t="n">
        <f aca="false">אוקטובר!H20</f>
        <v>0</v>
      </c>
      <c r="AK21" s="274" t="n">
        <f aca="false">נובמבר!H20</f>
        <v>0</v>
      </c>
      <c r="AL21" s="274" t="n">
        <f aca="false">דצמבר!H20</f>
        <v>0</v>
      </c>
    </row>
    <row r="22" customFormat="false" ht="15" hidden="false" customHeight="true" outlineLevel="0" collapsed="false">
      <c r="A22" s="93" t="str">
        <f aca="false">ינואר!C21</f>
        <v>SUPER PHARM POLAND</v>
      </c>
      <c r="B22" s="93" t="s">
        <v>2435</v>
      </c>
      <c r="C22" s="274" t="n">
        <f aca="false">ינואר!E21</f>
        <v>203.73</v>
      </c>
      <c r="D22" s="274" t="n">
        <f aca="false">פברואר!E21</f>
        <v>255841.44</v>
      </c>
      <c r="E22" s="274" t="n">
        <f aca="false">מרץ!E21</f>
        <v>0</v>
      </c>
      <c r="F22" s="274" t="n">
        <f aca="false">אפריל!E21</f>
        <v>184350.47</v>
      </c>
      <c r="G22" s="274" t="n">
        <f aca="false">מאי!E21</f>
        <v>0</v>
      </c>
      <c r="H22" s="274" t="n">
        <f aca="false">יוני!E21</f>
        <v>0</v>
      </c>
      <c r="I22" s="274" t="n">
        <f aca="false">יולי!F21</f>
        <v>143527.77</v>
      </c>
      <c r="J22" s="274" t="n">
        <f aca="false">אוגוסט!F21</f>
        <v>-2422.68</v>
      </c>
      <c r="K22" s="274" t="n">
        <f aca="false">ספטמבר!F21</f>
        <v>159908.54</v>
      </c>
      <c r="L22" s="274" t="n">
        <f aca="false">אוקטובר!F21</f>
        <v>0</v>
      </c>
      <c r="M22" s="274" t="n">
        <f aca="false">נובמבר!F21</f>
        <v>0</v>
      </c>
      <c r="N22" s="274" t="n">
        <f aca="false">דצמבר!F21</f>
        <v>137974.18</v>
      </c>
      <c r="O22" s="274" t="n">
        <f aca="false">ינואר!F21</f>
        <v>0</v>
      </c>
      <c r="P22" s="274" t="n">
        <f aca="false">פברואר!F21</f>
        <v>213082.56</v>
      </c>
      <c r="Q22" s="274" t="n">
        <f aca="false">מרץ!F21</f>
        <v>0</v>
      </c>
      <c r="R22" s="274" t="n">
        <f aca="false">אפריל!F21</f>
        <v>217182.24</v>
      </c>
      <c r="S22" s="274" t="n">
        <f aca="false">מאי!F21</f>
        <v>0</v>
      </c>
      <c r="T22" s="274" t="n">
        <f aca="false">יוני!F21</f>
        <v>0</v>
      </c>
      <c r="U22" s="274" t="n">
        <f aca="false">יולי!G21</f>
        <v>187405.66</v>
      </c>
      <c r="V22" s="274" t="n">
        <f aca="false">אוגוסט!G21</f>
        <v>0</v>
      </c>
      <c r="W22" s="274" t="n">
        <f aca="false">ספטמבר!G21</f>
        <v>0</v>
      </c>
      <c r="X22" s="274" t="n">
        <f aca="false">אוקטובר!G21</f>
        <v>140125.45</v>
      </c>
      <c r="Y22" s="274" t="n">
        <f aca="false">נובמבר!G21</f>
        <v>0</v>
      </c>
      <c r="Z22" s="274" t="n">
        <f aca="false">דצמבר!G21</f>
        <v>144741.73</v>
      </c>
      <c r="AA22" s="274" t="n">
        <f aca="false">ינואר!G21</f>
        <v>0</v>
      </c>
      <c r="AB22" s="274" t="n">
        <f aca="false">פברואר!G21</f>
        <v>137198.2</v>
      </c>
      <c r="AC22" s="274" t="n">
        <f aca="false">מרץ!G21</f>
        <v>0</v>
      </c>
      <c r="AD22" s="274" t="n">
        <f aca="false">אפריל!G21</f>
        <v>0</v>
      </c>
      <c r="AE22" s="274" t="n">
        <f aca="false">מאי!G21</f>
        <v>204882.82</v>
      </c>
      <c r="AF22" s="274" t="n">
        <f aca="false">יוני!G21</f>
        <v>0</v>
      </c>
      <c r="AG22" s="274" t="n">
        <f aca="false">יולי!H21</f>
        <v>0</v>
      </c>
      <c r="AH22" s="274" t="n">
        <f aca="false">אוגוסט!H21</f>
        <v>132101.57</v>
      </c>
      <c r="AI22" s="274" t="n">
        <f aca="false">ספטמבר!H21</f>
        <v>0</v>
      </c>
      <c r="AJ22" s="274" t="n">
        <f aca="false">אוקטובר!H21</f>
        <v>0</v>
      </c>
      <c r="AK22" s="274" t="n">
        <f aca="false">נובמבר!H21</f>
        <v>0</v>
      </c>
      <c r="AL22" s="274" t="n">
        <f aca="false">דצמבר!H21</f>
        <v>0</v>
      </c>
    </row>
    <row r="23" customFormat="false" ht="15" hidden="false" customHeight="true" outlineLevel="0" collapsed="false">
      <c r="A23" s="93" t="str">
        <f aca="false">ינואר!C22</f>
        <v>ORTHO- PARTNER AG.</v>
      </c>
      <c r="B23" s="93" t="s">
        <v>2435</v>
      </c>
      <c r="C23" s="274" t="n">
        <f aca="false">ינואר!E22</f>
        <v>49158.59</v>
      </c>
      <c r="D23" s="274" t="n">
        <f aca="false">פברואר!E22</f>
        <v>73976.74</v>
      </c>
      <c r="E23" s="274" t="n">
        <f aca="false">מרץ!E22</f>
        <v>11470.17</v>
      </c>
      <c r="F23" s="274" t="n">
        <f aca="false">אפריל!E22</f>
        <v>0</v>
      </c>
      <c r="G23" s="274" t="n">
        <f aca="false">מאי!E22</f>
        <v>169505.88</v>
      </c>
      <c r="H23" s="274" t="n">
        <f aca="false">יוני!E22</f>
        <v>14810.7</v>
      </c>
      <c r="I23" s="274" t="n">
        <f aca="false">יולי!F22</f>
        <v>61466.82</v>
      </c>
      <c r="J23" s="274" t="n">
        <f aca="false">אוגוסט!F22</f>
        <v>16110.54</v>
      </c>
      <c r="K23" s="274" t="n">
        <f aca="false">ספטמבר!F22</f>
        <v>16422.81</v>
      </c>
      <c r="L23" s="274" t="n">
        <f aca="false">אוקטובר!F22</f>
        <v>92018.45</v>
      </c>
      <c r="M23" s="274" t="n">
        <f aca="false">נובמבר!F22</f>
        <v>127411.06</v>
      </c>
      <c r="N23" s="274" t="n">
        <f aca="false">דצמבר!F22</f>
        <v>1400.99</v>
      </c>
      <c r="O23" s="274" t="n">
        <f aca="false">ינואר!F22</f>
        <v>18517.61</v>
      </c>
      <c r="P23" s="274" t="n">
        <f aca="false">פברואר!F22</f>
        <v>35605.91</v>
      </c>
      <c r="Q23" s="274" t="n">
        <f aca="false">מרץ!F22</f>
        <v>26449.51</v>
      </c>
      <c r="R23" s="274" t="n">
        <f aca="false">אפריל!F22</f>
        <v>0</v>
      </c>
      <c r="S23" s="274" t="n">
        <f aca="false">מאי!F22</f>
        <v>1513.3</v>
      </c>
      <c r="T23" s="274" t="n">
        <f aca="false">יוני!F22</f>
        <v>0</v>
      </c>
      <c r="U23" s="274" t="n">
        <f aca="false">יולי!G22</f>
        <v>194396.85</v>
      </c>
      <c r="V23" s="274" t="n">
        <f aca="false">אוגוסט!G22</f>
        <v>64506.58</v>
      </c>
      <c r="W23" s="274" t="n">
        <f aca="false">ספטמבר!G22</f>
        <v>10281.02</v>
      </c>
      <c r="X23" s="274" t="n">
        <f aca="false">אוקטובר!G22</f>
        <v>596.73</v>
      </c>
      <c r="Y23" s="274" t="n">
        <f aca="false">נובמבר!G22</f>
        <v>53932.22</v>
      </c>
      <c r="Z23" s="274" t="n">
        <f aca="false">דצמבר!G22</f>
        <v>121.12</v>
      </c>
      <c r="AA23" s="274" t="n">
        <f aca="false">ינואר!G22</f>
        <v>124895.37</v>
      </c>
      <c r="AB23" s="274" t="n">
        <f aca="false">פברואר!G22</f>
        <v>17835.42</v>
      </c>
      <c r="AC23" s="274" t="n">
        <f aca="false">מרץ!G22</f>
        <v>6418.64</v>
      </c>
      <c r="AD23" s="274" t="n">
        <f aca="false">אפריל!G22</f>
        <v>123835.02</v>
      </c>
      <c r="AE23" s="274" t="n">
        <f aca="false">מאי!G22</f>
        <v>5036.8</v>
      </c>
      <c r="AF23" s="274" t="n">
        <f aca="false">יוני!G22</f>
        <v>55255.27</v>
      </c>
      <c r="AG23" s="274" t="n">
        <f aca="false">יולי!H22</f>
        <v>0</v>
      </c>
      <c r="AH23" s="274" t="n">
        <f aca="false">אוגוסט!H22</f>
        <v>10986.57</v>
      </c>
      <c r="AI23" s="274" t="n">
        <f aca="false">ספטמבר!H22</f>
        <v>0</v>
      </c>
      <c r="AJ23" s="274" t="n">
        <f aca="false">אוקטובר!H22</f>
        <v>0</v>
      </c>
      <c r="AK23" s="274" t="n">
        <f aca="false">נובמבר!H22</f>
        <v>0</v>
      </c>
      <c r="AL23" s="274" t="n">
        <f aca="false">דצמבר!H22</f>
        <v>0</v>
      </c>
    </row>
    <row r="24" customFormat="false" ht="15" hidden="false" customHeight="true" outlineLevel="0" collapsed="false">
      <c r="A24" s="93" t="str">
        <f aca="false">ינואר!C23</f>
        <v>SANAFLEX ANATOMIC</v>
      </c>
      <c r="B24" s="93" t="s">
        <v>2435</v>
      </c>
      <c r="C24" s="274" t="n">
        <f aca="false">ינואר!E23</f>
        <v>68604.55</v>
      </c>
      <c r="D24" s="274" t="n">
        <f aca="false">פברואר!E23</f>
        <v>0</v>
      </c>
      <c r="E24" s="274" t="n">
        <f aca="false">מרץ!E23</f>
        <v>84607.51</v>
      </c>
      <c r="F24" s="274" t="n">
        <f aca="false">אפריל!E23</f>
        <v>0</v>
      </c>
      <c r="G24" s="274" t="n">
        <f aca="false">מאי!E23</f>
        <v>0</v>
      </c>
      <c r="H24" s="274" t="n">
        <f aca="false">יוני!E23</f>
        <v>83128.56</v>
      </c>
      <c r="I24" s="274" t="n">
        <f aca="false">יולי!F23</f>
        <v>90587.54</v>
      </c>
      <c r="J24" s="274" t="n">
        <f aca="false">אוגוסט!F23</f>
        <v>0</v>
      </c>
      <c r="K24" s="274" t="n">
        <f aca="false">ספטמבר!F23</f>
        <v>-4343.69</v>
      </c>
      <c r="L24" s="274" t="n">
        <f aca="false">אוקטובר!F23</f>
        <v>86858.25</v>
      </c>
      <c r="M24" s="274" t="n">
        <f aca="false">נובמבר!F23</f>
        <v>0</v>
      </c>
      <c r="N24" s="274" t="n">
        <f aca="false">דצמבר!F23</f>
        <v>80366.28</v>
      </c>
      <c r="O24" s="274" t="n">
        <f aca="false">ינואר!F23</f>
        <v>0</v>
      </c>
      <c r="P24" s="274" t="n">
        <f aca="false">פברואר!F23</f>
        <v>85563.25</v>
      </c>
      <c r="Q24" s="274" t="n">
        <f aca="false">מרץ!F23</f>
        <v>0</v>
      </c>
      <c r="R24" s="274" t="n">
        <f aca="false">אפריל!F23</f>
        <v>88706.82</v>
      </c>
      <c r="S24" s="274" t="n">
        <f aca="false">מאי!F23</f>
        <v>0</v>
      </c>
      <c r="T24" s="274" t="n">
        <f aca="false">יוני!F23</f>
        <v>0</v>
      </c>
      <c r="U24" s="274" t="n">
        <f aca="false">יולי!G23</f>
        <v>87907.48</v>
      </c>
      <c r="V24" s="274" t="n">
        <f aca="false">אוגוסט!G23</f>
        <v>68497.3</v>
      </c>
      <c r="W24" s="274" t="n">
        <f aca="false">ספטמבר!G23</f>
        <v>0</v>
      </c>
      <c r="X24" s="274" t="n">
        <f aca="false">אוקטובר!G23</f>
        <v>0</v>
      </c>
      <c r="Y24" s="274" t="n">
        <f aca="false">נובמבר!G23</f>
        <v>83397.79</v>
      </c>
      <c r="Z24" s="274" t="n">
        <f aca="false">דצמבר!G23</f>
        <v>0</v>
      </c>
      <c r="AA24" s="274" t="n">
        <f aca="false">ינואר!G23</f>
        <v>67158.97</v>
      </c>
      <c r="AB24" s="274" t="n">
        <f aca="false">פברואר!G23</f>
        <v>0</v>
      </c>
      <c r="AC24" s="274" t="n">
        <f aca="false">מרץ!G23</f>
        <v>0</v>
      </c>
      <c r="AD24" s="274" t="n">
        <f aca="false">אפריל!G23</f>
        <v>92404.96</v>
      </c>
      <c r="AE24" s="274" t="n">
        <f aca="false">מאי!G23</f>
        <v>0</v>
      </c>
      <c r="AF24" s="274" t="n">
        <f aca="false">יוני!G23</f>
        <v>147489.2</v>
      </c>
      <c r="AG24" s="274" t="n">
        <f aca="false">יולי!H23</f>
        <v>0</v>
      </c>
      <c r="AH24" s="274" t="n">
        <f aca="false">אוגוסט!H23</f>
        <v>0</v>
      </c>
      <c r="AI24" s="274" t="n">
        <f aca="false">ספטמבר!H23</f>
        <v>51223.23</v>
      </c>
      <c r="AJ24" s="274" t="n">
        <f aca="false">אוקטובר!H23</f>
        <v>0</v>
      </c>
      <c r="AK24" s="274" t="n">
        <f aca="false">נובמבר!H23</f>
        <v>0</v>
      </c>
      <c r="AL24" s="274" t="n">
        <f aca="false">דצמבר!H23</f>
        <v>0</v>
      </c>
    </row>
    <row r="25" customFormat="false" ht="15" hidden="false" customHeight="true" outlineLevel="0" collapsed="false">
      <c r="A25" s="93" t="str">
        <f aca="false">ינואר!C24</f>
        <v>HEALTH CARE PROD. GMBH</v>
      </c>
      <c r="B25" s="93" t="s">
        <v>2435</v>
      </c>
      <c r="C25" s="274" t="n">
        <f aca="false">ינואר!E24</f>
        <v>15923.68</v>
      </c>
      <c r="D25" s="274" t="n">
        <f aca="false">פברואר!E24</f>
        <v>0</v>
      </c>
      <c r="E25" s="274" t="n">
        <f aca="false">מרץ!E24</f>
        <v>16377.13</v>
      </c>
      <c r="F25" s="274" t="n">
        <f aca="false">אפריל!E24</f>
        <v>17556.44</v>
      </c>
      <c r="G25" s="274" t="n">
        <f aca="false">מאי!E24</f>
        <v>0</v>
      </c>
      <c r="H25" s="274" t="n">
        <f aca="false">יוני!E24</f>
        <v>14559.92</v>
      </c>
      <c r="I25" s="274" t="n">
        <f aca="false">יולי!F24</f>
        <v>16222.13</v>
      </c>
      <c r="J25" s="274" t="n">
        <f aca="false">אוגוסט!F24</f>
        <v>19066.6</v>
      </c>
      <c r="K25" s="274" t="n">
        <f aca="false">ספטמבר!F24</f>
        <v>11239.03</v>
      </c>
      <c r="L25" s="274" t="n">
        <f aca="false">אוקטובר!F24</f>
        <v>0</v>
      </c>
      <c r="M25" s="274" t="n">
        <f aca="false">נובמבר!F24</f>
        <v>17813.97</v>
      </c>
      <c r="N25" s="274" t="n">
        <f aca="false">דצמבר!F24</f>
        <v>0</v>
      </c>
      <c r="O25" s="274" t="n">
        <f aca="false">ינואר!F24</f>
        <v>0</v>
      </c>
      <c r="P25" s="274" t="n">
        <f aca="false">פברואר!F24</f>
        <v>16335.18</v>
      </c>
      <c r="Q25" s="274" t="n">
        <f aca="false">מרץ!F24</f>
        <v>13664.6</v>
      </c>
      <c r="R25" s="274" t="n">
        <f aca="false">אפריל!F24</f>
        <v>11888.32</v>
      </c>
      <c r="S25" s="274" t="n">
        <f aca="false">מאי!F24</f>
        <v>0</v>
      </c>
      <c r="T25" s="274" t="n">
        <f aca="false">יוני!F24</f>
        <v>0</v>
      </c>
      <c r="U25" s="274" t="n">
        <f aca="false">יולי!G24</f>
        <v>30796.16</v>
      </c>
      <c r="V25" s="274" t="n">
        <f aca="false">אוגוסט!G24</f>
        <v>18496.39</v>
      </c>
      <c r="W25" s="274" t="n">
        <f aca="false">ספטמבר!G24</f>
        <v>0</v>
      </c>
      <c r="X25" s="274" t="n">
        <f aca="false">אוקטובר!G24</f>
        <v>15474.02</v>
      </c>
      <c r="Y25" s="274" t="n">
        <f aca="false">נובמבר!G24</f>
        <v>15684.33</v>
      </c>
      <c r="Z25" s="274" t="n">
        <f aca="false">דצמבר!G24</f>
        <v>0</v>
      </c>
      <c r="AA25" s="274" t="n">
        <f aca="false">ינואר!G24</f>
        <v>15774.92</v>
      </c>
      <c r="AB25" s="274" t="n">
        <f aca="false">פברואר!G24</f>
        <v>0</v>
      </c>
      <c r="AC25" s="274" t="n">
        <f aca="false">מרץ!G24</f>
        <v>29021.19</v>
      </c>
      <c r="AD25" s="274" t="n">
        <f aca="false">אפריל!G24</f>
        <v>0</v>
      </c>
      <c r="AE25" s="274" t="n">
        <f aca="false">מאי!G24</f>
        <v>16087.48</v>
      </c>
      <c r="AF25" s="274" t="n">
        <f aca="false">יוני!G24</f>
        <v>15795</v>
      </c>
      <c r="AG25" s="274" t="n">
        <f aca="false">יולי!H24</f>
        <v>19451.36</v>
      </c>
      <c r="AH25" s="274" t="n">
        <f aca="false">אוגוסט!H24</f>
        <v>0</v>
      </c>
      <c r="AI25" s="274" t="n">
        <f aca="false">ספטמבר!H24</f>
        <v>15160.58</v>
      </c>
      <c r="AJ25" s="274" t="n">
        <f aca="false">אוקטובר!H24</f>
        <v>0</v>
      </c>
      <c r="AK25" s="274" t="n">
        <f aca="false">נובמבר!H24</f>
        <v>0</v>
      </c>
      <c r="AL25" s="274" t="n">
        <f aca="false">דצמבר!H24</f>
        <v>0</v>
      </c>
    </row>
    <row r="26" customFormat="false" ht="15" hidden="false" customHeight="true" outlineLevel="0" collapsed="false">
      <c r="A26" s="93" t="str">
        <f aca="false">ינואר!C25</f>
        <v>ORTHOMED  LTD</v>
      </c>
      <c r="B26" s="93" t="s">
        <v>2435</v>
      </c>
      <c r="C26" s="274" t="n">
        <f aca="false">ינואר!E25</f>
        <v>50777.76</v>
      </c>
      <c r="D26" s="274" t="n">
        <f aca="false">פברואר!E25</f>
        <v>0</v>
      </c>
      <c r="E26" s="274" t="n">
        <f aca="false">מרץ!E25</f>
        <v>0</v>
      </c>
      <c r="F26" s="274" t="n">
        <f aca="false">אפריל!E25</f>
        <v>0</v>
      </c>
      <c r="G26" s="274" t="n">
        <f aca="false">מאי!E25</f>
        <v>0</v>
      </c>
      <c r="H26" s="274" t="n">
        <f aca="false">יוני!E25</f>
        <v>65362.29</v>
      </c>
      <c r="I26" s="274" t="n">
        <f aca="false">יולי!F25</f>
        <v>0</v>
      </c>
      <c r="J26" s="274" t="n">
        <f aca="false">אוגוסט!F25</f>
        <v>0</v>
      </c>
      <c r="K26" s="274" t="n">
        <f aca="false">ספטמבר!F25</f>
        <v>0</v>
      </c>
      <c r="L26" s="274" t="n">
        <f aca="false">אוקטובר!F25</f>
        <v>0</v>
      </c>
      <c r="M26" s="274" t="n">
        <f aca="false">נובמבר!F25</f>
        <v>44572.45</v>
      </c>
      <c r="N26" s="274" t="n">
        <f aca="false">דצמבר!F25</f>
        <v>0</v>
      </c>
      <c r="O26" s="274" t="n">
        <f aca="false">ינואר!F25</f>
        <v>0</v>
      </c>
      <c r="P26" s="274" t="n">
        <f aca="false">פברואר!F25</f>
        <v>0</v>
      </c>
      <c r="Q26" s="274" t="n">
        <f aca="false">מרץ!F25</f>
        <v>42132.93</v>
      </c>
      <c r="R26" s="274" t="n">
        <f aca="false">אפריל!F25</f>
        <v>0</v>
      </c>
      <c r="S26" s="274" t="n">
        <f aca="false">מאי!F25</f>
        <v>10766.89</v>
      </c>
      <c r="T26" s="274" t="n">
        <f aca="false">יוני!F25</f>
        <v>0</v>
      </c>
      <c r="U26" s="274" t="n">
        <f aca="false">יולי!G25</f>
        <v>0</v>
      </c>
      <c r="V26" s="274" t="n">
        <f aca="false">אוגוסט!G25</f>
        <v>0</v>
      </c>
      <c r="W26" s="274" t="n">
        <f aca="false">ספטמבר!G25</f>
        <v>0</v>
      </c>
      <c r="X26" s="274" t="n">
        <f aca="false">אוקטובר!G25</f>
        <v>0</v>
      </c>
      <c r="Y26" s="274" t="n">
        <f aca="false">נובמבר!G25</f>
        <v>0</v>
      </c>
      <c r="Z26" s="274" t="n">
        <f aca="false">דצמבר!G25</f>
        <v>0</v>
      </c>
      <c r="AA26" s="274" t="n">
        <f aca="false">ינואר!G25</f>
        <v>0</v>
      </c>
      <c r="AB26" s="274" t="n">
        <f aca="false">פברואר!G25</f>
        <v>0</v>
      </c>
      <c r="AC26" s="274" t="n">
        <f aca="false">מרץ!G25</f>
        <v>0</v>
      </c>
      <c r="AD26" s="274" t="n">
        <f aca="false">אפריל!G25</f>
        <v>0</v>
      </c>
      <c r="AE26" s="274" t="n">
        <f aca="false">מאי!G25</f>
        <v>0</v>
      </c>
      <c r="AF26" s="274" t="n">
        <f aca="false">יוני!G25</f>
        <v>0</v>
      </c>
      <c r="AG26" s="274" t="n">
        <f aca="false">יולי!H25</f>
        <v>0</v>
      </c>
      <c r="AH26" s="274" t="n">
        <f aca="false">אוגוסט!H25</f>
        <v>0</v>
      </c>
      <c r="AI26" s="274" t="n">
        <f aca="false">ספטמבר!H25</f>
        <v>0</v>
      </c>
      <c r="AJ26" s="274" t="n">
        <f aca="false">אוקטובר!H25</f>
        <v>0</v>
      </c>
      <c r="AK26" s="274" t="n">
        <f aca="false">נובמבר!H25</f>
        <v>0</v>
      </c>
      <c r="AL26" s="274" t="n">
        <f aca="false">דצמבר!H25</f>
        <v>0</v>
      </c>
    </row>
    <row r="27" customFormat="false" ht="15" hidden="false" customHeight="true" outlineLevel="0" collapsed="false">
      <c r="A27" s="93" t="str">
        <f aca="false">ינואר!C26</f>
        <v>SALUS</v>
      </c>
      <c r="B27" s="93" t="s">
        <v>2435</v>
      </c>
      <c r="C27" s="274" t="n">
        <f aca="false">ינואר!E26</f>
        <v>249206.12</v>
      </c>
      <c r="D27" s="274" t="n">
        <f aca="false">פברואר!E26</f>
        <v>0</v>
      </c>
      <c r="E27" s="274" t="n">
        <f aca="false">מרץ!E26</f>
        <v>0</v>
      </c>
      <c r="F27" s="274" t="n">
        <f aca="false">אפריל!E26</f>
        <v>0</v>
      </c>
      <c r="G27" s="274" t="n">
        <f aca="false">מאי!E26</f>
        <v>0</v>
      </c>
      <c r="H27" s="274" t="n">
        <f aca="false">יוני!E26</f>
        <v>0</v>
      </c>
      <c r="I27" s="274" t="n">
        <f aca="false">יולי!F26</f>
        <v>0</v>
      </c>
      <c r="J27" s="274" t="n">
        <f aca="false">אוגוסט!F26</f>
        <v>0</v>
      </c>
      <c r="K27" s="274" t="n">
        <f aca="false">ספטמבר!F26</f>
        <v>0</v>
      </c>
      <c r="L27" s="274" t="n">
        <f aca="false">אוקטובר!F26</f>
        <v>0</v>
      </c>
      <c r="M27" s="274" t="n">
        <f aca="false">נובמבר!F26</f>
        <v>0</v>
      </c>
      <c r="N27" s="274" t="n">
        <f aca="false">דצמבר!F26</f>
        <v>222074.04</v>
      </c>
      <c r="O27" s="274" t="n">
        <f aca="false">ינואר!F26</f>
        <v>0</v>
      </c>
      <c r="P27" s="274" t="n">
        <f aca="false">פברואר!F26</f>
        <v>0</v>
      </c>
      <c r="Q27" s="274" t="n">
        <f aca="false">מרץ!F26</f>
        <v>0</v>
      </c>
      <c r="R27" s="274" t="n">
        <f aca="false">אפריל!F26</f>
        <v>0</v>
      </c>
      <c r="S27" s="274" t="n">
        <f aca="false">מאי!F26</f>
        <v>172805.6</v>
      </c>
      <c r="T27" s="274" t="n">
        <f aca="false">יוני!F26</f>
        <v>0.33</v>
      </c>
      <c r="U27" s="274" t="n">
        <f aca="false">יולי!G26</f>
        <v>0</v>
      </c>
      <c r="V27" s="274" t="n">
        <f aca="false">אוגוסט!G26</f>
        <v>0</v>
      </c>
      <c r="W27" s="274" t="n">
        <f aca="false">ספטמבר!G26</f>
        <v>0</v>
      </c>
      <c r="X27" s="274" t="n">
        <f aca="false">אוקטובר!G26</f>
        <v>0</v>
      </c>
      <c r="Y27" s="274" t="n">
        <f aca="false">נובמבר!G26</f>
        <v>0</v>
      </c>
      <c r="Z27" s="274" t="n">
        <f aca="false">דצמבר!G26</f>
        <v>146752.62</v>
      </c>
      <c r="AA27" s="274" t="n">
        <f aca="false">ינואר!G26</f>
        <v>-1269.06</v>
      </c>
      <c r="AB27" s="274" t="n">
        <f aca="false">פברואר!G26</f>
        <v>0</v>
      </c>
      <c r="AC27" s="274" t="n">
        <f aca="false">מרץ!G26</f>
        <v>0</v>
      </c>
      <c r="AD27" s="274" t="n">
        <f aca="false">אפריל!G26</f>
        <v>165356.86</v>
      </c>
      <c r="AE27" s="274" t="n">
        <f aca="false">מאי!G26</f>
        <v>-19940.33</v>
      </c>
      <c r="AF27" s="274" t="n">
        <f aca="false">יוני!G26</f>
        <v>0</v>
      </c>
      <c r="AG27" s="274" t="n">
        <f aca="false">יולי!H26</f>
        <v>221407.78</v>
      </c>
      <c r="AH27" s="274" t="n">
        <f aca="false">אוגוסט!H26</f>
        <v>0</v>
      </c>
      <c r="AI27" s="274" t="n">
        <f aca="false">ספטמבר!H26</f>
        <v>0</v>
      </c>
      <c r="AJ27" s="274" t="n">
        <f aca="false">אוקטובר!H26</f>
        <v>0</v>
      </c>
      <c r="AK27" s="274" t="n">
        <f aca="false">נובמבר!H26</f>
        <v>0</v>
      </c>
      <c r="AL27" s="274" t="n">
        <f aca="false">דצמבר!H26</f>
        <v>0</v>
      </c>
    </row>
    <row r="28" customFormat="false" ht="15" hidden="false" customHeight="true" outlineLevel="0" collapsed="false">
      <c r="A28" s="93" t="str">
        <f aca="false">ינואר!C27</f>
        <v>MAX KONNARIS LTD</v>
      </c>
      <c r="B28" s="93" t="s">
        <v>2435</v>
      </c>
      <c r="C28" s="274" t="n">
        <f aca="false">ינואר!E27</f>
        <v>0</v>
      </c>
      <c r="D28" s="274" t="n">
        <f aca="false">פברואר!E27</f>
        <v>23907.35</v>
      </c>
      <c r="E28" s="274" t="n">
        <f aca="false">מרץ!E27</f>
        <v>38588.13</v>
      </c>
      <c r="F28" s="274" t="n">
        <f aca="false">אפריל!E27</f>
        <v>0</v>
      </c>
      <c r="G28" s="274" t="n">
        <f aca="false">מאי!E27</f>
        <v>-0.48</v>
      </c>
      <c r="H28" s="274" t="n">
        <f aca="false">יוני!E27</f>
        <v>37671.79</v>
      </c>
      <c r="I28" s="274" t="n">
        <f aca="false">יולי!F27</f>
        <v>609.99</v>
      </c>
      <c r="J28" s="274" t="n">
        <f aca="false">אוגוסט!F27</f>
        <v>41467.05</v>
      </c>
      <c r="K28" s="274" t="n">
        <f aca="false">ספטמבר!F27</f>
        <v>0</v>
      </c>
      <c r="L28" s="274" t="n">
        <f aca="false">אוקטובר!F27</f>
        <v>20724.08</v>
      </c>
      <c r="M28" s="274" t="n">
        <f aca="false">נובמבר!F27</f>
        <v>0</v>
      </c>
      <c r="N28" s="274" t="n">
        <f aca="false">דצמבר!F27</f>
        <v>0</v>
      </c>
      <c r="O28" s="274" t="n">
        <f aca="false">ינואר!F27</f>
        <v>0</v>
      </c>
      <c r="P28" s="274" t="n">
        <f aca="false">פברואר!F27</f>
        <v>0</v>
      </c>
      <c r="Q28" s="274" t="n">
        <f aca="false">מרץ!F27</f>
        <v>0</v>
      </c>
      <c r="R28" s="274" t="n">
        <f aca="false">אפריל!F27</f>
        <v>35240.62</v>
      </c>
      <c r="S28" s="274" t="n">
        <f aca="false">מאי!F27</f>
        <v>0</v>
      </c>
      <c r="T28" s="274" t="n">
        <f aca="false">יוני!F27</f>
        <v>0</v>
      </c>
      <c r="U28" s="274" t="n">
        <f aca="false">יולי!G27</f>
        <v>31010.8</v>
      </c>
      <c r="V28" s="274" t="n">
        <f aca="false">אוגוסט!G27</f>
        <v>0</v>
      </c>
      <c r="W28" s="274" t="n">
        <f aca="false">ספטמבר!G27</f>
        <v>0</v>
      </c>
      <c r="X28" s="274" t="n">
        <f aca="false">אוקטובר!G27</f>
        <v>20604.23</v>
      </c>
      <c r="Y28" s="274" t="n">
        <f aca="false">נובמבר!G27</f>
        <v>0</v>
      </c>
      <c r="Z28" s="274" t="n">
        <f aca="false">דצמבר!G27</f>
        <v>0</v>
      </c>
      <c r="AA28" s="274" t="n">
        <f aca="false">ינואר!G27</f>
        <v>0</v>
      </c>
      <c r="AB28" s="274" t="n">
        <f aca="false">פברואר!G27</f>
        <v>42152.31</v>
      </c>
      <c r="AC28" s="274" t="n">
        <f aca="false">מרץ!G27</f>
        <v>0</v>
      </c>
      <c r="AD28" s="274" t="n">
        <f aca="false">אפריל!G27</f>
        <v>0</v>
      </c>
      <c r="AE28" s="274" t="n">
        <f aca="false">מאי!G27</f>
        <v>18541.7</v>
      </c>
      <c r="AF28" s="274" t="n">
        <f aca="false">יוני!G27</f>
        <v>0</v>
      </c>
      <c r="AG28" s="274" t="n">
        <f aca="false">יולי!H27</f>
        <v>0</v>
      </c>
      <c r="AH28" s="274" t="n">
        <f aca="false">אוגוסט!H27</f>
        <v>0</v>
      </c>
      <c r="AI28" s="274" t="n">
        <f aca="false">ספטמבר!H27</f>
        <v>0</v>
      </c>
      <c r="AJ28" s="274" t="n">
        <f aca="false">אוקטובר!H27</f>
        <v>0</v>
      </c>
      <c r="AK28" s="274" t="n">
        <f aca="false">נובמבר!H27</f>
        <v>0</v>
      </c>
      <c r="AL28" s="274" t="n">
        <f aca="false">דצמבר!H27</f>
        <v>0</v>
      </c>
    </row>
    <row r="29" customFormat="false" ht="15" hidden="false" customHeight="true" outlineLevel="0" collapsed="false">
      <c r="A29" s="93" t="str">
        <f aca="false">ינואר!C28</f>
        <v>MEDIPAL COMPANY</v>
      </c>
      <c r="B29" s="93" t="s">
        <v>2435</v>
      </c>
      <c r="C29" s="274" t="n">
        <f aca="false">ינואר!E28</f>
        <v>0</v>
      </c>
      <c r="D29" s="274" t="n">
        <f aca="false">פברואר!E28</f>
        <v>0</v>
      </c>
      <c r="E29" s="274" t="n">
        <f aca="false">מרץ!E28</f>
        <v>171813.81</v>
      </c>
      <c r="F29" s="274" t="n">
        <f aca="false">אפריל!E28</f>
        <v>0</v>
      </c>
      <c r="G29" s="274" t="n">
        <f aca="false">מאי!E28</f>
        <v>0</v>
      </c>
      <c r="H29" s="274" t="n">
        <f aca="false">יוני!E28</f>
        <v>0</v>
      </c>
      <c r="I29" s="274" t="n">
        <f aca="false">יולי!F28</f>
        <v>0</v>
      </c>
      <c r="J29" s="274" t="n">
        <f aca="false">אוגוסט!F28</f>
        <v>0</v>
      </c>
      <c r="K29" s="274" t="n">
        <f aca="false">ספטמבר!F28</f>
        <v>0</v>
      </c>
      <c r="L29" s="274" t="n">
        <f aca="false">אוקטובר!F28</f>
        <v>0</v>
      </c>
      <c r="M29" s="274" t="n">
        <f aca="false">נובמבר!F28</f>
        <v>115405.87</v>
      </c>
      <c r="N29" s="274" t="n">
        <f aca="false">דצמבר!F28</f>
        <v>83394.96</v>
      </c>
      <c r="O29" s="274" t="n">
        <f aca="false">ינואר!F28</f>
        <v>0</v>
      </c>
      <c r="P29" s="274" t="n">
        <f aca="false">פברואר!F28</f>
        <v>0</v>
      </c>
      <c r="Q29" s="274" t="n">
        <f aca="false">מרץ!F28</f>
        <v>0.22</v>
      </c>
      <c r="R29" s="274" t="n">
        <f aca="false">אפריל!F28</f>
        <v>0</v>
      </c>
      <c r="S29" s="274" t="n">
        <f aca="false">מאי!F28</f>
        <v>0</v>
      </c>
      <c r="T29" s="274" t="n">
        <f aca="false">יוני!F28</f>
        <v>0</v>
      </c>
      <c r="U29" s="274" t="n">
        <f aca="false">יולי!G28</f>
        <v>0</v>
      </c>
      <c r="V29" s="274" t="n">
        <f aca="false">אוגוסט!G28</f>
        <v>0</v>
      </c>
      <c r="W29" s="274" t="n">
        <f aca="false">ספטמבר!G28</f>
        <v>0</v>
      </c>
      <c r="X29" s="274" t="n">
        <f aca="false">אוקטובר!G28</f>
        <v>0</v>
      </c>
      <c r="Y29" s="274" t="n">
        <f aca="false">נובמבר!G28</f>
        <v>256771.88</v>
      </c>
      <c r="Z29" s="274" t="n">
        <f aca="false">דצמבר!G28</f>
        <v>0</v>
      </c>
      <c r="AA29" s="274" t="n">
        <f aca="false">ינואר!G28</f>
        <v>0</v>
      </c>
      <c r="AB29" s="274" t="n">
        <f aca="false">פברואר!G28</f>
        <v>0</v>
      </c>
      <c r="AC29" s="274" t="n">
        <f aca="false">מרץ!G28</f>
        <v>0</v>
      </c>
      <c r="AD29" s="274" t="n">
        <f aca="false">אפריל!G28</f>
        <v>0</v>
      </c>
      <c r="AE29" s="274" t="n">
        <f aca="false">מאי!G28</f>
        <v>0</v>
      </c>
      <c r="AF29" s="274" t="n">
        <f aca="false">יוני!G28</f>
        <v>0</v>
      </c>
      <c r="AG29" s="274" t="n">
        <f aca="false">יולי!H28</f>
        <v>0</v>
      </c>
      <c r="AH29" s="274" t="n">
        <f aca="false">אוגוסט!H28</f>
        <v>0</v>
      </c>
      <c r="AI29" s="274" t="n">
        <f aca="false">ספטמבר!H28</f>
        <v>0</v>
      </c>
      <c r="AJ29" s="274" t="n">
        <f aca="false">אוקטובר!H28</f>
        <v>0</v>
      </c>
      <c r="AK29" s="274" t="n">
        <f aca="false">נובמבר!H28</f>
        <v>0</v>
      </c>
      <c r="AL29" s="274" t="n">
        <f aca="false">דצמבר!H28</f>
        <v>0</v>
      </c>
    </row>
    <row r="30" customFormat="false" ht="15" hidden="false" customHeight="true" outlineLevel="0" collapsed="false">
      <c r="A30" s="93" t="str">
        <f aca="false">ינואר!C29</f>
        <v>ORTOPROFIL PROD. ROMANIA</v>
      </c>
      <c r="B30" s="93" t="s">
        <v>2435</v>
      </c>
      <c r="C30" s="274" t="n">
        <f aca="false">ינואר!E29</f>
        <v>0</v>
      </c>
      <c r="D30" s="274" t="n">
        <f aca="false">פברואר!E29</f>
        <v>49906.61</v>
      </c>
      <c r="E30" s="274" t="n">
        <f aca="false">מרץ!E29</f>
        <v>25514.68</v>
      </c>
      <c r="F30" s="274" t="n">
        <f aca="false">אפריל!E29</f>
        <v>27828.48</v>
      </c>
      <c r="G30" s="274" t="n">
        <f aca="false">מאי!E29</f>
        <v>31259.76</v>
      </c>
      <c r="H30" s="274" t="n">
        <f aca="false">יוני!E29</f>
        <v>37331.12</v>
      </c>
      <c r="I30" s="274" t="n">
        <f aca="false">יולי!F29</f>
        <v>27604.14</v>
      </c>
      <c r="J30" s="274" t="n">
        <f aca="false">אוגוסט!F29</f>
        <v>21966.81</v>
      </c>
      <c r="K30" s="274" t="n">
        <f aca="false">ספטמבר!F29</f>
        <v>64828.58</v>
      </c>
      <c r="L30" s="274" t="n">
        <f aca="false">אוקטובר!F29</f>
        <v>0</v>
      </c>
      <c r="M30" s="274" t="n">
        <f aca="false">נובמבר!F29</f>
        <v>62633.86</v>
      </c>
      <c r="N30" s="274" t="n">
        <f aca="false">דצמבר!F29</f>
        <v>0</v>
      </c>
      <c r="O30" s="274" t="n">
        <f aca="false">ינואר!F29</f>
        <v>0</v>
      </c>
      <c r="P30" s="274" t="n">
        <f aca="false">פברואר!F29</f>
        <v>49474.45</v>
      </c>
      <c r="Q30" s="274" t="n">
        <f aca="false">מרץ!F29</f>
        <v>43871.72</v>
      </c>
      <c r="R30" s="274" t="n">
        <f aca="false">אפריל!F29</f>
        <v>38170.88</v>
      </c>
      <c r="S30" s="274" t="n">
        <f aca="false">מאי!F29</f>
        <v>56732.32</v>
      </c>
      <c r="T30" s="274" t="n">
        <f aca="false">יוני!F29</f>
        <v>53.7</v>
      </c>
      <c r="U30" s="274" t="n">
        <f aca="false">יולי!G29</f>
        <v>56344.52</v>
      </c>
      <c r="V30" s="274" t="n">
        <f aca="false">אוגוסט!G29</f>
        <v>26937.54</v>
      </c>
      <c r="W30" s="274" t="n">
        <f aca="false">ספטמבר!G29</f>
        <v>27485.96</v>
      </c>
      <c r="X30" s="274" t="n">
        <f aca="false">אוקטובר!G29</f>
        <v>36333.04</v>
      </c>
      <c r="Y30" s="274" t="n">
        <f aca="false">נובמבר!G29</f>
        <v>29107.59</v>
      </c>
      <c r="Z30" s="274" t="n">
        <f aca="false">דצמבר!G29</f>
        <v>41441.91</v>
      </c>
      <c r="AA30" s="274" t="n">
        <f aca="false">ינואר!G29</f>
        <v>27429.74</v>
      </c>
      <c r="AB30" s="274" t="n">
        <f aca="false">פברואר!G29</f>
        <v>24695.01</v>
      </c>
      <c r="AC30" s="274" t="n">
        <f aca="false">מרץ!G29</f>
        <v>0</v>
      </c>
      <c r="AD30" s="274" t="n">
        <f aca="false">אפריל!G29</f>
        <v>60931.15</v>
      </c>
      <c r="AE30" s="274" t="n">
        <f aca="false">מאי!G29</f>
        <v>33066.23</v>
      </c>
      <c r="AF30" s="274" t="n">
        <f aca="false">יוני!G29</f>
        <v>57084.96</v>
      </c>
      <c r="AG30" s="274" t="n">
        <f aca="false">יולי!H29</f>
        <v>41960.14</v>
      </c>
      <c r="AH30" s="274" t="n">
        <f aca="false">אוגוסט!H29</f>
        <v>30237.69</v>
      </c>
      <c r="AI30" s="274" t="n">
        <f aca="false">ספטמבר!H29</f>
        <v>25430.19</v>
      </c>
      <c r="AJ30" s="274" t="n">
        <f aca="false">אוקטובר!H29</f>
        <v>0</v>
      </c>
      <c r="AK30" s="274" t="n">
        <f aca="false">נובמבר!H29</f>
        <v>0</v>
      </c>
      <c r="AL30" s="274" t="n">
        <f aca="false">דצמבר!H29</f>
        <v>0</v>
      </c>
    </row>
    <row r="31" customFormat="false" ht="15" hidden="false" customHeight="true" outlineLevel="0" collapsed="false">
      <c r="A31" s="93" t="str">
        <f aca="false">ינואר!C30</f>
        <v>OY. EA. AB.</v>
      </c>
      <c r="B31" s="93" t="s">
        <v>2435</v>
      </c>
      <c r="C31" s="274" t="n">
        <f aca="false">ינואר!E30</f>
        <v>0</v>
      </c>
      <c r="D31" s="274" t="n">
        <f aca="false">פברואר!E30</f>
        <v>0</v>
      </c>
      <c r="E31" s="274" t="n">
        <f aca="false">מרץ!E30</f>
        <v>0</v>
      </c>
      <c r="F31" s="274" t="n">
        <f aca="false">אפריל!E30</f>
        <v>49617.59</v>
      </c>
      <c r="G31" s="274" t="n">
        <f aca="false">מאי!E30</f>
        <v>0</v>
      </c>
      <c r="H31" s="274" t="n">
        <f aca="false">יוני!E30</f>
        <v>0</v>
      </c>
      <c r="I31" s="274" t="n">
        <f aca="false">יולי!F30</f>
        <v>0</v>
      </c>
      <c r="J31" s="274" t="n">
        <f aca="false">אוגוסט!F30</f>
        <v>0</v>
      </c>
      <c r="K31" s="274" t="n">
        <f aca="false">ספטמבר!F30</f>
        <v>54153.1</v>
      </c>
      <c r="L31" s="274" t="n">
        <f aca="false">אוקטובר!F30</f>
        <v>3920.16</v>
      </c>
      <c r="M31" s="274" t="n">
        <f aca="false">נובמבר!F30</f>
        <v>0</v>
      </c>
      <c r="N31" s="274" t="n">
        <f aca="false">דצמבר!F30</f>
        <v>0</v>
      </c>
      <c r="O31" s="274" t="n">
        <f aca="false">ינואר!F30</f>
        <v>0</v>
      </c>
      <c r="P31" s="274" t="n">
        <f aca="false">פברואר!F30</f>
        <v>0</v>
      </c>
      <c r="Q31" s="274" t="n">
        <f aca="false">מרץ!F30</f>
        <v>32010.18</v>
      </c>
      <c r="R31" s="274" t="n">
        <f aca="false">אפריל!F30</f>
        <v>0</v>
      </c>
      <c r="S31" s="274" t="n">
        <f aca="false">מאי!F30</f>
        <v>0</v>
      </c>
      <c r="T31" s="274" t="n">
        <f aca="false">יוני!F30</f>
        <v>0</v>
      </c>
      <c r="U31" s="274" t="n">
        <f aca="false">יולי!G30</f>
        <v>0</v>
      </c>
      <c r="V31" s="274" t="n">
        <f aca="false">אוגוסט!G30</f>
        <v>0</v>
      </c>
      <c r="W31" s="274" t="n">
        <f aca="false">ספטמבר!G30</f>
        <v>0</v>
      </c>
      <c r="X31" s="274" t="n">
        <f aca="false">אוקטובר!G30</f>
        <v>0</v>
      </c>
      <c r="Y31" s="274" t="n">
        <f aca="false">נובמבר!G30</f>
        <v>32544.41</v>
      </c>
      <c r="Z31" s="274" t="n">
        <f aca="false">דצמבר!G30</f>
        <v>0</v>
      </c>
      <c r="AA31" s="274" t="n">
        <f aca="false">ינואר!G30</f>
        <v>0</v>
      </c>
      <c r="AB31" s="274" t="n">
        <f aca="false">פברואר!G30</f>
        <v>0</v>
      </c>
      <c r="AC31" s="274" t="n">
        <f aca="false">מרץ!G30</f>
        <v>0</v>
      </c>
      <c r="AD31" s="274" t="n">
        <f aca="false">אפריל!G30</f>
        <v>0</v>
      </c>
      <c r="AE31" s="274" t="n">
        <f aca="false">מאי!G30</f>
        <v>43116.44</v>
      </c>
      <c r="AF31" s="274" t="n">
        <f aca="false">יוני!G30</f>
        <v>0</v>
      </c>
      <c r="AG31" s="274" t="n">
        <f aca="false">יולי!H30</f>
        <v>0</v>
      </c>
      <c r="AH31" s="274" t="n">
        <f aca="false">אוגוסט!H30</f>
        <v>0</v>
      </c>
      <c r="AI31" s="274" t="n">
        <f aca="false">ספטמבר!H30</f>
        <v>0</v>
      </c>
      <c r="AJ31" s="274" t="n">
        <f aca="false">אוקטובר!H30</f>
        <v>0</v>
      </c>
      <c r="AK31" s="274" t="n">
        <f aca="false">נובמבר!H30</f>
        <v>0</v>
      </c>
      <c r="AL31" s="274" t="n">
        <f aca="false">דצמבר!H30</f>
        <v>0</v>
      </c>
    </row>
    <row r="32" customFormat="false" ht="15" hidden="false" customHeight="true" outlineLevel="0" collapsed="false">
      <c r="A32" s="93" t="str">
        <f aca="false">ינואר!C31</f>
        <v>SEVEN GEAR</v>
      </c>
      <c r="B32" s="93" t="s">
        <v>2435</v>
      </c>
      <c r="C32" s="274" t="n">
        <f aca="false">ינואר!E31</f>
        <v>0</v>
      </c>
      <c r="D32" s="274" t="n">
        <f aca="false">פברואר!E31</f>
        <v>0</v>
      </c>
      <c r="E32" s="274" t="n">
        <f aca="false">מרץ!E31</f>
        <v>0</v>
      </c>
      <c r="F32" s="274" t="n">
        <f aca="false">אפריל!E31</f>
        <v>20354.79</v>
      </c>
      <c r="G32" s="274" t="n">
        <f aca="false">מאי!E31</f>
        <v>0</v>
      </c>
      <c r="H32" s="274" t="n">
        <f aca="false">יוני!E31</f>
        <v>0</v>
      </c>
      <c r="I32" s="274" t="n">
        <f aca="false">יולי!F31</f>
        <v>0</v>
      </c>
      <c r="J32" s="274" t="n">
        <f aca="false">אוגוסט!F31</f>
        <v>0</v>
      </c>
      <c r="K32" s="274" t="n">
        <f aca="false">ספטמבר!F31</f>
        <v>20673.57</v>
      </c>
      <c r="L32" s="274" t="n">
        <f aca="false">אוקטובר!F31</f>
        <v>0</v>
      </c>
      <c r="M32" s="274" t="n">
        <f aca="false">נובמבר!F31</f>
        <v>0</v>
      </c>
      <c r="N32" s="274" t="n">
        <f aca="false">דצמבר!F31</f>
        <v>0</v>
      </c>
      <c r="O32" s="274" t="n">
        <f aca="false">ינואר!F31</f>
        <v>19897.57</v>
      </c>
      <c r="P32" s="274" t="n">
        <f aca="false">פברואר!F31</f>
        <v>0</v>
      </c>
      <c r="Q32" s="274" t="n">
        <f aca="false">מרץ!F31</f>
        <v>0</v>
      </c>
      <c r="R32" s="274" t="n">
        <f aca="false">אפריל!F31</f>
        <v>0</v>
      </c>
      <c r="S32" s="274" t="n">
        <f aca="false">מאי!F31</f>
        <v>18835.73</v>
      </c>
      <c r="T32" s="274" t="n">
        <f aca="false">יוני!F31</f>
        <v>0</v>
      </c>
      <c r="U32" s="274" t="n">
        <f aca="false">יולי!G31</f>
        <v>0</v>
      </c>
      <c r="V32" s="274" t="n">
        <f aca="false">אוגוסט!G31</f>
        <v>0</v>
      </c>
      <c r="W32" s="274" t="n">
        <f aca="false">ספטמבר!G31</f>
        <v>0</v>
      </c>
      <c r="X32" s="274" t="n">
        <f aca="false">אוקטובר!G31</f>
        <v>22174.82</v>
      </c>
      <c r="Y32" s="274" t="n">
        <f aca="false">נובמבר!G31</f>
        <v>0.08</v>
      </c>
      <c r="Z32" s="274" t="n">
        <f aca="false">דצמבר!G31</f>
        <v>0</v>
      </c>
      <c r="AA32" s="274" t="n">
        <f aca="false">ינואר!G31</f>
        <v>0</v>
      </c>
      <c r="AB32" s="274" t="n">
        <f aca="false">פברואר!G31</f>
        <v>0</v>
      </c>
      <c r="AC32" s="274" t="n">
        <f aca="false">מרץ!G31</f>
        <v>0</v>
      </c>
      <c r="AD32" s="274" t="n">
        <f aca="false">אפריל!G31</f>
        <v>17809.5</v>
      </c>
      <c r="AE32" s="274" t="n">
        <f aca="false">מאי!G31</f>
        <v>0</v>
      </c>
      <c r="AF32" s="274" t="n">
        <f aca="false">יוני!G31</f>
        <v>0</v>
      </c>
      <c r="AG32" s="274" t="n">
        <f aca="false">יולי!H31</f>
        <v>0</v>
      </c>
      <c r="AH32" s="274" t="n">
        <f aca="false">אוגוסט!H31</f>
        <v>0</v>
      </c>
      <c r="AI32" s="274" t="n">
        <f aca="false">ספטמבר!H31</f>
        <v>21590.63</v>
      </c>
      <c r="AJ32" s="274" t="n">
        <f aca="false">אוקטובר!H31</f>
        <v>0</v>
      </c>
      <c r="AK32" s="274" t="n">
        <f aca="false">נובמבר!H31</f>
        <v>0</v>
      </c>
      <c r="AL32" s="274" t="n">
        <f aca="false">דצמבר!H31</f>
        <v>0</v>
      </c>
    </row>
    <row r="33" customFormat="false" ht="15" hidden="false" customHeight="true" outlineLevel="0" collapsed="false">
      <c r="A33" s="93" t="str">
        <f aca="false">ינואר!C32</f>
        <v>PHARMAG LACHMAIR GES. MBH</v>
      </c>
      <c r="B33" s="93" t="s">
        <v>2435</v>
      </c>
      <c r="C33" s="274" t="n">
        <f aca="false">ינואר!E32</f>
        <v>0</v>
      </c>
      <c r="D33" s="274" t="n">
        <f aca="false">פברואר!E32</f>
        <v>0</v>
      </c>
      <c r="E33" s="274" t="n">
        <f aca="false">מרץ!E32</f>
        <v>0</v>
      </c>
      <c r="F33" s="274" t="n">
        <f aca="false">אפריל!E32</f>
        <v>0</v>
      </c>
      <c r="G33" s="274" t="n">
        <f aca="false">מאי!E32</f>
        <v>0</v>
      </c>
      <c r="H33" s="274" t="n">
        <f aca="false">יוני!E32</f>
        <v>0</v>
      </c>
      <c r="I33" s="274" t="n">
        <f aca="false">יולי!F32</f>
        <v>0</v>
      </c>
      <c r="J33" s="274" t="n">
        <f aca="false">אוגוסט!F32</f>
        <v>0</v>
      </c>
      <c r="K33" s="274" t="n">
        <f aca="false">ספטמבר!F32</f>
        <v>31722.98</v>
      </c>
      <c r="L33" s="274" t="n">
        <f aca="false">אוקטובר!F32</f>
        <v>0</v>
      </c>
      <c r="M33" s="274" t="n">
        <f aca="false">נובמבר!F32</f>
        <v>0</v>
      </c>
      <c r="N33" s="274" t="n">
        <f aca="false">דצמבר!F32</f>
        <v>0</v>
      </c>
      <c r="O33" s="274" t="n">
        <f aca="false">ינואר!F32</f>
        <v>0</v>
      </c>
      <c r="P33" s="274" t="n">
        <f aca="false">פברואר!F32</f>
        <v>0</v>
      </c>
      <c r="Q33" s="274" t="n">
        <f aca="false">מרץ!F32</f>
        <v>16024.5</v>
      </c>
      <c r="R33" s="274" t="n">
        <f aca="false">אפריל!F32</f>
        <v>0</v>
      </c>
      <c r="S33" s="274" t="n">
        <f aca="false">מאי!F32</f>
        <v>0</v>
      </c>
      <c r="T33" s="274" t="n">
        <f aca="false">יוני!F32</f>
        <v>0</v>
      </c>
      <c r="U33" s="274" t="n">
        <f aca="false">יולי!G32</f>
        <v>15559.58</v>
      </c>
      <c r="V33" s="274" t="n">
        <f aca="false">אוגוסט!G32</f>
        <v>0</v>
      </c>
      <c r="W33" s="274" t="n">
        <f aca="false">ספטמבר!G32</f>
        <v>50202.49</v>
      </c>
      <c r="X33" s="274" t="n">
        <f aca="false">אוקטובר!G32</f>
        <v>0</v>
      </c>
      <c r="Y33" s="274" t="n">
        <f aca="false">נובמבר!G32</f>
        <v>0</v>
      </c>
      <c r="Z33" s="274" t="n">
        <f aca="false">דצמבר!G32</f>
        <v>0</v>
      </c>
      <c r="AA33" s="274" t="n">
        <f aca="false">ינואר!G32</f>
        <v>0</v>
      </c>
      <c r="AB33" s="274" t="n">
        <f aca="false">פברואר!G32</f>
        <v>0</v>
      </c>
      <c r="AC33" s="274" t="n">
        <f aca="false">מרץ!G32</f>
        <v>0</v>
      </c>
      <c r="AD33" s="274" t="n">
        <f aca="false">אפריל!G32</f>
        <v>0</v>
      </c>
      <c r="AE33" s="274" t="n">
        <f aca="false">מאי!G32</f>
        <v>0</v>
      </c>
      <c r="AF33" s="274" t="n">
        <f aca="false">יוני!G32</f>
        <v>0</v>
      </c>
      <c r="AG33" s="274" t="n">
        <f aca="false">יולי!H32</f>
        <v>0</v>
      </c>
      <c r="AH33" s="274" t="n">
        <f aca="false">אוגוסט!H32</f>
        <v>10037.15</v>
      </c>
      <c r="AI33" s="274" t="n">
        <f aca="false">ספטמבר!H32</f>
        <v>0</v>
      </c>
      <c r="AJ33" s="274" t="n">
        <f aca="false">אוקטובר!H32</f>
        <v>0</v>
      </c>
      <c r="AK33" s="274" t="n">
        <f aca="false">נובמבר!H32</f>
        <v>0</v>
      </c>
      <c r="AL33" s="274" t="n">
        <f aca="false">דצמבר!H32</f>
        <v>0</v>
      </c>
    </row>
    <row r="34" customFormat="false" ht="15" hidden="false" customHeight="true" outlineLevel="0" collapsed="false">
      <c r="A34" s="93" t="str">
        <f aca="false">ינואר!C33</f>
        <v>REMEDICARE B.V.</v>
      </c>
      <c r="B34" s="93" t="s">
        <v>2435</v>
      </c>
      <c r="C34" s="274" t="n">
        <f aca="false">ינואר!E33</f>
        <v>0</v>
      </c>
      <c r="D34" s="274" t="n">
        <f aca="false">פברואר!E33</f>
        <v>0</v>
      </c>
      <c r="E34" s="274" t="n">
        <f aca="false">מרץ!E33</f>
        <v>0</v>
      </c>
      <c r="F34" s="274" t="n">
        <f aca="false">אפריל!E33</f>
        <v>0</v>
      </c>
      <c r="G34" s="274" t="n">
        <f aca="false">מאי!E33</f>
        <v>0</v>
      </c>
      <c r="H34" s="274" t="n">
        <f aca="false">יוני!E33</f>
        <v>0</v>
      </c>
      <c r="I34" s="274" t="n">
        <f aca="false">יולי!F33</f>
        <v>0</v>
      </c>
      <c r="J34" s="274" t="n">
        <f aca="false">אוגוסט!F33</f>
        <v>0</v>
      </c>
      <c r="K34" s="274" t="n">
        <f aca="false">ספטמבר!F33</f>
        <v>0</v>
      </c>
      <c r="L34" s="274" t="n">
        <f aca="false">אוקטובר!F33</f>
        <v>0</v>
      </c>
      <c r="M34" s="274" t="n">
        <f aca="false">נובמבר!F33</f>
        <v>0</v>
      </c>
      <c r="N34" s="274" t="n">
        <f aca="false">דצמבר!F33</f>
        <v>0</v>
      </c>
      <c r="O34" s="274" t="n">
        <f aca="false">ינואר!F33</f>
        <v>0</v>
      </c>
      <c r="P34" s="274" t="n">
        <f aca="false">פברואר!F33</f>
        <v>0</v>
      </c>
      <c r="Q34" s="274" t="n">
        <f aca="false">מרץ!F33</f>
        <v>0</v>
      </c>
      <c r="R34" s="274" t="n">
        <f aca="false">אפריל!F33</f>
        <v>0</v>
      </c>
      <c r="S34" s="274" t="n">
        <f aca="false">מאי!F33</f>
        <v>0</v>
      </c>
      <c r="T34" s="274" t="n">
        <f aca="false">יוני!F33</f>
        <v>0</v>
      </c>
      <c r="U34" s="274" t="n">
        <f aca="false">יולי!G33</f>
        <v>0</v>
      </c>
      <c r="V34" s="274" t="n">
        <f aca="false">אוגוסט!G33</f>
        <v>0</v>
      </c>
      <c r="W34" s="274" t="n">
        <f aca="false">ספטמבר!G33</f>
        <v>0</v>
      </c>
      <c r="X34" s="274" t="n">
        <f aca="false">אוקטובר!G33</f>
        <v>0</v>
      </c>
      <c r="Y34" s="274" t="n">
        <f aca="false">נובמבר!G33</f>
        <v>0</v>
      </c>
      <c r="Z34" s="274" t="n">
        <f aca="false">דצמבר!G33</f>
        <v>0</v>
      </c>
      <c r="AA34" s="274" t="n">
        <f aca="false">ינואר!G33</f>
        <v>0</v>
      </c>
      <c r="AB34" s="274" t="n">
        <f aca="false">פברואר!G33</f>
        <v>0</v>
      </c>
      <c r="AC34" s="274" t="n">
        <f aca="false">מרץ!G33</f>
        <v>0</v>
      </c>
      <c r="AD34" s="274" t="n">
        <f aca="false">אפריל!G33</f>
        <v>0</v>
      </c>
      <c r="AE34" s="274" t="n">
        <f aca="false">מאי!G33</f>
        <v>0</v>
      </c>
      <c r="AF34" s="274" t="n">
        <f aca="false">יוני!G33</f>
        <v>0</v>
      </c>
      <c r="AG34" s="274" t="n">
        <f aca="false">יולי!H33</f>
        <v>0</v>
      </c>
      <c r="AH34" s="274" t="n">
        <f aca="false">אוגוסט!H33</f>
        <v>0</v>
      </c>
      <c r="AI34" s="274" t="n">
        <f aca="false">ספטמבר!H33</f>
        <v>0</v>
      </c>
      <c r="AJ34" s="274" t="n">
        <f aca="false">אוקטובר!H33</f>
        <v>0</v>
      </c>
      <c r="AK34" s="274" t="n">
        <f aca="false">נובמבר!H33</f>
        <v>0</v>
      </c>
      <c r="AL34" s="274" t="n">
        <f aca="false">דצמבר!H33</f>
        <v>0</v>
      </c>
    </row>
    <row r="35" customFormat="false" ht="15" hidden="false" customHeight="true" outlineLevel="0" collapsed="false">
      <c r="A35" s="93" t="str">
        <f aca="false">ינואר!C34</f>
        <v>E.F.M.O.</v>
      </c>
      <c r="B35" s="93" t="s">
        <v>2435</v>
      </c>
      <c r="C35" s="274" t="n">
        <f aca="false">ינואר!E34</f>
        <v>20732.48</v>
      </c>
      <c r="D35" s="274" t="n">
        <f aca="false">פברואר!E34</f>
        <v>19941.82</v>
      </c>
      <c r="E35" s="274" t="n">
        <f aca="false">מרץ!E34</f>
        <v>-20732.48</v>
      </c>
      <c r="F35" s="274" t="n">
        <f aca="false">אפריל!E34</f>
        <v>0</v>
      </c>
      <c r="G35" s="274" t="n">
        <f aca="false">מאי!E34</f>
        <v>0</v>
      </c>
      <c r="H35" s="274" t="n">
        <f aca="false">יוני!E34</f>
        <v>0</v>
      </c>
      <c r="I35" s="274" t="n">
        <f aca="false">יולי!F34</f>
        <v>13897.42</v>
      </c>
      <c r="J35" s="274" t="n">
        <f aca="false">אוגוסט!F34</f>
        <v>0</v>
      </c>
      <c r="K35" s="274" t="n">
        <f aca="false">ספטמבר!F34</f>
        <v>1987.54</v>
      </c>
      <c r="L35" s="274" t="n">
        <f aca="false">אוקטובר!F34</f>
        <v>0</v>
      </c>
      <c r="M35" s="274" t="n">
        <f aca="false">נובמבר!F34</f>
        <v>0</v>
      </c>
      <c r="N35" s="274" t="n">
        <f aca="false">דצמבר!F34</f>
        <v>0</v>
      </c>
      <c r="O35" s="274" t="n">
        <f aca="false">ינואר!F34</f>
        <v>19111.37</v>
      </c>
      <c r="P35" s="274" t="n">
        <f aca="false">פברואר!F34</f>
        <v>1584.32</v>
      </c>
      <c r="Q35" s="274" t="n">
        <f aca="false">מרץ!F34</f>
        <v>0</v>
      </c>
      <c r="R35" s="274" t="n">
        <f aca="false">אפריל!F34</f>
        <v>0</v>
      </c>
      <c r="S35" s="274" t="n">
        <f aca="false">מאי!F34</f>
        <v>19017.88</v>
      </c>
      <c r="T35" s="274" t="n">
        <f aca="false">יוני!F34</f>
        <v>0</v>
      </c>
      <c r="U35" s="274" t="n">
        <f aca="false">יולי!G34</f>
        <v>0</v>
      </c>
      <c r="V35" s="274" t="n">
        <f aca="false">אוגוסט!G34</f>
        <v>0</v>
      </c>
      <c r="W35" s="274" t="n">
        <f aca="false">ספטמבר!G34</f>
        <v>0</v>
      </c>
      <c r="X35" s="274" t="n">
        <f aca="false">אוקטובר!G34</f>
        <v>0</v>
      </c>
      <c r="Y35" s="274" t="n">
        <f aca="false">נובמבר!G34</f>
        <v>0</v>
      </c>
      <c r="Z35" s="274" t="n">
        <f aca="false">דצמבר!G34</f>
        <v>0</v>
      </c>
      <c r="AA35" s="274" t="n">
        <f aca="false">ינואר!G34</f>
        <v>18792.66</v>
      </c>
      <c r="AB35" s="274" t="n">
        <f aca="false">פברואר!G34</f>
        <v>0</v>
      </c>
      <c r="AC35" s="274" t="n">
        <f aca="false">מרץ!G34</f>
        <v>0</v>
      </c>
      <c r="AD35" s="274" t="n">
        <f aca="false">אפריל!G34</f>
        <v>0</v>
      </c>
      <c r="AE35" s="274" t="n">
        <f aca="false">מאי!G34</f>
        <v>0</v>
      </c>
      <c r="AF35" s="274" t="n">
        <f aca="false">יוני!G34</f>
        <v>0</v>
      </c>
      <c r="AG35" s="274" t="n">
        <f aca="false">יולי!H34</f>
        <v>0</v>
      </c>
      <c r="AH35" s="274" t="n">
        <f aca="false">אוגוסט!H34</f>
        <v>18350.05</v>
      </c>
      <c r="AI35" s="274" t="n">
        <f aca="false">ספטמבר!H34</f>
        <v>0</v>
      </c>
      <c r="AJ35" s="274" t="n">
        <f aca="false">אוקטובר!H34</f>
        <v>0</v>
      </c>
      <c r="AK35" s="274" t="n">
        <f aca="false">נובמבר!H34</f>
        <v>0</v>
      </c>
      <c r="AL35" s="274" t="n">
        <f aca="false">דצמבר!H34</f>
        <v>0</v>
      </c>
    </row>
    <row r="36" customFormat="false" ht="15" hidden="false" customHeight="true" outlineLevel="0" collapsed="false">
      <c r="A36" s="93" t="str">
        <f aca="false">ינואר!C35</f>
        <v>ALFRED GERA</v>
      </c>
      <c r="B36" s="93" t="s">
        <v>2435</v>
      </c>
      <c r="C36" s="274" t="n">
        <f aca="false">ינואר!E35</f>
        <v>0</v>
      </c>
      <c r="D36" s="274" t="n">
        <f aca="false">פברואר!E35</f>
        <v>34034.18</v>
      </c>
      <c r="E36" s="274" t="n">
        <f aca="false">מרץ!E35</f>
        <v>0</v>
      </c>
      <c r="F36" s="274" t="n">
        <f aca="false">אפריל!E35</f>
        <v>0</v>
      </c>
      <c r="G36" s="274" t="n">
        <f aca="false">מאי!E35</f>
        <v>0</v>
      </c>
      <c r="H36" s="274" t="n">
        <f aca="false">יוני!E35</f>
        <v>0</v>
      </c>
      <c r="I36" s="274" t="n">
        <f aca="false">יולי!F35</f>
        <v>0</v>
      </c>
      <c r="J36" s="274" t="n">
        <f aca="false">אוגוסט!F35</f>
        <v>25140.85</v>
      </c>
      <c r="K36" s="274" t="n">
        <f aca="false">ספטמבר!F35</f>
        <v>0</v>
      </c>
      <c r="L36" s="274" t="n">
        <f aca="false">אוקטובר!F35</f>
        <v>0</v>
      </c>
      <c r="M36" s="274" t="n">
        <f aca="false">נובמבר!F35</f>
        <v>0</v>
      </c>
      <c r="N36" s="274" t="n">
        <f aca="false">דצמבר!F35</f>
        <v>0</v>
      </c>
      <c r="O36" s="274" t="n">
        <f aca="false">ינואר!F35</f>
        <v>0</v>
      </c>
      <c r="P36" s="274" t="n">
        <f aca="false">פברואר!F35</f>
        <v>0</v>
      </c>
      <c r="Q36" s="274" t="n">
        <f aca="false">מרץ!F35</f>
        <v>0</v>
      </c>
      <c r="R36" s="274" t="n">
        <f aca="false">אפריל!F35</f>
        <v>0</v>
      </c>
      <c r="S36" s="274" t="n">
        <f aca="false">מאי!F35</f>
        <v>30531.53</v>
      </c>
      <c r="T36" s="274" t="n">
        <f aca="false">יוני!F35</f>
        <v>0</v>
      </c>
      <c r="U36" s="274" t="n">
        <f aca="false">יולי!G35</f>
        <v>0</v>
      </c>
      <c r="V36" s="274" t="n">
        <f aca="false">אוגוסט!G35</f>
        <v>0</v>
      </c>
      <c r="W36" s="274" t="n">
        <f aca="false">ספטמבר!G35</f>
        <v>0</v>
      </c>
      <c r="X36" s="274" t="n">
        <f aca="false">אוקטובר!G35</f>
        <v>0</v>
      </c>
      <c r="Y36" s="274" t="n">
        <f aca="false">נובמבר!G35</f>
        <v>23331.65</v>
      </c>
      <c r="Z36" s="274" t="n">
        <f aca="false">דצמבר!G35</f>
        <v>0</v>
      </c>
      <c r="AA36" s="274" t="n">
        <f aca="false">ינואר!G35</f>
        <v>0</v>
      </c>
      <c r="AB36" s="274" t="n">
        <f aca="false">פברואר!G35</f>
        <v>0</v>
      </c>
      <c r="AC36" s="274" t="n">
        <f aca="false">מרץ!G35</f>
        <v>0</v>
      </c>
      <c r="AD36" s="274" t="n">
        <f aca="false">אפריל!G35</f>
        <v>0</v>
      </c>
      <c r="AE36" s="274" t="n">
        <f aca="false">מאי!G35</f>
        <v>0</v>
      </c>
      <c r="AF36" s="274" t="n">
        <f aca="false">יוני!G35</f>
        <v>0</v>
      </c>
      <c r="AG36" s="274" t="n">
        <f aca="false">יולי!H35</f>
        <v>0</v>
      </c>
      <c r="AH36" s="274" t="n">
        <f aca="false">אוגוסט!H35</f>
        <v>26105.72</v>
      </c>
      <c r="AI36" s="274" t="n">
        <f aca="false">ספטמבר!H35</f>
        <v>0</v>
      </c>
      <c r="AJ36" s="274" t="n">
        <f aca="false">אוקטובר!H35</f>
        <v>0</v>
      </c>
      <c r="AK36" s="274" t="n">
        <f aca="false">נובמבר!H35</f>
        <v>0</v>
      </c>
      <c r="AL36" s="274" t="n">
        <f aca="false">דצמבר!H35</f>
        <v>0</v>
      </c>
    </row>
    <row r="37" customFormat="false" ht="15" hidden="false" customHeight="true" outlineLevel="0" collapsed="false">
      <c r="A37" s="93" t="str">
        <f aca="false">ינואר!C36</f>
        <v>QUADRIFOGLIO MEDICAL</v>
      </c>
      <c r="B37" s="93" t="s">
        <v>2435</v>
      </c>
      <c r="C37" s="274" t="n">
        <f aca="false">ינואר!E36</f>
        <v>0</v>
      </c>
      <c r="D37" s="274" t="n">
        <f aca="false">פברואר!E36</f>
        <v>0</v>
      </c>
      <c r="E37" s="274" t="n">
        <f aca="false">מרץ!E36</f>
        <v>0</v>
      </c>
      <c r="F37" s="274" t="n">
        <f aca="false">אפריל!E36</f>
        <v>41531.96</v>
      </c>
      <c r="G37" s="274" t="n">
        <f aca="false">מאי!E36</f>
        <v>0</v>
      </c>
      <c r="H37" s="274" t="n">
        <f aca="false">יוני!E36</f>
        <v>0</v>
      </c>
      <c r="I37" s="274" t="n">
        <f aca="false">יולי!F36</f>
        <v>0</v>
      </c>
      <c r="J37" s="274" t="n">
        <f aca="false">אוגוסט!F36</f>
        <v>0</v>
      </c>
      <c r="K37" s="274" t="n">
        <f aca="false">ספטמבר!F36</f>
        <v>0</v>
      </c>
      <c r="L37" s="274" t="n">
        <f aca="false">אוקטובר!F36</f>
        <v>0</v>
      </c>
      <c r="M37" s="274" t="n">
        <f aca="false">נובמבר!F36</f>
        <v>0</v>
      </c>
      <c r="N37" s="274" t="n">
        <f aca="false">דצמבר!F36</f>
        <v>0</v>
      </c>
      <c r="O37" s="274" t="n">
        <f aca="false">ינואר!F36</f>
        <v>0</v>
      </c>
      <c r="P37" s="274" t="n">
        <f aca="false">פברואר!F36</f>
        <v>0</v>
      </c>
      <c r="Q37" s="274" t="n">
        <f aca="false">מרץ!F36</f>
        <v>0</v>
      </c>
      <c r="R37" s="274" t="n">
        <f aca="false">אפריל!F36</f>
        <v>0</v>
      </c>
      <c r="S37" s="274" t="n">
        <f aca="false">מאי!F36</f>
        <v>0</v>
      </c>
      <c r="T37" s="274" t="n">
        <f aca="false">יוני!F36</f>
        <v>0</v>
      </c>
      <c r="U37" s="274" t="n">
        <f aca="false">יולי!G36</f>
        <v>0</v>
      </c>
      <c r="V37" s="274" t="n">
        <f aca="false">אוגוסט!G36</f>
        <v>0</v>
      </c>
      <c r="W37" s="274" t="n">
        <f aca="false">ספטמבר!G36</f>
        <v>0</v>
      </c>
      <c r="X37" s="274" t="n">
        <f aca="false">אוקטובר!G36</f>
        <v>0</v>
      </c>
      <c r="Y37" s="274" t="n">
        <f aca="false">נובמבר!G36</f>
        <v>0</v>
      </c>
      <c r="Z37" s="274" t="n">
        <f aca="false">דצמבר!G36</f>
        <v>0</v>
      </c>
      <c r="AA37" s="274" t="n">
        <f aca="false">ינואר!G36</f>
        <v>0</v>
      </c>
      <c r="AB37" s="274" t="n">
        <f aca="false">פברואר!G36</f>
        <v>0</v>
      </c>
      <c r="AC37" s="274" t="n">
        <f aca="false">מרץ!G36</f>
        <v>0</v>
      </c>
      <c r="AD37" s="274" t="n">
        <f aca="false">אפריל!G36</f>
        <v>0</v>
      </c>
      <c r="AE37" s="274" t="n">
        <f aca="false">מאי!G36</f>
        <v>0</v>
      </c>
      <c r="AF37" s="274" t="n">
        <f aca="false">יוני!G36</f>
        <v>0</v>
      </c>
      <c r="AG37" s="274" t="n">
        <f aca="false">יולי!H36</f>
        <v>0</v>
      </c>
      <c r="AH37" s="274" t="n">
        <f aca="false">אוגוסט!H36</f>
        <v>0</v>
      </c>
      <c r="AI37" s="274" t="n">
        <f aca="false">ספטמבר!H36</f>
        <v>0</v>
      </c>
      <c r="AJ37" s="274" t="n">
        <f aca="false">אוקטובר!H36</f>
        <v>0</v>
      </c>
      <c r="AK37" s="274" t="n">
        <f aca="false">נובמבר!H36</f>
        <v>0</v>
      </c>
      <c r="AL37" s="274" t="n">
        <f aca="false">דצמבר!H36</f>
        <v>0</v>
      </c>
    </row>
    <row r="38" customFormat="false" ht="15" hidden="false" customHeight="true" outlineLevel="0" collapsed="false">
      <c r="A38" s="93" t="str">
        <f aca="false">ינואר!C37</f>
        <v>YOUNG IN HEALTHCARE CO.,</v>
      </c>
      <c r="B38" s="93" t="s">
        <v>2435</v>
      </c>
      <c r="C38" s="274" t="n">
        <f aca="false">ינואר!E37</f>
        <v>0</v>
      </c>
      <c r="D38" s="274" t="n">
        <f aca="false">פברואר!E37</f>
        <v>0</v>
      </c>
      <c r="E38" s="274" t="n">
        <f aca="false">מרץ!E37</f>
        <v>0</v>
      </c>
      <c r="F38" s="274" t="n">
        <f aca="false">אפריל!E37</f>
        <v>0</v>
      </c>
      <c r="G38" s="274" t="n">
        <f aca="false">מאי!E37</f>
        <v>0</v>
      </c>
      <c r="H38" s="274" t="n">
        <f aca="false">יוני!E37</f>
        <v>22310.96</v>
      </c>
      <c r="I38" s="274" t="n">
        <f aca="false">יולי!F37</f>
        <v>0</v>
      </c>
      <c r="J38" s="274" t="n">
        <f aca="false">אוגוסט!F37</f>
        <v>0</v>
      </c>
      <c r="K38" s="274" t="n">
        <f aca="false">ספטמבר!F37</f>
        <v>0</v>
      </c>
      <c r="L38" s="274" t="n">
        <f aca="false">אוקטובר!F37</f>
        <v>0</v>
      </c>
      <c r="M38" s="274" t="n">
        <f aca="false">נובמבר!F37</f>
        <v>0</v>
      </c>
      <c r="N38" s="274" t="n">
        <f aca="false">דצמבר!F37</f>
        <v>0</v>
      </c>
      <c r="O38" s="274" t="n">
        <f aca="false">ינואר!F37</f>
        <v>0</v>
      </c>
      <c r="P38" s="274" t="n">
        <f aca="false">פברואר!F37</f>
        <v>0</v>
      </c>
      <c r="Q38" s="274" t="n">
        <f aca="false">מרץ!F37</f>
        <v>0</v>
      </c>
      <c r="R38" s="274" t="n">
        <f aca="false">אפריל!F37</f>
        <v>0</v>
      </c>
      <c r="S38" s="274" t="n">
        <f aca="false">מאי!F37</f>
        <v>0</v>
      </c>
      <c r="T38" s="274" t="n">
        <f aca="false">יוני!F37</f>
        <v>0</v>
      </c>
      <c r="U38" s="274" t="n">
        <f aca="false">יולי!G37</f>
        <v>0</v>
      </c>
      <c r="V38" s="274" t="n">
        <f aca="false">אוגוסט!G37</f>
        <v>0</v>
      </c>
      <c r="W38" s="274" t="n">
        <f aca="false">ספטמבר!G37</f>
        <v>0</v>
      </c>
      <c r="X38" s="274" t="n">
        <f aca="false">אוקטובר!G37</f>
        <v>0</v>
      </c>
      <c r="Y38" s="274" t="n">
        <f aca="false">נובמבר!G37</f>
        <v>0</v>
      </c>
      <c r="Z38" s="274" t="n">
        <f aca="false">דצמבר!G37</f>
        <v>0</v>
      </c>
      <c r="AA38" s="274" t="n">
        <f aca="false">ינואר!G37</f>
        <v>0</v>
      </c>
      <c r="AB38" s="274" t="n">
        <f aca="false">פברואר!G37</f>
        <v>0</v>
      </c>
      <c r="AC38" s="274" t="n">
        <f aca="false">מרץ!G37</f>
        <v>0</v>
      </c>
      <c r="AD38" s="274" t="n">
        <f aca="false">אפריל!G37</f>
        <v>0</v>
      </c>
      <c r="AE38" s="274" t="n">
        <f aca="false">מאי!G37</f>
        <v>0</v>
      </c>
      <c r="AF38" s="274" t="n">
        <f aca="false">יוני!G37</f>
        <v>0</v>
      </c>
      <c r="AG38" s="274" t="n">
        <f aca="false">יולי!H37</f>
        <v>0</v>
      </c>
      <c r="AH38" s="274" t="n">
        <f aca="false">אוגוסט!H37</f>
        <v>0</v>
      </c>
      <c r="AI38" s="274" t="n">
        <f aca="false">ספטמבר!H37</f>
        <v>0</v>
      </c>
      <c r="AJ38" s="274" t="n">
        <f aca="false">אוקטובר!H37</f>
        <v>0</v>
      </c>
      <c r="AK38" s="274" t="n">
        <f aca="false">נובמבר!H37</f>
        <v>0</v>
      </c>
      <c r="AL38" s="274" t="n">
        <f aca="false">דצמבר!H37</f>
        <v>0</v>
      </c>
    </row>
    <row r="39" customFormat="false" ht="15" hidden="false" customHeight="true" outlineLevel="0" collapsed="false">
      <c r="A39" s="93" t="str">
        <f aca="false">ינואר!C38</f>
        <v>HANS</v>
      </c>
      <c r="B39" s="93" t="s">
        <v>2435</v>
      </c>
      <c r="C39" s="274" t="n">
        <f aca="false">ינואר!E38</f>
        <v>0</v>
      </c>
      <c r="D39" s="274" t="n">
        <f aca="false">פברואר!E38</f>
        <v>0</v>
      </c>
      <c r="E39" s="274" t="n">
        <f aca="false">מרץ!E38</f>
        <v>0</v>
      </c>
      <c r="F39" s="274" t="n">
        <f aca="false">אפריל!E38</f>
        <v>0</v>
      </c>
      <c r="G39" s="274" t="n">
        <f aca="false">מאי!E38</f>
        <v>0</v>
      </c>
      <c r="H39" s="274" t="n">
        <f aca="false">יוני!E38</f>
        <v>0</v>
      </c>
      <c r="I39" s="274" t="n">
        <f aca="false">יולי!F38</f>
        <v>0</v>
      </c>
      <c r="J39" s="274" t="n">
        <f aca="false">אוגוסט!F38</f>
        <v>0</v>
      </c>
      <c r="K39" s="274" t="n">
        <f aca="false">ספטמבר!F38</f>
        <v>-1.37</v>
      </c>
      <c r="L39" s="274" t="n">
        <f aca="false">אוקטובר!F38</f>
        <v>0</v>
      </c>
      <c r="M39" s="274" t="n">
        <f aca="false">נובמבר!F38</f>
        <v>0</v>
      </c>
      <c r="N39" s="274" t="n">
        <f aca="false">דצמבר!F38</f>
        <v>161576.19</v>
      </c>
      <c r="O39" s="274" t="n">
        <f aca="false">ינואר!F38</f>
        <v>0</v>
      </c>
      <c r="P39" s="274" t="n">
        <f aca="false">פברואר!F38</f>
        <v>0</v>
      </c>
      <c r="Q39" s="274" t="n">
        <f aca="false">מרץ!F38</f>
        <v>0</v>
      </c>
      <c r="R39" s="274" t="n">
        <f aca="false">אפריל!F38</f>
        <v>0</v>
      </c>
      <c r="S39" s="274" t="n">
        <f aca="false">מאי!F38</f>
        <v>248.59</v>
      </c>
      <c r="T39" s="274" t="n">
        <f aca="false">יוני!F38</f>
        <v>0</v>
      </c>
      <c r="U39" s="274" t="n">
        <f aca="false">יולי!G38</f>
        <v>0</v>
      </c>
      <c r="V39" s="274" t="n">
        <f aca="false">אוגוסט!G38</f>
        <v>0</v>
      </c>
      <c r="W39" s="274" t="n">
        <f aca="false">ספטמבר!G38</f>
        <v>0</v>
      </c>
      <c r="X39" s="274" t="n">
        <f aca="false">אוקטובר!G38</f>
        <v>0</v>
      </c>
      <c r="Y39" s="274" t="n">
        <f aca="false">נובמבר!G38</f>
        <v>0</v>
      </c>
      <c r="Z39" s="274" t="n">
        <f aca="false">דצמבר!G38</f>
        <v>0</v>
      </c>
      <c r="AA39" s="274" t="n">
        <f aca="false">ינואר!G38</f>
        <v>0</v>
      </c>
      <c r="AB39" s="274" t="n">
        <f aca="false">פברואר!G38</f>
        <v>0</v>
      </c>
      <c r="AC39" s="274" t="n">
        <f aca="false">מרץ!G38</f>
        <v>0</v>
      </c>
      <c r="AD39" s="274" t="n">
        <f aca="false">אפריל!G38</f>
        <v>0</v>
      </c>
      <c r="AE39" s="274" t="n">
        <f aca="false">מאי!G38</f>
        <v>0</v>
      </c>
      <c r="AF39" s="274" t="n">
        <f aca="false">יוני!G38</f>
        <v>0</v>
      </c>
      <c r="AG39" s="274" t="n">
        <f aca="false">יולי!H38</f>
        <v>0</v>
      </c>
      <c r="AH39" s="274" t="n">
        <f aca="false">אוגוסט!H38</f>
        <v>0</v>
      </c>
      <c r="AI39" s="274" t="n">
        <f aca="false">ספטמבר!H38</f>
        <v>0</v>
      </c>
      <c r="AJ39" s="274" t="n">
        <f aca="false">אוקטובר!H38</f>
        <v>0</v>
      </c>
      <c r="AK39" s="274" t="n">
        <f aca="false">נובמבר!H38</f>
        <v>0</v>
      </c>
      <c r="AL39" s="274" t="n">
        <f aca="false">דצמבר!H38</f>
        <v>0</v>
      </c>
    </row>
    <row r="40" customFormat="false" ht="15" hidden="false" customHeight="true" outlineLevel="0" collapsed="false">
      <c r="A40" s="93" t="str">
        <f aca="false">ינואר!C39</f>
        <v>NEW DISTRIBUTORS</v>
      </c>
      <c r="B40" s="93" t="s">
        <v>2435</v>
      </c>
      <c r="C40" s="274" t="n">
        <f aca="false">ינואר!E39</f>
        <v>0</v>
      </c>
      <c r="D40" s="274" t="n">
        <f aca="false">פברואר!E39</f>
        <v>0</v>
      </c>
      <c r="E40" s="274" t="n">
        <f aca="false">מרץ!E39</f>
        <v>0</v>
      </c>
      <c r="F40" s="274" t="n">
        <f aca="false">אפריל!E39</f>
        <v>0</v>
      </c>
      <c r="G40" s="274" t="n">
        <f aca="false">מאי!E39</f>
        <v>0</v>
      </c>
      <c r="H40" s="274" t="n">
        <f aca="false">יוני!E39</f>
        <v>0</v>
      </c>
      <c r="I40" s="274" t="n">
        <f aca="false">יולי!F39</f>
        <v>0</v>
      </c>
      <c r="J40" s="274" t="n">
        <f aca="false">אוגוסט!F39</f>
        <v>0</v>
      </c>
      <c r="K40" s="274" t="n">
        <f aca="false">ספטמבר!F39</f>
        <v>0</v>
      </c>
      <c r="L40" s="274" t="n">
        <f aca="false">אוקטובר!F39</f>
        <v>0</v>
      </c>
      <c r="M40" s="274" t="n">
        <f aca="false">נובמבר!F39</f>
        <v>0</v>
      </c>
      <c r="N40" s="274" t="n">
        <f aca="false">דצמבר!F39</f>
        <v>0</v>
      </c>
      <c r="O40" s="274" t="n">
        <f aca="false">ינואר!F39</f>
        <v>0</v>
      </c>
      <c r="P40" s="274" t="n">
        <f aca="false">פברואר!F39</f>
        <v>0</v>
      </c>
      <c r="Q40" s="274" t="n">
        <f aca="false">מרץ!F39</f>
        <v>0</v>
      </c>
      <c r="R40" s="274" t="n">
        <f aca="false">אפריל!F39</f>
        <v>0</v>
      </c>
      <c r="S40" s="274" t="n">
        <f aca="false">מאי!F39</f>
        <v>0</v>
      </c>
      <c r="T40" s="274" t="n">
        <f aca="false">יוני!F39</f>
        <v>0</v>
      </c>
      <c r="U40" s="274" t="n">
        <f aca="false">יולי!G39</f>
        <v>0</v>
      </c>
      <c r="V40" s="274" t="n">
        <f aca="false">אוגוסט!G39</f>
        <v>0</v>
      </c>
      <c r="W40" s="274" t="n">
        <f aca="false">ספטמבר!G39</f>
        <v>0</v>
      </c>
      <c r="X40" s="274" t="n">
        <f aca="false">אוקטובר!G39</f>
        <v>0</v>
      </c>
      <c r="Y40" s="274" t="n">
        <f aca="false">נובמבר!G39</f>
        <v>0</v>
      </c>
      <c r="Z40" s="274" t="n">
        <f aca="false">דצמבר!G39</f>
        <v>0</v>
      </c>
      <c r="AA40" s="274" t="n">
        <f aca="false">ינואר!G39</f>
        <v>0</v>
      </c>
      <c r="AB40" s="274" t="n">
        <f aca="false">פברואר!G39</f>
        <v>0</v>
      </c>
      <c r="AC40" s="274" t="n">
        <f aca="false">מרץ!G39</f>
        <v>0</v>
      </c>
      <c r="AD40" s="274" t="n">
        <f aca="false">אפריל!G39</f>
        <v>0</v>
      </c>
      <c r="AE40" s="274" t="n">
        <f aca="false">מאי!G39</f>
        <v>0</v>
      </c>
      <c r="AF40" s="274" t="n">
        <f aca="false">יוני!G39</f>
        <v>0</v>
      </c>
      <c r="AG40" s="274" t="n">
        <f aca="false">יולי!H39</f>
        <v>0</v>
      </c>
      <c r="AH40" s="274" t="n">
        <f aca="false">אוגוסט!H39</f>
        <v>0</v>
      </c>
      <c r="AI40" s="274" t="n">
        <f aca="false">ספטמבר!H39</f>
        <v>0</v>
      </c>
      <c r="AJ40" s="274" t="n">
        <f aca="false">אוקטובר!H39</f>
        <v>0</v>
      </c>
      <c r="AK40" s="274" t="n">
        <f aca="false">נובמבר!H39</f>
        <v>0</v>
      </c>
      <c r="AL40" s="274" t="n">
        <f aca="false">דצמבר!H39</f>
        <v>0</v>
      </c>
    </row>
    <row r="41" customFormat="false" ht="15" hidden="false" customHeight="true" outlineLevel="0" collapsed="false">
      <c r="A41" s="93" t="str">
        <f aca="false">ינואר!C51</f>
        <v>BAKU</v>
      </c>
      <c r="B41" s="93" t="s">
        <v>2435</v>
      </c>
      <c r="C41" s="274" t="n">
        <f aca="false">ינואר!E51</f>
        <v>0</v>
      </c>
      <c r="D41" s="274" t="n">
        <f aca="false">פברואר!E51</f>
        <v>0</v>
      </c>
      <c r="E41" s="274" t="n">
        <f aca="false">מרץ!E51</f>
        <v>0</v>
      </c>
      <c r="F41" s="274" t="n">
        <f aca="false">אפריל!E51</f>
        <v>0</v>
      </c>
      <c r="G41" s="274" t="n">
        <f aca="false">מאי!E51</f>
        <v>0</v>
      </c>
      <c r="H41" s="274" t="n">
        <f aca="false">יוני!E51</f>
        <v>0</v>
      </c>
      <c r="I41" s="274" t="n">
        <f aca="false">יולי!F51</f>
        <v>0</v>
      </c>
      <c r="J41" s="274" t="n">
        <f aca="false">אוגוסט!F51</f>
        <v>0</v>
      </c>
      <c r="K41" s="274" t="n">
        <f aca="false">ספטמבר!F51</f>
        <v>0</v>
      </c>
      <c r="L41" s="274" t="n">
        <f aca="false">אוקטובר!F51</f>
        <v>0</v>
      </c>
      <c r="M41" s="274" t="n">
        <f aca="false">נובמבר!F51</f>
        <v>0</v>
      </c>
      <c r="N41" s="274" t="n">
        <f aca="false">דצמבר!F51</f>
        <v>0</v>
      </c>
      <c r="O41" s="274" t="n">
        <f aca="false">ינואר!F51</f>
        <v>0</v>
      </c>
      <c r="P41" s="274" t="n">
        <f aca="false">פברואר!F51</f>
        <v>0</v>
      </c>
      <c r="Q41" s="274" t="n">
        <f aca="false">מרץ!F51</f>
        <v>0</v>
      </c>
      <c r="R41" s="274" t="n">
        <f aca="false">אפריל!F51</f>
        <v>0</v>
      </c>
      <c r="S41" s="274" t="n">
        <f aca="false">מאי!F51</f>
        <v>0</v>
      </c>
      <c r="T41" s="274" t="n">
        <f aca="false">יוני!F51</f>
        <v>0</v>
      </c>
      <c r="U41" s="274" t="n">
        <f aca="false">יולי!G51</f>
        <v>0</v>
      </c>
      <c r="V41" s="274" t="n">
        <f aca="false">אוגוסט!G51</f>
        <v>0</v>
      </c>
      <c r="W41" s="274" t="n">
        <f aca="false">ספטמבר!G51</f>
        <v>0</v>
      </c>
      <c r="X41" s="274" t="n">
        <f aca="false">אוקטובר!G51</f>
        <v>0</v>
      </c>
      <c r="Y41" s="274" t="n">
        <f aca="false">נובמבר!G51</f>
        <v>0</v>
      </c>
      <c r="Z41" s="274" t="n">
        <f aca="false">דצמבר!G51</f>
        <v>0</v>
      </c>
      <c r="AA41" s="274" t="n">
        <f aca="false">ינואר!G51</f>
        <v>0</v>
      </c>
      <c r="AB41" s="274" t="n">
        <f aca="false">פברואר!G51</f>
        <v>0</v>
      </c>
      <c r="AC41" s="274" t="n">
        <f aca="false">מרץ!G51</f>
        <v>0</v>
      </c>
      <c r="AD41" s="274" t="n">
        <f aca="false">אפריל!G51</f>
        <v>0</v>
      </c>
      <c r="AE41" s="274" t="n">
        <f aca="false">מאי!G51</f>
        <v>0</v>
      </c>
      <c r="AF41" s="274" t="n">
        <f aca="false">יוני!G51</f>
        <v>0</v>
      </c>
      <c r="AG41" s="274" t="n">
        <f aca="false">יולי!H51</f>
        <v>0</v>
      </c>
      <c r="AH41" s="274" t="n">
        <f aca="false">אוגוסט!H51</f>
        <v>0</v>
      </c>
      <c r="AI41" s="274" t="n">
        <f aca="false">ספטמבר!H51</f>
        <v>0</v>
      </c>
      <c r="AJ41" s="274" t="n">
        <f aca="false">אוקטובר!H51</f>
        <v>0</v>
      </c>
      <c r="AK41" s="274" t="n">
        <f aca="false">נובמבר!H51</f>
        <v>0</v>
      </c>
      <c r="AL41" s="274" t="n">
        <f aca="false">דצמבר!H51</f>
        <v>0</v>
      </c>
    </row>
    <row r="42" customFormat="false" ht="15" hidden="false" customHeight="true" outlineLevel="0" collapsed="false">
      <c r="A42" s="93" t="str">
        <f aca="false">ינואר!C52</f>
        <v>MEXICO</v>
      </c>
      <c r="B42" s="93" t="s">
        <v>2435</v>
      </c>
      <c r="C42" s="274" t="n">
        <f aca="false">ינואר!E52</f>
        <v>0</v>
      </c>
      <c r="D42" s="274" t="n">
        <f aca="false">פברואר!E52</f>
        <v>0</v>
      </c>
      <c r="E42" s="274" t="n">
        <f aca="false">מרץ!E52</f>
        <v>0</v>
      </c>
      <c r="F42" s="274" t="n">
        <f aca="false">אפריל!E52</f>
        <v>0</v>
      </c>
      <c r="G42" s="274" t="n">
        <f aca="false">מאי!E52</f>
        <v>0</v>
      </c>
      <c r="H42" s="274" t="n">
        <f aca="false">יוני!E52</f>
        <v>0</v>
      </c>
      <c r="I42" s="274" t="n">
        <f aca="false">יולי!F52</f>
        <v>0</v>
      </c>
      <c r="J42" s="274" t="n">
        <f aca="false">אוגוסט!F52</f>
        <v>0</v>
      </c>
      <c r="K42" s="274" t="n">
        <f aca="false">ספטמבר!F52</f>
        <v>0</v>
      </c>
      <c r="L42" s="274" t="n">
        <f aca="false">אוקטובר!F52</f>
        <v>0</v>
      </c>
      <c r="M42" s="274" t="n">
        <f aca="false">נובמבר!F52</f>
        <v>0</v>
      </c>
      <c r="N42" s="274" t="n">
        <f aca="false">דצמבר!F52</f>
        <v>0</v>
      </c>
      <c r="O42" s="274" t="n">
        <f aca="false">ינואר!F52</f>
        <v>0</v>
      </c>
      <c r="P42" s="274" t="n">
        <f aca="false">פברואר!F52</f>
        <v>0</v>
      </c>
      <c r="Q42" s="274" t="n">
        <f aca="false">מרץ!F52</f>
        <v>0</v>
      </c>
      <c r="R42" s="274" t="n">
        <f aca="false">אפריל!F52</f>
        <v>0</v>
      </c>
      <c r="S42" s="274" t="n">
        <f aca="false">מאי!F52</f>
        <v>0</v>
      </c>
      <c r="T42" s="274" t="n">
        <f aca="false">יוני!F52</f>
        <v>0</v>
      </c>
      <c r="U42" s="274" t="n">
        <f aca="false">יולי!G52</f>
        <v>0</v>
      </c>
      <c r="V42" s="274" t="n">
        <f aca="false">אוגוסט!G52</f>
        <v>0</v>
      </c>
      <c r="W42" s="274" t="n">
        <f aca="false">ספטמבר!G52</f>
        <v>0</v>
      </c>
      <c r="X42" s="274" t="n">
        <f aca="false">אוקטובר!G52</f>
        <v>0</v>
      </c>
      <c r="Y42" s="274" t="n">
        <f aca="false">נובמבר!G52</f>
        <v>0</v>
      </c>
      <c r="Z42" s="274" t="n">
        <f aca="false">דצמבר!G52</f>
        <v>0</v>
      </c>
      <c r="AA42" s="274" t="n">
        <f aca="false">ינואר!G52</f>
        <v>0</v>
      </c>
      <c r="AB42" s="274" t="n">
        <f aca="false">פברואר!G52</f>
        <v>0</v>
      </c>
      <c r="AC42" s="274" t="n">
        <f aca="false">מרץ!G52</f>
        <v>0</v>
      </c>
      <c r="AD42" s="274" t="n">
        <f aca="false">אפריל!G52</f>
        <v>0</v>
      </c>
      <c r="AE42" s="274" t="n">
        <f aca="false">מאי!G52</f>
        <v>0</v>
      </c>
      <c r="AF42" s="274" t="n">
        <f aca="false">יוני!G52</f>
        <v>0</v>
      </c>
      <c r="AG42" s="274" t="n">
        <f aca="false">יולי!H52</f>
        <v>0</v>
      </c>
      <c r="AH42" s="274" t="n">
        <f aca="false">אוגוסט!H52</f>
        <v>0</v>
      </c>
      <c r="AI42" s="274" t="n">
        <f aca="false">ספטמבר!H52</f>
        <v>0</v>
      </c>
      <c r="AJ42" s="274" t="n">
        <f aca="false">אוקטובר!H52</f>
        <v>0</v>
      </c>
      <c r="AK42" s="274" t="n">
        <f aca="false">נובמבר!H52</f>
        <v>0</v>
      </c>
      <c r="AL42" s="274" t="n">
        <f aca="false">דצמבר!H52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2022-03-30T16:49:06Z</dcterms:created>
  <dc:creator>Isa</dc:creator>
  <dc:description/>
  <dc:language>en-US</dc:language>
  <cp:lastModifiedBy>Eyal Sadot</cp:lastModifiedBy>
  <cp:lastPrinted>2024-01-31T11:32:33Z</cp:lastPrinted>
  <dcterms:modified xsi:type="dcterms:W3CDTF">2026-10-01T13:17:26Z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