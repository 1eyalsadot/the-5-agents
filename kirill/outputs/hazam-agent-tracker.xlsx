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מעקב סוכן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"/>
    <numFmt numFmtId="165" formatCode="#,##0.0"/>
    <numFmt numFmtId="166" formatCode="0.0%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000000"/>
      <sz val="10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0000FF"/>
      <sz val="11"/>
    </font>
    <font>
      <name val="Arial"/>
      <charset val="1"/>
      <family val="0"/>
      <b val="1"/>
      <color rgb="FF1F4E78"/>
      <sz val="3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595959"/>
      <sz val="10"/>
    </font>
    <font>
      <name val="Arial"/>
      <charset val="1"/>
      <family val="0"/>
      <i val="1"/>
      <color rgb="FF808080"/>
      <sz val="9"/>
    </font>
    <font>
      <name val="FreeSans"/>
      <family val="2"/>
      <sz val="10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F8F00"/>
        <bgColor rgb="FF80800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164" fontId="6" fillId="0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 wrapText="1"/>
    </xf>
    <xf numFmtId="0" fontId="7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  <xf numFmtId="0" fontId="8" fillId="4" borderId="1" applyAlignment="1" pivotButton="0" quotePrefix="0" xfId="0">
      <alignment horizontal="center" vertical="center" wrapText="1"/>
    </xf>
    <xf numFmtId="165" fontId="8" fillId="4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right" vertical="center" wrapText="1"/>
    </xf>
    <xf numFmtId="164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vertical="center" wrapText="1"/>
    </xf>
    <xf numFmtId="0" fontId="12" fillId="5" borderId="0" applyAlignment="1" pivotButton="0" quotePrefix="0" xfId="0">
      <alignment horizontal="right" vertical="center" wrapText="1"/>
    </xf>
    <xf numFmtId="2" fontId="12" fillId="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164" fontId="6" fillId="0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 wrapText="1"/>
    </xf>
    <xf numFmtId="0" fontId="7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  <xf numFmtId="0" fontId="8" fillId="4" borderId="1" applyAlignment="1" pivotButton="0" quotePrefix="0" xfId="0">
      <alignment horizontal="center" vertical="center" wrapText="1"/>
    </xf>
    <xf numFmtId="165" fontId="8" fillId="4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right" vertical="center" wrapText="1"/>
    </xf>
    <xf numFmtId="164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vertical="center" wrapText="1"/>
    </xf>
    <xf numFmtId="0" fontId="12" fillId="5" borderId="0" applyAlignment="1" pivotButton="0" quotePrefix="0" xfId="0">
      <alignment horizontal="right" vertical="center" wrapText="1"/>
    </xf>
    <xf numFmtId="2" fontId="12" fillId="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74C3C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1C40F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7AE60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</dPt>
          <cat>
            <numRef>
              <f>'מעקב סוכן'!$A$30:$A$32</f>
            </numRef>
          </cat>
          <val>
            <numRef>
              <f>'מעקב סוכן'!$B$26:$B$29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F4E78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D9D9D9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</dPt>
          <cat>
            <numRef>
              <f>'מעקב סוכן'!$A$30:$A$32</f>
            </numRef>
          </cat>
          <val>
            <numRef>
              <f>'מעקב סוכן'!$B$30:$B$32</f>
            </numRef>
          </val>
        </ser>
        <firstSliceAng val="270"/>
        <holeSize val="55"/>
      </doughnutChart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Unknown Author</author>
  </authors>
  <commentList>
    <comment ref="B7" authorId="0" shapeId="0">
      <text>
        <t>דוגמה למילוי: המספר 346,513 הוא "סה"כ כללי" יעד חודשי (תא C21, גיליון חאזם) מתוך kirill/outputs/hazam-tracking-dashboard.xlsx (סכימת יעדי כל קטגוריות הלקוח של חאזם לאוגוסט 2026). בכל שימוש עתידי בתבנית — יש להחליף בערך המתאים לסוכן/לחודש הנבדק.</t>
      </text>
    </comment>
    <comment ref="B9" authorId="0" shapeId="0">
      <text>
        <t>דוגמה למילוי: המספר 118,542.7 הוא F21 (=D21+E21, "מכירות עד לבדיקה" סה"כ כללי) מתוך kirill/outputs/hazam-tracking-dashboard.xlsx (גיליון חאזם), נכון ל-15/08/2026. בכל שימוש עתידי בתבנית — יש להחליף בערך הביצוע בפועל לתאריך הבדיקה הרלוונטי.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34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2" customWidth="1" style="22" min="1" max="1"/>
    <col width="20" customWidth="1" style="22" min="2" max="2"/>
    <col width="3" customWidth="1" style="22" min="3" max="3"/>
    <col width="10" customWidth="1" style="22" min="4" max="13"/>
  </cols>
  <sheetData>
    <row r="1" ht="25.5" customHeight="1" s="23">
      <c r="A1" s="24" t="inlineStr">
        <is>
          <t>תבנית מעקב ביצועי סוכן — כלי כללי לשימוש חוזר</t>
        </is>
      </c>
    </row>
    <row r="2" ht="18" customHeight="1" s="23">
      <c r="A2" s="25">
        <f>("דוגמת מילוי: " &amp; B6 &amp; " | " &amp; B5 &amp; " | תאריך חישוב: " &amp; TEXT(B3,"dd/mm/yy"))</f>
        <v/>
      </c>
    </row>
    <row r="3" ht="15" customHeight="1" s="23">
      <c r="A3" s="26" t="inlineStr">
        <is>
          <t>תאריך חישוב (אוטומטי - יום הכנת הקובץ):</t>
        </is>
      </c>
      <c r="B3" s="27" t="n">
        <v>46250</v>
      </c>
    </row>
    <row r="4" ht="19.5" customHeight="1" s="23">
      <c r="A4" s="28" t="inlineStr">
        <is>
          <t>אזור קלט ידני — למילוי בכל פעם מחדש</t>
        </is>
      </c>
      <c r="D4" s="29" t="inlineStr">
        <is>
          <t>שעון ביצוע — % מהיעד החודשי</t>
        </is>
      </c>
    </row>
    <row r="5" ht="18" customHeight="1" s="23">
      <c r="A5" s="30" t="inlineStr">
        <is>
          <t>חודש (טקסט חופשי, לדוגמה: אוגוסט 2026)</t>
        </is>
      </c>
      <c r="B5" s="31" t="inlineStr">
        <is>
          <t>אוגוסט 2026</t>
        </is>
      </c>
    </row>
    <row r="6" ht="18" customHeight="1" s="23">
      <c r="A6" s="30" t="inlineStr">
        <is>
          <t>שם הסוכן</t>
        </is>
      </c>
      <c r="B6" s="31" t="inlineStr">
        <is>
          <t>חאזם</t>
        </is>
      </c>
    </row>
    <row r="7" ht="18" customHeight="1" s="23">
      <c r="A7" s="30" t="inlineStr">
        <is>
          <t>יעד חודשי (₪)</t>
        </is>
      </c>
      <c r="B7" s="32" t="n">
        <v>346513</v>
      </c>
    </row>
    <row r="8" ht="18" customHeight="1" s="23">
      <c r="A8" s="30" t="inlineStr">
        <is>
          <t>תאריך הבדיקה</t>
        </is>
      </c>
      <c r="B8" s="33" t="n">
        <v>46249</v>
      </c>
    </row>
    <row r="9" ht="18" customHeight="1" s="23">
      <c r="A9" s="30" t="inlineStr">
        <is>
          <t>ביצוע (מכירות) נכון לתאריך הבדיקה (₪)</t>
        </is>
      </c>
      <c r="B9" s="32" t="n">
        <v>118542.7</v>
      </c>
    </row>
    <row r="11" ht="19.5" customHeight="1" s="23">
      <c r="A11" s="34" t="inlineStr">
        <is>
          <t>תוצאות מחושבות (אוטומטי — נוסחאות חיות)</t>
        </is>
      </c>
    </row>
    <row r="12" ht="18" customHeight="1" s="23">
      <c r="A12" s="30" t="inlineStr">
        <is>
          <t>תחילת החודש הרלוונטי</t>
        </is>
      </c>
      <c r="B12" s="35">
        <f>EOMONTH(B8,-1)+1</f>
        <v/>
      </c>
    </row>
    <row r="13" ht="18" customHeight="1" s="23">
      <c r="A13" s="30" t="inlineStr">
        <is>
          <t>סוף החודש הרלוונטי</t>
        </is>
      </c>
      <c r="B13" s="35">
        <f>EOMONTH(B8,0)</f>
        <v/>
      </c>
    </row>
    <row r="14" ht="18" customHeight="1" s="23">
      <c r="A14" s="30" t="inlineStr">
        <is>
          <t>סה"כ ימי א'-ה' בחודש (ימי עבודה)</t>
        </is>
      </c>
      <c r="B14" s="36">
        <f>SUMPRODUCT((WEEKDAY(ROW(INDIRECT(B12&amp;":"&amp;B13)))&lt;6)*1)</f>
        <v/>
      </c>
    </row>
    <row r="15" ht="18" customHeight="1" s="23">
      <c r="A15" s="30" t="inlineStr">
        <is>
          <t>ימים שעברו עד תאריך הבדיקה (א'-ה', כולל)</t>
        </is>
      </c>
      <c r="B15" s="36">
        <f>SUMPRODUCT((WEEKDAY(ROW(INDIRECT(B12&amp;":"&amp;B8)))&lt;6)*1)</f>
        <v/>
      </c>
    </row>
    <row r="16" ht="18" customHeight="1" s="23">
      <c r="A16" s="30" t="inlineStr">
        <is>
          <t>% ביצוע (מהיעד החודשי הכולל)</t>
        </is>
      </c>
      <c r="B16" s="37">
        <f>IFERROR(B9/B7,"")</f>
        <v/>
      </c>
    </row>
    <row r="17" ht="18" customHeight="1" s="23">
      <c r="A17" s="30" t="inlineStr">
        <is>
          <t>יעד יחסי-לתאריך (₪) — לפי חלוקה אחידה על ימי העבודה</t>
        </is>
      </c>
      <c r="B17" s="38">
        <f>IFERROR(B7*(B15/B14),"")</f>
        <v/>
      </c>
    </row>
    <row r="18" ht="18" customHeight="1" s="23">
      <c r="A18" s="30" t="inlineStr">
        <is>
          <t>% עמידה ביעד (ביצוע בפועל מול היעד היחסי-לתאריך)</t>
        </is>
      </c>
      <c r="B18" s="37">
        <f>IFERROR(B9/B17,"")</f>
        <v/>
      </c>
    </row>
    <row r="19" ht="18" customHeight="1" s="23">
      <c r="A19" s="30" t="inlineStr">
        <is>
          <t>הקצב — ממוצע מכירות יומי בפועל (₪/יום)</t>
        </is>
      </c>
      <c r="B19" s="38">
        <f>IFERROR(B9/B15,"")</f>
        <v/>
      </c>
    </row>
    <row r="20" ht="39.75" customHeight="1" s="23">
      <c r="A20" s="30" t="inlineStr">
        <is>
          <t>תחזית סיום חודש (₪) — קצב יומי × סה"כ ימי עבודה</t>
        </is>
      </c>
      <c r="B20" s="38">
        <f>IFERROR((B9/B15)*B14,"")</f>
        <v/>
      </c>
      <c r="D20" s="39">
        <f>IFERROR(TEXT(B16,"0.0%"),"—")</f>
        <v/>
      </c>
    </row>
    <row r="21" ht="18" customHeight="1" s="23">
      <c r="A21" s="30" t="inlineStr">
        <is>
          <t>תחזית כאחוז מהיעד</t>
        </is>
      </c>
      <c r="B21" s="37">
        <f>IFERROR(B20/B7,"")</f>
        <v/>
      </c>
      <c r="D21" s="40">
        <f>"ביצוע בפועל מתוך היעד החודשי (" &amp; B6 &amp; ", " &amp; B5 &amp; ")"</f>
        <v/>
      </c>
    </row>
    <row r="22" ht="18" customHeight="1" s="23">
      <c r="A22" s="30" t="inlineStr">
        <is>
          <t>כמה צריך למכור כל יום מכאן ואילך כדי לעמוד ביעד (₪/יום)</t>
        </is>
      </c>
      <c r="B22" s="38">
        <f>IFERROR((B7-B9)/(B14-B15),"")</f>
        <v/>
      </c>
    </row>
    <row r="25" ht="15" customHeight="1" s="23">
      <c r="A25" s="41" t="inlineStr">
        <is>
          <t>נתוני עזר לגרף השעון (מחושב אוטומטית מתוך % ביצוע למעלה — אין לערוך ידנית)</t>
        </is>
      </c>
    </row>
    <row r="26" ht="15" customHeight="1" s="23">
      <c r="A26" s="42" t="inlineStr">
        <is>
          <t>אדום (0%-33%) — רקע</t>
        </is>
      </c>
      <c r="B26" s="43" t="n">
        <v>33</v>
      </c>
    </row>
    <row r="27" ht="15" customHeight="1" s="23">
      <c r="A27" s="42" t="inlineStr">
        <is>
          <t>צהוב (33%-66%) — רקע</t>
        </is>
      </c>
      <c r="B27" s="43" t="n">
        <v>33</v>
      </c>
    </row>
    <row r="28" ht="15" customHeight="1" s="23">
      <c r="A28" s="42" t="inlineStr">
        <is>
          <t>ירוק (66%-100%) — רקע</t>
        </is>
      </c>
      <c r="B28" s="43" t="n">
        <v>34</v>
      </c>
    </row>
    <row r="29" ht="15" customHeight="1" s="23">
      <c r="A29" s="42" t="inlineStr">
        <is>
          <t>מוסתר (חצי תחתון) — רקע</t>
        </is>
      </c>
      <c r="B29" s="43">
        <f>SUM(B26:B28)</f>
        <v/>
      </c>
    </row>
    <row r="30" ht="15" customHeight="1" s="23">
      <c r="A30" s="42" t="inlineStr">
        <is>
          <t>ביצוע בפועל — מחוון</t>
        </is>
      </c>
      <c r="B30" s="43">
        <f>MIN(B16,1)*100</f>
        <v/>
      </c>
    </row>
    <row r="31" ht="15" customHeight="1" s="23">
      <c r="A31" s="42" t="inlineStr">
        <is>
          <t>נותר עד 100% — מחוון</t>
        </is>
      </c>
      <c r="B31" s="43">
        <f>100-B30</f>
        <v/>
      </c>
    </row>
    <row r="32" ht="15" customHeight="1" s="23">
      <c r="A32" s="42" t="inlineStr">
        <is>
          <t>מוסתר (חצי תחתון) — מחוון</t>
        </is>
      </c>
      <c r="B32" s="43">
        <f>B29</f>
        <v/>
      </c>
    </row>
    <row r="34" ht="39.75" customHeight="1" s="23">
      <c r="A34" s="44" t="inlineStr">
        <is>
          <t>מקרא: תאים צהובים (B5:B9) = קלט ידני לעריכה בכל שימוש. אזור "תוצאות מחושבות" (B12:B22) ו"נתוני עזר לגרף" (A25:B32) הם נוסחאות חיות שמתעדכנות אוטומטית ואין לגעת בהן. תבנית זו כללית ומיועדת לשימוש חוזר לכל סוכן/חודש — הדוגמה המלאה כאן היא עבור הסוכן חאזם, אוגוסט 2026, נכון ל-15/08/2026 (ראו הערות בתאים B7 ו-B9 למקור המספרים).</t>
        </is>
      </c>
    </row>
  </sheetData>
  <mergeCells count="9">
    <mergeCell ref="A4:B4"/>
    <mergeCell ref="A1:M1"/>
    <mergeCell ref="D4:M4"/>
    <mergeCell ref="A11:B11"/>
    <mergeCell ref="A34:M34"/>
    <mergeCell ref="D21:M21"/>
    <mergeCell ref="A25:D25"/>
    <mergeCell ref="D20:M20"/>
    <mergeCell ref="A2:M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2026-08-16T09:00:37Z</dcterms:created>
  <dcterms:modified xmlns:dcterms="http://purl.org/dc/terms/" xmlns:xsi="http://www.w3.org/2001/XMLSchema-instance" xsi:type="dcterms:W3CDTF">2026-08-16T09:00:42Z</dcterms:modified>
  <cp:revision>0</cp:revision>
</cp:coreProperties>
</file>