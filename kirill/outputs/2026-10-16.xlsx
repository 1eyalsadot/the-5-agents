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<sst xmlns="http://schemas.openxmlformats.org/spreadsheetml/2006/main" count="134" uniqueCount="102">
  <si>
    <t xml:space="preserve">דוח מכירות אוקטובר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</si>
  <si>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</si>
  <si>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</si>
  <si>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</si>
  <si>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</si>
  <si>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</si>
  <si>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</si>
  <si>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</si>
  <si>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</si>
  <si>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</si>
  <si>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</si>
  <si>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</si>
  <si>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</si>
  <si>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</si>
  <si>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</si>
  <si>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</si>
  <si>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</si>
  <si>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</si>
  <si>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</si>
  <si>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</si>
  <si>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</si>
  <si>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</si>
  <si>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</si>
  <si>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</si>
  <si>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</si>
  <si>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</si>
  <si>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</si>
  <si>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</si>
  <si>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</si>
  <si>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</si>
  <si>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</si>
  <si>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</si>
  <si>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</si>
  <si>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</si>
  <si>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</si>
  <si>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</si>
  <si>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</si>
  <si>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</si>
  <si>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</si>
  <si>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</si>
  <si>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</si>
  <si>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</si>
  <si>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</si>
  <si>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</si>
  <si>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</si>
  <si>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</si>
  <si>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</si>
  <si>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</si>
  <si>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</si>
  <si>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</si>
  <si>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</si>
  <si>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</si>
  <si>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</si>
  <si>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</si>
  <si>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</si>
  <si>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</si>
  <si>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</si>
  <si>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</si>
  <si>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</si>
  <si>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</si>
  <si>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</si>
  <si>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</si>
  <si>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</si>
  <si>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</si>
  <si>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</si>
  <si>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</si>
  <si>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</si>
  <si>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</si>
  <si>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</si>
  <si>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</si>
  <si>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</si>
  <si>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</si>
  <si>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</si>
  <si>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</si>
  <si>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</si>
  <si>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</si>
  <si>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</si>
  <si>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</si>
  <si>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</si>
  <si>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</si>
  <si>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</si>
  <si>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</si>
  <si>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</si>
  <si>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</si>
  <si>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</si>
  <si>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</si>
  <si>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</si>
  <si>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</si>
  <si>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</si>
  <si>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</si>
  <si>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(uploaded as 59ab3292-PPlay1.xls), "PPlay1 of uriel (Reporter)", נוצר 16/10/2026 13:28:45, תקופה 2026/Oct (ממשיך MTD אוקטובר 2026, אין מעבר חודש - B1 נשאר "אוקטובר 2026"). קובץ הגיע כ-MHTML ("Excel Web Page", MIME multipart) ולא כ-XLSX/ZIP רגיל - פוענח לפי שיטת email.message_from_binary_file + BeautifulSoup (part עם Content-Location שמסתיים ב-sheet001.htm, windows-1255), כמתועד ב-kirill.md; לא הופעל תיקון rgb="auto" (זה לא שייך לפורמט הזה). נשלפו 12 שורות קטגוריה שיש להן נתונים עד כה החודש (0בתי מרקחת, 0מפיצי משנה, 0פארמים, אילת BE, גוד פארם, גוד פארם מרכז, הפרכל הפרפארם, זיכויים BE, סופרפארם, שופרסל BE, 0צרכנים פרטיים, 0קופות חולים), מתוך 13 הקטגוריות במקרא גיליון Pplay1 - עלייה מ-10 קטגוריות ב-12/10 ל-12 היום: גוד פארם (679.1) וזיכויים BE (-1,269.5) הופיעו לראשונה החודש. זיכויים BE ממופה אוטומטית ללקוח #7 (BE) לפי הכלל הקבוע מ-01/09/2026 - השורה כבר קיימת במבנה גיליון Pplay1 (C15=7) מדוחות קודמים, כך שאין צורך בשינוי מבני, רק במילוי הנתון. קטגוריה אחת נותרה ללא נתונים עדיין החודש (0שונות) - תקין, לא נתון חסר. כל שאר הערכים עלו מול 12/10 (הצטברות MTD על פני 4 ימים נוספים) - למשל 0פארמים 162,323.2-&gt;308,281.3, 0בתי מרקחת 39,645.9-&gt;73,536.4, סופרפארם 141,810.1-&gt;263,660.0, שופרסל BE 18,655.7-&gt;39,675.7, אילת BE 1,966.8-&gt;4,973.6, הפרכל הפרפארם 175.3-&gt;847.2, 0קופות חולים 23,762.9-&gt;35,352.7; 0מפיצי משנה, גוד פארם מרכז ו-0צרכנים פרטיים נשארו ללא שינוי (אין תנועה נוספת). שורת "Customers" (417,624.3) היא שורת-אב/סכום-ביניים של שדה הפיבוט ואינה שווה לסכום 12 שורות הקטגוריה (725,905.6) - הוחרגה מהייבוא כמקובל לשורות-אב (אותה התנהגות שתועדה כתקינה בדוחות קודמים). מכר נטו = עמודה B × 0.91 (מקדם קבוע, מאושר ב-kirill.md).</t>
  </si>
  <si>
    <t xml:space="preserve">2026/Oct (סכום גולמי, MTD)</t>
  </si>
  <si>
    <t xml:space="preserve">הערה</t>
  </si>
  <si>
    <t xml:space="preserve">Customer</t>
  </si>
  <si>
    <t xml:space="preserve">Sales</t>
  </si>
  <si>
    <t xml:space="preserve">Source: CustomSalesbyCustomerSummary610.xlsx (uploaded as d6c42ebb-...), Meditex Group IL, Custom Sales by Customer Summary, 01 October 2026 - 31 October 2026 (MTD, אוקטובר), נמסר 16/10/2026 עבור דוח 16/10/2026. קובץ xlsx תקני (2007+) - נטען ישירות ע"י openpyxl ללא צורך בתיקון קידוד. הדוח הגולמי היה דוח פירוט (שורות חשבוניות/זיכויים מתחת לכל קטגוריה, עם סכום הקטגוריה כבר מופיע על שורת הכותרת של הקטגוריה עצמה בעמודה D) - נשלפו רק 12 שורות קטגוריה (לא שורות פירוט/לקוחות-בת), אותן 12 קטגוריות שהיו ב-12/10 (102 - Orthopedic institutes, 111 - Superpharm Life, 103 - Physiotherapy institutes, 109 - Private Shops, 101 - Factory customers, 107 - Pharmacies, 106 - Hospitals, 112 - Kupat Holim Clalit, 114 - IL online, 115-SuperPharm Online, 209 - Ortoprofil Prod ROMANIA, 216 - Max Konnaris CYPRUS), מתוך 28 הקטגוריות במקרא "ריכוז" - אין קטגוריה חדשה מול 12/10, רק הצטברות MTD. סה"כ שורת "Total" בדוח הגולמי המלא: ₪481,819.47 - תואם בדיוק לסכום 12 שורות הקטגוריה שנשלפו (אומת ידנית: 42,042.47+79,677.00+719.90+2,342.42+12,316.08+11,365.58+5,323.62+117,536.90+154,108.32+2,088.10+30,489.94+23,809.14 = 481,819.47).</t>
  </si>
  <si>
    <t xml:space="preserve">Source: צילום מסך/נתונים שסופקו על ידי המשתמש (ראובן), לוח בקרה Sellerboard/Amazon Seller "Month to date, 1-16 October 2026", נמסר 16/10/2026 עבור דוח 16/10/2026, מאומת בטקסט (לא תמלול תמונה). נתונים נוספים שסופקו במקור (לא בשימוש בנוסחה): Sales -4.2% מול תקופה קודמת, Orders/Units 1,191/1,229, Refunds 110, Est. payout $10,332.05, Gross profit $3,577.04, Net profit $3,577.04 -49.8%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</si>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</sst>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46311</v>
      </c>
      <c r="C2" s="6" t="n">
        <v>10.2026</v>
      </c>
    </row>
    <row r="3" customFormat="false" ht="14.25" hidden="false" customHeight="true" outlineLevel="0" collapsed="false">
      <c r="A3" s="7" t="n">
        <v>5</v>
      </c>
      <c r="B3" s="8" t="s">
        <v>2</v>
      </c>
      <c r="C3" s="9" t="n">
        <f aca="false">SUMIF(Pplay1!$F$3:$F$15,A3,Pplay1!$H$3:$H$15)+SUMIF(ריכוז!$B$3:$B$30,A3,ריכוז!$C$3:$C$30)</f>
        <v>79677</v>
      </c>
    </row>
    <row r="4" customFormat="false" ht="14.25" hidden="false" customHeight="true" outlineLevel="0" collapsed="false">
      <c r="A4" s="10" t="n">
        <v>1</v>
      </c>
      <c r="B4" s="8" t="s">
        <v>3</v>
      </c>
      <c r="C4" s="9" t="n">
        <f aca="false">SUMIF(Pplay1!$F$3:$F$15,A4,Pplay1!$H$3:$H$15)+SUMIF(ריכוז!$B$3:$B$30,A4,ריכוז!$C$3:$C$30)</f>
        <v>239930.6</v>
      </c>
    </row>
    <row r="5" customFormat="false" ht="14.25" hidden="false" customHeight="true" outlineLevel="0" collapsed="false">
      <c r="A5" s="10" t="n">
        <v>7</v>
      </c>
      <c r="B5" s="8" t="s">
        <v>4</v>
      </c>
      <c r="C5" s="9" t="n">
        <f aca="false">SUMIF(Pplay1!$F$3:$F$15,A5,Pplay1!$H$3:$H$15)+SUMIF(ריכוז!$B$3:$B$30,A5,ריכוז!$C$3:$C$30)</f>
        <v>40246.57</v>
      </c>
    </row>
    <row r="6" customFormat="false" ht="14.25" hidden="false" customHeight="true" outlineLevel="0" collapsed="false">
      <c r="A6" s="10" t="n">
        <v>4</v>
      </c>
      <c r="B6" s="8" t="s">
        <v>5</v>
      </c>
      <c r="C6" s="9" t="n">
        <f aca="false">SUMIF(Pplay1!$F$3:$F$15,A6,Pplay1!$H$3:$H$15)+SUMIF(ריכוז!$B$3:$B$30,A6,ריכוז!$C$3:$C$30)</f>
        <v>79055.566</v>
      </c>
    </row>
    <row r="7" customFormat="false" ht="14.25" hidden="false" customHeight="true" outlineLevel="0" collapsed="false">
      <c r="A7" s="10" t="n">
        <v>3</v>
      </c>
      <c r="B7" s="8" t="s">
        <v>6</v>
      </c>
      <c r="C7" s="9" t="n">
        <f aca="false">SUMIF(Pplay1!$F$3:$F$15,A7,Pplay1!$H$3:$H$15)+SUMIF(ריכוז!$B$3:$B$30,A7,ריכוז!$C$3:$C$30)</f>
        <v>117536.9</v>
      </c>
    </row>
    <row r="8" customFormat="false" ht="14.25" hidden="false" customHeight="true" outlineLevel="0" collapsed="false">
      <c r="A8" s="10" t="n">
        <v>8</v>
      </c>
      <c r="B8" s="8" t="s">
        <v>7</v>
      </c>
      <c r="C8" s="9" t="n">
        <f aca="false">SUMIF(Pplay1!$F$3:$F$15,A8,Pplay1!$H$3:$H$15)+SUMIF(ריכוז!$B$3:$B$30,A8,ריכוז!$C$3:$C$30)</f>
        <v>32170.957</v>
      </c>
    </row>
    <row r="9" customFormat="false" ht="14.25" hidden="false" customHeight="true" outlineLevel="0" collapsed="false">
      <c r="A9" s="10" t="n">
        <v>6</v>
      </c>
      <c r="B9" s="8" t="s">
        <v>8</v>
      </c>
      <c r="C9" s="9" t="n">
        <f aca="false">SUMIF(Pplay1!$F$3:$F$15,A9,Pplay1!$H$3:$H$15)+SUMIF(ריכוז!$B$3:$B$30,A9,ריכוז!$C$3:$C$30)</f>
        <v>42042.47</v>
      </c>
    </row>
    <row r="10" customFormat="false" ht="14.25" hidden="false" customHeight="true" outlineLevel="0" collapsed="false">
      <c r="A10" s="11" t="n">
        <v>10</v>
      </c>
      <c r="B10" s="12" t="s">
        <v>9</v>
      </c>
      <c r="C10" s="9" t="n">
        <f aca="false">SUMIF(Pplay1!$F$3:$F$15,A10,Pplay1!$H$3:$H$15)+SUMIF(ריכוז!$B$3:$B$30,A10,ריכוז!$C$3:$C$30)</f>
        <v>12316.08</v>
      </c>
    </row>
    <row r="11" customFormat="false" ht="14.25" hidden="false" customHeight="true" outlineLevel="0" collapsed="false">
      <c r="A11" s="10" t="n">
        <v>11</v>
      </c>
      <c r="B11" s="8" t="s">
        <v>10</v>
      </c>
      <c r="C11" s="9" t="n">
        <f aca="false">SUMIF(Pplay1!$F$3:$F$15,A11,Pplay1!$H$3:$H$15)+SUMIF(ריכוז!$B$3:$B$30,A11,ריכוז!$C$3:$C$30)</f>
        <v>2342.42</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5323.62</v>
      </c>
    </row>
    <row r="15" customFormat="false" ht="14.25" hidden="false" customHeight="true" outlineLevel="0" collapsed="false">
      <c r="A15" s="10" t="n">
        <v>9</v>
      </c>
      <c r="B15" s="8" t="s">
        <v>14</v>
      </c>
      <c r="C15" s="9" t="n">
        <f aca="false">SUMIF(Pplay1!$F$3:$F$15,A15,Pplay1!$H$3:$H$15)+SUMIF(ריכוז!$B$3:$B$30,A15,ריכוז!$C$3:$C$30)</f>
        <v>719.9</v>
      </c>
    </row>
    <row r="16" customFormat="false" ht="15" hidden="false" customHeight="true" outlineLevel="0" collapsed="false">
      <c r="A16" s="13"/>
      <c r="B16" s="14" t="s">
        <v>15</v>
      </c>
      <c r="C16" s="15" t="n">
        <f aca="false">SUM(C3:C15)</f>
        <v>651362.083</v>
      </c>
    </row>
    <row r="17" customFormat="false" ht="14.25" hidden="false" customHeight="true" outlineLevel="0" collapsed="false">
      <c r="A17" s="10" t="n">
        <v>2</v>
      </c>
      <c r="B17" s="8" t="s">
        <v>16</v>
      </c>
      <c r="C17" s="9" t="n">
        <f aca="false">SUMIF(Pplay1!$F$3:$F$15,A17,Pplay1!$H$3:$H$15)+SUMIF(ריכוז!$B$3:$B$30,A17,ריכוז!$C$3:$C$30)</f>
        <v>154108.32</v>
      </c>
    </row>
    <row r="18" customFormat="false" ht="14.25" hidden="false" customHeight="true" outlineLevel="0" collapsed="false">
      <c r="A18" s="10" t="n">
        <v>12</v>
      </c>
      <c r="B18" s="8" t="s">
        <v>17</v>
      </c>
      <c r="C18" s="9" t="n">
        <f aca="false">SUMIF(Pplay1!$F$3:$F$15,A18,Pplay1!$H$3:$H$15)+SUMIF(ריכוז!$B$3:$B$30,A18,ריכוז!$C$3:$C$30)</f>
        <v>2088.1</v>
      </c>
    </row>
    <row r="19" customFormat="false" ht="15" hidden="false" customHeight="true" outlineLevel="0" collapsed="false">
      <c r="A19" s="11"/>
      <c r="B19" s="16" t="s">
        <v>18</v>
      </c>
      <c r="C19" s="15" t="n">
        <f aca="false">C18+C17+C16</f>
        <v>807558.503</v>
      </c>
    </row>
    <row r="20" customFormat="false" ht="14.25" hidden="false" customHeight="true" outlineLevel="0" collapsed="false">
      <c r="A20" s="11" t="n">
        <v>50</v>
      </c>
      <c r="B20" s="12" t="s">
        <v>19</v>
      </c>
      <c r="C20" s="9" t="n">
        <f aca="false">(Amazon_מקור!B3+Amazon_מקור!B4)*3</f>
        <v>100398.63</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0</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23809.14</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30489.94</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154697.71</v>
      </c>
    </row>
    <row r="41" customFormat="false" ht="15" hidden="false" customHeight="true" outlineLevel="0" collapsed="false">
      <c r="A41" s="11"/>
      <c r="B41" s="19" t="s">
        <v>40</v>
      </c>
      <c r="C41" s="20" t="n">
        <f aca="false">C40+C19</f>
        <v>962256.213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73536.4</v>
      </c>
      <c r="H3" s="27" t="n">
        <f aca="false">IF(G3="","",G3*0.91)</f>
        <v>66918.124</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244.1</v>
      </c>
      <c r="H4" s="27" t="n">
        <f aca="false">IF(G4="","",G4*0.91)</f>
        <v>222.131</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308281.3</v>
      </c>
      <c r="H5" s="27" t="n">
        <f aca="false">IF(G5="","",G5*0.91)</f>
        <v>280535.983</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4973.6</v>
      </c>
      <c r="H6" s="27" t="n">
        <f aca="false">IF(G6="","",G6*0.91)</f>
        <v>4525.976</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679.1</v>
      </c>
      <c r="H7" s="27" t="n">
        <f aca="false">IF(G7="","",G7*0.91)</f>
        <v>617.981</v>
      </c>
    </row>
    <row r="8" customFormat="false" ht="14.25" hidden="false" customHeight="true" outlineLevel="0" collapsed="false">
      <c r="A8" s="25" t="s">
        <v>53</v>
      </c>
      <c r="B8" s="23" t="n">
        <v>4</v>
      </c>
      <c r="C8" s="23"/>
      <c r="D8" s="23"/>
      <c r="E8" s="23"/>
      <c r="F8" s="26" t="n">
        <f aca="false">IF(B8&lt;&gt;"",B8,IF(C8&lt;&gt;"",C8,IF(D8&lt;&gt;"",D8,IF(E8&lt;&gt;"",E8,""))))</f>
        <v>4</v>
      </c>
      <c r="G8" s="27" t="n">
        <f aca="false">IFERROR(INDEX(PPLAY1_מקור!$B:$B,MATCH(A8,PPLAY1_מקור!$A:$A,0)),"")</f>
        <v>-284.7</v>
      </c>
      <c r="H8" s="27" t="n">
        <f aca="false">IF(G8="","",G8*0.91)</f>
        <v>-259.077</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847.2</v>
      </c>
      <c r="H9" s="27" t="n">
        <f aca="false">IF(G9="","",G9*0.91)</f>
        <v>770.952</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263660</v>
      </c>
      <c r="H10" s="27" t="n">
        <f aca="false">IF(G10="","",G10*0.91)</f>
        <v>239930.6</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39675.7</v>
      </c>
      <c r="H11" s="27" t="n">
        <f aca="false">IF(G11="","",G11*0.91)</f>
        <v>36104.887</v>
      </c>
    </row>
    <row r="12" customFormat="false" ht="14.25" hidden="false" customHeight="true" outlineLevel="0" collapsed="false">
      <c r="A12" s="25" t="s">
        <v>56</v>
      </c>
      <c r="B12" s="23" t="n">
        <v>4</v>
      </c>
      <c r="C12" s="23"/>
      <c r="D12" s="23"/>
      <c r="E12" s="23"/>
      <c r="F12" s="26" t="n">
        <f aca="false">IF(B12&lt;&gt;"",B12,IF(C12&lt;&gt;"",C12,IF(D12&lt;&gt;"",D12,IF(E12&lt;&gt;"",E12,""))))</f>
        <v>4</v>
      </c>
      <c r="G12" s="27" t="n">
        <f aca="false">IFERROR(INDEX(PPLAY1_מקור!$B:$B,MATCH(A12,PPLAY1_מקור!$A:$A,0)),"")</f>
        <v>209.7</v>
      </c>
      <c r="H12" s="27" t="n">
        <f aca="false">IF(G12="","",G12*0.91)</f>
        <v>190.827</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35352.7</v>
      </c>
      <c r="H13" s="27" t="n">
        <f aca="false">IF(G13="","",G13*0.91)</f>
        <v>32170.957</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-1269.5</v>
      </c>
      <c r="H15" s="27" t="n">
        <f aca="false">IF(G15="","",G15*0.91)</f>
        <v>-1155.245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42042.47</v>
      </c>
    </row>
    <row r="4" customFormat="false" ht="14.25" hidden="false" customHeight="true" outlineLevel="0" collapsed="false">
      <c r="A4" s="28" t="s">
        <v>63</v>
      </c>
      <c r="B4" s="1" t="n">
        <v>5</v>
      </c>
      <c r="C4" s="27" t="n">
        <f aca="false">IFERROR(INDEX(NetSuite_מקור!$D:$D,MATCH(A4,NetSuite_מקור!$A:$A,0)),"")</f>
        <v>79677</v>
      </c>
    </row>
    <row r="5" customFormat="false" ht="14.25" hidden="false" customHeight="true" outlineLevel="0" collapsed="false">
      <c r="A5" s="28" t="s">
        <v>64</v>
      </c>
      <c r="B5" s="1" t="n">
        <v>9</v>
      </c>
      <c r="C5" s="27" t="n">
        <f aca="false">IFERROR(INDEX(NetSuite_מקור!$D:$D,MATCH(A5,NetSuite_מקור!$A:$A,0)),"")</f>
        <v>719.9</v>
      </c>
    </row>
    <row r="6" customFormat="false" ht="14.25" hidden="false" customHeight="true" outlineLevel="0" collapsed="false">
      <c r="A6" s="28" t="s">
        <v>65</v>
      </c>
      <c r="B6" s="1" t="n">
        <v>11</v>
      </c>
      <c r="C6" s="27" t="n">
        <f aca="false">IFERROR(INDEX(NetSuite_מקור!$D:$D,MATCH(A6,NetSuite_מקור!$A:$A,0)),"")</f>
        <v>2342.42</v>
      </c>
    </row>
    <row r="7" customFormat="false" ht="14.25" hidden="false" customHeight="true" outlineLevel="0" collapsed="false">
      <c r="A7" s="28" t="s">
        <v>66</v>
      </c>
      <c r="B7" s="1" t="n">
        <v>10</v>
      </c>
      <c r="C7" s="27" t="n">
        <f aca="false">IFERROR(INDEX(NetSuite_מקור!$D:$D,MATCH(A7,NetSuite_מקור!$A:$A,0)),"")</f>
        <v>12316.08</v>
      </c>
    </row>
    <row r="8" customFormat="false" ht="14.25" hidden="false" customHeight="true" outlineLevel="0" collapsed="false">
      <c r="A8" s="28" t="s">
        <v>67</v>
      </c>
      <c r="B8" s="1" t="n">
        <v>4</v>
      </c>
      <c r="C8" s="27" t="n">
        <f aca="false">IFERROR(INDEX(NetSuite_מקור!$D:$D,MATCH(A8,NetSuite_מקור!$A:$A,0)),"")</f>
        <v>11365.58</v>
      </c>
    </row>
    <row r="9" customFormat="false" ht="14.25" hidden="false" customHeight="true" outlineLevel="0" collapsed="false">
      <c r="A9" s="28" t="s">
        <v>68</v>
      </c>
      <c r="B9" s="1" t="n">
        <v>13</v>
      </c>
      <c r="C9" s="27" t="n">
        <f aca="false">IFERROR(INDEX(NetSuite_מקור!$D:$D,MATCH(A9,NetSuite_מקור!$A:$A,0)),"")</f>
        <v>5323.62</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117536.9</v>
      </c>
    </row>
    <row r="12" customFormat="false" ht="14.25" hidden="false" customHeight="true" outlineLevel="0" collapsed="false">
      <c r="A12" s="28" t="s">
        <v>71</v>
      </c>
      <c r="B12" s="1" t="n">
        <v>2</v>
      </c>
      <c r="C12" s="27" t="n">
        <f aca="false">IFERROR(INDEX(NetSuite_מקור!$D:$D,MATCH(A12,NetSuite_מקור!$A:$A,0)),"")</f>
        <v>154108.32</v>
      </c>
    </row>
    <row r="13" customFormat="false" ht="14.25" hidden="false" customHeight="true" outlineLevel="0" collapsed="false">
      <c r="A13" s="28" t="s">
        <v>72</v>
      </c>
      <c r="B13" s="1" t="n">
        <v>12</v>
      </c>
      <c r="C13" s="27" t="n">
        <f aca="false">IFERROR(INDEX(NetSuite_מקור!$D:$D,MATCH(A13,NetSuite_מקור!$A:$A,0)),"")</f>
        <v>2088.1</v>
      </c>
    </row>
    <row r="14" customFormat="false" ht="14.25" hidden="false" customHeight="true" outlineLevel="0" collapsed="false">
      <c r="A14" s="28" t="s">
        <v>73</v>
      </c>
      <c r="B14" s="1" t="n">
        <v>23</v>
      </c>
      <c r="C14" s="27" t="str">
        <f aca="false">IFERROR(INDEX(NetSuite_מקור!$D:$D,MATCH(A14,NetSuite_מקור!$A:$A,0)),"")</f>
        <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30489.94</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n">
        <f aca="false">IFERROR(INDEX(NetSuite_מקור!$D:$D,MATCH(A22,NetSuite_מקור!$A:$A,0)),"")</f>
        <v>23809.14</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93</v>
      </c>
      <c r="B2" s="27"/>
      <c r="C2" s="27"/>
      <c r="D2" s="30" t="s">
        <v>94</v>
      </c>
    </row>
    <row r="3" customFormat="false" ht="14.25" hidden="false" customHeight="true" outlineLevel="0" collapsed="false">
      <c r="A3" s="26" t="s">
        <v>48</v>
      </c>
      <c r="B3" s="27" t="n">
        <v>73536.4</v>
      </c>
      <c r="C3" s="27" t="n">
        <f aca="false">B3*0.91</f>
        <v>66918.124</v>
      </c>
      <c r="D3" s="30"/>
    </row>
    <row r="4" customFormat="false" ht="14.25" hidden="false" customHeight="true" outlineLevel="0" collapsed="false">
      <c r="A4" s="26" t="s">
        <v>49</v>
      </c>
      <c r="B4" s="27" t="n">
        <v>244.1</v>
      </c>
      <c r="C4" s="27" t="n">
        <f aca="false">B4*0.91</f>
        <v>222.131</v>
      </c>
      <c r="D4" s="30"/>
    </row>
    <row r="5" customFormat="false" ht="14.25" hidden="false" customHeight="true" outlineLevel="0" collapsed="false">
      <c r="A5" s="26" t="s">
        <v>50</v>
      </c>
      <c r="B5" s="27" t="n">
        <v>308281.3</v>
      </c>
      <c r="C5" s="27" t="n">
        <f aca="false">B5*0.91</f>
        <v>280535.983</v>
      </c>
      <c r="D5" s="30"/>
    </row>
    <row r="6" customFormat="false" ht="14.25" hidden="false" customHeight="true" outlineLevel="0" collapsed="false">
      <c r="A6" s="26" t="s">
        <v>51</v>
      </c>
      <c r="B6" s="27" t="n">
        <v>4973.6</v>
      </c>
      <c r="C6" s="27" t="n">
        <f aca="false">B6*0.91</f>
        <v>4525.976</v>
      </c>
      <c r="D6" s="30"/>
    </row>
    <row r="7" customFormat="false" ht="14.25" hidden="false" customHeight="true" outlineLevel="0" collapsed="false">
      <c r="A7" s="26" t="s">
        <v>52</v>
      </c>
      <c r="B7" s="27" t="n">
        <v>679.1</v>
      </c>
      <c r="C7" s="27" t="n">
        <f aca="false">B7*0.91</f>
        <v>617.981</v>
      </c>
      <c r="D7" s="30"/>
    </row>
    <row r="8" customFormat="false" ht="14.25" hidden="false" customHeight="true" outlineLevel="0" collapsed="false">
      <c r="A8" s="26" t="s">
        <v>53</v>
      </c>
      <c r="B8" s="27" t="n">
        <v>-284.7</v>
      </c>
      <c r="C8" s="27" t="n">
        <f aca="false">B8*0.91</f>
        <v>-259.077</v>
      </c>
      <c r="D8" s="30"/>
    </row>
    <row r="9" customFormat="false" ht="14.25" hidden="false" customHeight="true" outlineLevel="0" collapsed="false">
      <c r="A9" s="26" t="s">
        <v>54</v>
      </c>
      <c r="B9" s="27" t="n">
        <v>847.2</v>
      </c>
      <c r="C9" s="27" t="n">
        <f aca="false">B9*0.91</f>
        <v>770.952</v>
      </c>
      <c r="D9" s="30"/>
    </row>
    <row r="10" customFormat="false" ht="14.25" hidden="false" customHeight="true" outlineLevel="0" collapsed="false">
      <c r="A10" s="26" t="s">
        <v>59</v>
      </c>
      <c r="B10" s="27" t="n">
        <v>-1269.5</v>
      </c>
      <c r="C10" s="27" t="n">
        <f aca="false">B10*0.91</f>
        <v>-1155.245</v>
      </c>
      <c r="D10" s="30"/>
    </row>
    <row r="11" customFormat="false" ht="14.25" hidden="false" customHeight="true" outlineLevel="0" collapsed="false">
      <c r="A11" s="26" t="s">
        <v>3</v>
      </c>
      <c r="B11" s="27" t="n">
        <v>263660</v>
      </c>
      <c r="C11" s="27" t="n">
        <f aca="false">B11*0.91</f>
        <v>239930.6</v>
      </c>
      <c r="D11" s="30"/>
    </row>
    <row r="12" customFormat="false" ht="14.25" hidden="false" customHeight="true" outlineLevel="0" collapsed="false">
      <c r="A12" s="26" t="s">
        <v>55</v>
      </c>
      <c r="B12" s="27" t="n">
        <v>39675.7</v>
      </c>
      <c r="C12" s="27" t="n">
        <f aca="false">B12*0.91</f>
        <v>36104.887</v>
      </c>
      <c r="D12" s="30"/>
    </row>
    <row r="13" customFormat="false" ht="14.25" hidden="false" customHeight="false" outlineLevel="0" collapsed="false">
      <c r="A13" s="26" t="s">
        <v>56</v>
      </c>
      <c r="B13" s="27" t="n">
        <v>209.7</v>
      </c>
      <c r="C13" s="27" t="n">
        <f aca="false">B13*0.91</f>
        <v>190.827</v>
      </c>
      <c r="D13" s="30"/>
    </row>
    <row r="14" customFormat="false" ht="14.25" hidden="false" customHeight="false" outlineLevel="0" collapsed="false">
      <c r="A14" s="26" t="s">
        <v>57</v>
      </c>
      <c r="B14" s="27" t="n">
        <v>35352.7</v>
      </c>
      <c r="C14" s="27" t="n">
        <f aca="false">B14*0.91</f>
        <v>32170.957</v>
      </c>
      <c r="D14"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95</v>
      </c>
    </row>
    <row r="2" customFormat="false" ht="15" hidden="false" customHeight="true" outlineLevel="0" collapsed="false">
      <c r="A2" s="24" t="s">
        <v>93</v>
      </c>
      <c r="D2" s="24" t="s">
        <v>94</v>
      </c>
    </row>
    <row r="3" customFormat="false" ht="15" hidden="false" customHeight="true" outlineLevel="0" collapsed="false">
      <c r="A3" s="26" t="s">
        <v>62</v>
      </c>
      <c r="D3" s="29" t="n">
        <v>42042.47</v>
      </c>
    </row>
    <row r="4" customFormat="false" ht="15" hidden="false" customHeight="true" outlineLevel="0" collapsed="false">
      <c r="A4" s="26" t="s">
        <v>63</v>
      </c>
      <c r="D4" s="29" t="n">
        <v>79677</v>
      </c>
    </row>
    <row r="5" customFormat="false" ht="15" hidden="false" customHeight="true" outlineLevel="0" collapsed="false">
      <c r="A5" s="26" t="s">
        <v>64</v>
      </c>
      <c r="D5" s="29" t="n">
        <v>719.9</v>
      </c>
    </row>
    <row r="6" customFormat="false" ht="15" hidden="false" customHeight="true" outlineLevel="0" collapsed="false">
      <c r="A6" s="26" t="s">
        <v>65</v>
      </c>
      <c r="D6" s="29" t="n">
        <v>2342.42</v>
      </c>
    </row>
    <row r="7" customFormat="false" ht="15" hidden="false" customHeight="true" outlineLevel="0" collapsed="false">
      <c r="A7" s="26" t="s">
        <v>66</v>
      </c>
      <c r="D7" s="29" t="n">
        <v>12316.08</v>
      </c>
    </row>
    <row r="8" customFormat="false" ht="15" hidden="false" customHeight="true" outlineLevel="0" collapsed="false">
      <c r="A8" s="26" t="s">
        <v>67</v>
      </c>
      <c r="D8" s="29" t="n">
        <v>11365.58</v>
      </c>
    </row>
    <row r="9" customFormat="false" ht="15" hidden="false" customHeight="true" outlineLevel="0" collapsed="false">
      <c r="A9" s="26" t="s">
        <v>68</v>
      </c>
      <c r="D9" s="29" t="n">
        <v>5323.62</v>
      </c>
    </row>
    <row r="10" customFormat="false" ht="14.25" hidden="false" customHeight="true" outlineLevel="0" collapsed="false">
      <c r="A10" s="26" t="s">
        <v>70</v>
      </c>
      <c r="D10" s="29" t="n">
        <v>117536.9</v>
      </c>
    </row>
    <row r="11" customFormat="false" ht="14.25" hidden="false" customHeight="true" outlineLevel="0" collapsed="false">
      <c r="A11" s="26" t="s">
        <v>71</v>
      </c>
      <c r="D11" s="29" t="n">
        <v>154108.32</v>
      </c>
    </row>
    <row r="12" customFormat="false" ht="14.25" hidden="false" customHeight="true" outlineLevel="0" collapsed="false">
      <c r="A12" s="26" t="s">
        <v>72</v>
      </c>
      <c r="B12" s="31"/>
      <c r="C12" s="31"/>
      <c r="D12" s="29" t="n">
        <v>2088.1</v>
      </c>
      <c r="E12" s="32"/>
    </row>
    <row r="13" customFormat="false" ht="14.25" hidden="false" customHeight="true" outlineLevel="0" collapsed="false">
      <c r="A13" s="33" t="s">
        <v>75</v>
      </c>
      <c r="B13" s="31"/>
      <c r="C13" s="31"/>
      <c r="D13" s="34" t="n">
        <v>30489.94</v>
      </c>
      <c r="E13" s="32"/>
    </row>
    <row r="14" customFormat="false" ht="14.25" hidden="false" customHeight="true" outlineLevel="0" collapsed="false">
      <c r="A14" s="26" t="s">
        <v>81</v>
      </c>
      <c r="D14" s="27" t="n">
        <v>23809.14</v>
      </c>
    </row>
    <row r="15" customFormat="false" ht="14.25" hidden="false" customHeight="true" outlineLevel="0" collapsed="false">
      <c r="A15" s="26"/>
      <c r="D15" s="27"/>
    </row>
    <row r="16" customFormat="false" ht="14.25" hidden="false" customHeight="true" outlineLevel="0" collapsed="false">
      <c r="A16" s="26"/>
      <c r="D16" s="27"/>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94</v>
      </c>
      <c r="B3" s="27" t="n">
        <v>36531.95</v>
      </c>
      <c r="C3" s="30" t="s">
        <v>99</v>
      </c>
    </row>
    <row r="4" customFormat="false" ht="15" hidden="false" customHeight="true" outlineLevel="0" collapsed="false">
      <c r="A4" s="26" t="s">
        <v>100</v>
      </c>
      <c r="B4" s="27" t="n">
        <v>-3065.74</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2026-10-16T10:34:02Z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