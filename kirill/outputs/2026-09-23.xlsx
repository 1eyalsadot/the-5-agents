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<sst xmlns="http://schemas.openxmlformats.org/spreadsheetml/2006/main" count="131" uniqueCount="102">
  <si>
    <t xml:space="preserve">דוח מכירות ספטמבר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</si>
  <si>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</si>
  <si>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</si>
  <si>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</si>
  <si>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</si>
  <si>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</si>
  <si>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</si>
  <si>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</si>
  <si>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</si>
  <si>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</si>
  <si>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</si>
  <si>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</si>
  <si>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</si>
  <si>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</si>
  <si>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</si>
  <si>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</si>
  <si>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</si>
  <si>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</si>
  <si>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</si>
  <si>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</si>
  <si>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</si>
  <si>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</si>
  <si>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</si>
  <si>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</si>
  <si>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</si>
  <si>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</si>
  <si>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</si>
  <si>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</si>
  <si>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</si>
  <si>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</si>
  <si>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</si>
  <si>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</si>
  <si>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</si>
  <si>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</si>
  <si>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</si>
  <si>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</si>
  <si>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</si>
  <si>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</si>
  <si>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</si>
  <si>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</si>
  <si>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</si>
  <si>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</si>
  <si>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</si>
  <si>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</si>
  <si>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</si>
  <si>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</si>
  <si>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</si>
  <si>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</si>
  <si>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</si>
  <si>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</si>
  <si>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</si>
  <si>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</si>
  <si>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</si>
  <si>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</si>
  <si>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</si>
  <si>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</si>
  <si>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</si>
  <si>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</si>
  <si>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</si>
  <si>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</si>
  <si>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</si>
  <si>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</si>
  <si>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</si>
  <si>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</si>
  <si>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</si>
  <si>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</si>
  <si>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</si>
  <si>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</si>
  <si>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</si>
  <si>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</si>
  <si>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</si>
  <si>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</si>
  <si>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</si>
  <si>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</si>
  <si>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</si>
  <si>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</si>
  <si>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</si>
  <si>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</si>
  <si>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</si>
  <si>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</si>
  <si>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</si>
  <si>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</si>
  <si>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</si>
  <si>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</si>
  <si>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</si>
  <si>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</si>
  <si>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</si>
  <si>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</si>
  <si>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</si>
  <si>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</si>
  <si>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PPlay1.xlsx (cee37943), "PPlay1 of uriel (Reporter)", נוצר 24/09/2026 09:08:05, תקופה 2026/Sep (המשך MTD ספטמבר). קובץ נמסר 24/09/2026 בבוקר עבור דוח 23/09/2026 (נתוני MTD סגורים עד 23/09), לפי הנחיית המשתמש. נשלפו 10 שורות קטגוריה שיש להן נתונים עד כה החודש, מתוך 13 הקטגוריות במקרא גיליון Pplay1. 3 קטגוריות נותרות ללא נתונים עדיין החודש (גוד פארם מרכז, 0צרכנים פרטיים, 0שונות; תקין ל-MTD, לא נתון חסר). לעומת 22/09/2026 (הדוח היומי הקודם): רוב הקטגוריות המשיכו לצמוח באופן טבעי (0בתי מרקחת ₪135,264.2→₪138,960.6, 0פארמים ₪356,855→₪379,060, אילת BE ₪3,085.3→₪3,608, הפרכל הפרפארם ₪299.5→₪362.9, סופרפארם ₪313,456.8→₪325,992.5, שופרסל BE ₪39,939.3→₪49,022.6, 0קופות חולים ₪43,758.1→₪47,989.3); 0מפיצי משנה, גוד פארם וזיכויים BE נותרו ללא שינוי (₪310.4, ₪871.9, ₪-797.7 בהתאמה — אין תנועה חדשה בתקופה). שורת "Customers" בדוח המקור (₪566,320.3) היא שורת סה"כ-אב ואינה שווה לסכום שורות הקטגוריה (תקין וצפוי, כרגיל) — לא יובאה. מכר נטו = עמודה B × 0.91 (מקדם קבוע, מאושר ב-kirill.md; חל גם על ערך שלילי). הערת שקיפות טכנית: הקובץ הגולמי (xlsx תקני) נכשל בטעינה ישירה ע"י openpyxl עקב rgb="auto" לא תקין ב-xl/styles.xml, וקידוד windows-1255 לא תקין ב-xl/sharedStrings.xml, שניהם מוצהרים בקידוד windows-1255 — תוקן ע"י פענוח windows-1255 בשני הקבצים, החלפת rgb="auto"→rgb="00000000", ושינוי הצהרת הקידוד ל-UTF-8 בכל קובצי ה-XML הרלוונטיים, ללא LibreOffice.</t>
  </si>
  <si>
    <t xml:space="preserve">2026/Sep (סכום גולמי, MTD)</t>
  </si>
  <si>
    <t xml:space="preserve">הערה</t>
  </si>
  <si>
    <t xml:space="preserve">Source: CustomSalesbyCustomerSummary843.xlsx (885e883a), Meditex Group IL, Custom Sales by Customer Summary, 01 September 2026 - 30 September 2026, נמסר 24/09/2026 עבור דוח 23/09/2026 (נתוני MTD, לפי הנחיית המשתמש). קובץ xlsx תקני (2007+) — נטען ישירות ע"י openpyxl ללא צורך בתיקון קידוד (בשונה מ-PPLAY1 באותו יום). נשלפו 13 שורות הסיכום (קטגוריה) שיש להן מכירות עד כה החודש, מתוך 28 הקטגוריות במקרא "ריכוז" (15 הקטגוריות הנותרות אין להן מכירות עדיין החודש — תקין ל-MTD, לא נתון חסר). לעומת 22/09/2026 (הדוח היומי הקודם): 102 Orthopedic institutes ₪39,421.73→₪45,788.74, 107 Pharmacies ₪8,833.05→₪10,183.77, 112 Kupat Holim Clalit ₪138,917.9→₪175,443.7, 114 IL online ₪265,577.79→₪275,743.41 — כולם גידול טבעי. 111 Superpharm Life, 103 Physiotherapy institutes, 109 Private Shops, 106 Hospitals, 115-SuperPharm Online, 205 Germany, 209 Romania ו-204 Sanaflex Greece נותרו ללא שינוי (אין חשבונית חדשה לאותו לקוח בתקופה שבין הדוחות — נבדק ואומת מול שורות הפירוט, לא שגיאת חישוב). חריגה לתשומת לב: 101 Factory customers ירדה מ-₪11,349.18 ל-₪5,538.29 (ירידה של כ-51%) — נבדק מול שורות הפירוט: הקטגוריה כוללת זיכוי (CM44692, ₪-6,247.2) שקיזז חשבונית קודמת מאותו לקוח (כבירן 1991 בע"מ) בתקופת ה-MTD, בנוסף לזיכוי קטן נוסף אצל ש.ל.י. סיירת ציוד (CM44691, ₪-1,397.79). ירידה ב-MTD כתוצאה מזיכויים היא תרחיש אפשרי ותקין (לא שגיאת חישוב), אך מדווחת כחריגה לפי הנחיית המשתמש. לא יובאו שורות פירוט חשבוניות/לקוחות-בת מהדוח הגולמי (1,696 שורות בקובץ המקור), לפי מוסכמת עבודה. סה"כ שורת "Total" בדוח הגולמי המלא: ₪816,503.74 — תואם בדיוק לסכום 13 שורות הקטגוריה שנשלפו (אומת ידנית, הפרש &lt;0.0000001₪).</t>
  </si>
  <si>
    <t xml:space="preserve">Customer</t>
  </si>
  <si>
    <t xml:space="preserve">Sales</t>
  </si>
  <si>
    <t xml:space="preserve">Source: צילום מסך/נתונים שסופקו על ידי המשתמש (ראובן), לוח בקרה Sellerboard/Amazon Seller "Month to date, 1-23 September 2026", נמסר 24/09/2026 עבור דוח 23/09/2026, מאומת בטקסט (לא תמלול תמונה). נתונים נוספים שסופקו (לא בשימוש בנוסחה): Sales -1.9% מול תקופה קודמת, Orders/Units 1,723/1,767, Refunds 165, Est. payout $18,533.08, Gross profit -14.3% $8,155.91, Net profit -14.3% $8,155.91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</si>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</sst>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46288</v>
      </c>
      <c r="C2" s="6" t="n">
        <v>9.2026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SUMIF('Pplay1'!$F$3:$F$15,A3,'Pplay1'!$H$3:$H$15)+SUMIF('ריכוז'!$B$3:$B$30,A3,'ריכוז'!$C$3:$C$30)</f>
        <v>193941.5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SUMIF('Pplay1'!$F$3:$F$15,A4,'Pplay1'!$H$3:$H$15)+SUMIF('ריכוז'!$B$3:$B$30,A4,'ריכוז'!$C$3:$C$30)</f>
        <v>296653.175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SUMIF('Pplay1'!$F$3:$F$15,A5,'Pplay1'!$H$3:$H$15)+SUMIF('ריכוז'!$B$3:$B$30,A5,'ריכוז'!$C$3:$C$30)</f>
        <v>47498.178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SUMIF('Pplay1'!$F$3:$F$15,A6,'Pplay1'!$H$3:$H$15)+SUMIF('ריכוז'!$B$3:$B$30,A6,'ריכוז'!$C$3:$C$30)</f>
        <v>137713.809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SUMIF('Pplay1'!$F$3:$F$15,A7,'Pplay1'!$H$3:$H$15)+SUMIF('ריכוז'!$B$3:$B$30,A7,'ריכוז'!$C$3:$C$30)</f>
        <v>175443.7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SUMIF('Pplay1'!$F$3:$F$15,A8,'Pplay1'!$H$3:$H$15)+SUMIF('ריכוז'!$B$3:$B$30,A8,'ריכוז'!$C$3:$C$30)</f>
        <v>43670.263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SUMIF('Pplay1'!$F$3:$F$15,A9,'Pplay1'!$H$3:$H$15)+SUMIF('ריכוז'!$B$3:$B$30,A9,'ריכוז'!$C$3:$C$30)</f>
        <v>45788.74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SUMIF('Pplay1'!$F$3:$F$15,A10,'Pplay1'!$H$3:$H$15)+SUMIF('ריכוז'!$B$3:$B$30,A10,'ריכוז'!$C$3:$C$30)</f>
        <v>5538.29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SUMIF('Pplay1'!$F$3:$F$15,A11,'Pplay1'!$H$3:$H$15)+SUMIF('ריכוז'!$B$3:$B$30,A11,'ריכוז'!$C$3:$C$30)</f>
        <v>4935.24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SUMIF('Pplay1'!$F$3:$F$15,A12,'Pplay1'!$H$3:$H$15)+SUMIF('ריכוז'!$B$3:$B$30,A12,'ריכוז'!$C$3:$C$30)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SUMIF('Pplay1'!$F$3:$F$15,A13,'Pplay1'!$H$3:$H$15)+SUMIF('ריכוז'!$B$3:$B$30,A13,'ריכוז'!$C$3:$C$30)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SUMIF('Pplay1'!$F$3:$F$15,A14,'Pplay1'!$H$3:$H$15)+SUMIF('ריכוז'!$B$3:$B$30,A14,'ריכוז'!$C$3:$C$30)</f>
        <v>3512.91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SUMIF('Pplay1'!$F$3:$F$15,A15,'Pplay1'!$H$3:$H$15)+SUMIF('ריכוז'!$B$3:$B$30,A15,'ריכוז'!$C$3:$C$30)</f>
        <v>9272.69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963968.495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SUMIF('Pplay1'!$F$3:$F$15,A17,'Pplay1'!$H$3:$H$15)+SUMIF('ריכוז'!$B$3:$B$30,A17,'ריכוז'!$C$3:$C$30)</f>
        <v>275743.41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SUMIF('Pplay1'!$F$3:$F$15,A18,'Pplay1'!$H$3:$H$15)+SUMIF('ריכוז'!$B$3:$B$30,A18,'ריכוז'!$C$3:$C$30)</f>
        <v>329.49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1240041.395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('Amazon_מקור'!B3+'Amazon_מקור'!B4)*3</f>
        <v>150494.13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SUMIF('Pplay1'!$F$3:$F$15,A21,'Pplay1'!$H$3:$H$15)+SUMIF('ריכוז'!$B$3:$B$30,A21,'ריכוז'!$C$3:$C$30)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SUMIF('Pplay1'!$F$3:$F$15,A22,'Pplay1'!$H$3:$H$15)+SUMIF('ריכוז'!$B$3:$B$30,A22,'ריכוז'!$C$3:$C$30)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SUMIF('Pplay1'!$F$3:$F$15,A23,'Pplay1'!$H$3:$H$15)+SUMIF('ריכוז'!$B$3:$B$30,A23,'ריכוז'!$C$3:$C$30)</f>
        <v>51223.23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SUMIF('Pplay1'!$F$3:$F$15,A24,'Pplay1'!$H$3:$H$15)+SUMIF('ריכוז'!$B$3:$B$30,A24,'ריכוז'!$C$3:$C$30)</f>
        <v>15160.58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SUMIF('Pplay1'!$F$3:$F$15,A25,'Pplay1'!$H$3:$H$15)+SUMIF('ריכוז'!$B$3:$B$30,A25,'ריכוז'!$C$3:$C$30)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SUMIF('Pplay1'!$F$3:$F$15,A26,'Pplay1'!$H$3:$H$15)+SUMIF('ריכוז'!$B$3:$B$30,A26,'ריכוז'!$C$3:$C$30)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SUMIF('Pplay1'!$F$3:$F$15,A27,'Pplay1'!$H$3:$H$15)+SUMIF('ריכוז'!$B$3:$B$30,A27,'ריכוז'!$C$3:$C$30)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SUMIF('Pplay1'!$F$3:$F$15,A28,'Pplay1'!$H$3:$H$15)+SUMIF('ריכוז'!$B$3:$B$30,A28,'ריכוז'!$C$3:$C$30)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SUMIF('Pplay1'!$F$3:$F$15,A29,'Pplay1'!$H$3:$H$15)+SUMIF('ריכוז'!$B$3:$B$30,A29,'ריכוז'!$C$3:$C$30)</f>
        <v>25430.19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SUMIF('Pplay1'!$F$3:$F$15,A30,'Pplay1'!$H$3:$H$15)+SUMIF('ריכוז'!$B$3:$B$30,A30,'ריכוז'!$C$3:$C$30)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SUMIF('Pplay1'!$F$3:$F$15,A31,'Pplay1'!$H$3:$H$15)+SUMIF('ריכוז'!$B$3:$B$30,A31,'ריכוז'!$C$3:$C$30)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SUMIF('Pplay1'!$F$3:$F$15,A32,'Pplay1'!$H$3:$H$15)+SUMIF('ריכוז'!$B$3:$B$30,A32,'ריכוז'!$C$3:$C$30)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SUMIF('Pplay1'!$F$3:$F$15,A33,'Pplay1'!$H$3:$H$15)+SUMIF('ריכוז'!$B$3:$B$30,A33,'ריכוז'!$C$3:$C$30)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SUMIF('Pplay1'!$F$3:$F$15,A34,'Pplay1'!$H$3:$H$15)+SUMIF('ריכוז'!$B$3:$B$30,A34,'ריכוז'!$C$3:$C$30)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SUMIF('Pplay1'!$F$3:$F$15,A35,'Pplay1'!$H$3:$H$15)+SUMIF('ריכוז'!$B$3:$B$30,A35,'ריכוז'!$C$3:$C$30)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SUMIF('Pplay1'!$F$3:$F$15,A36,'Pplay1'!$H$3:$H$15)+SUMIF('ריכוז'!$B$3:$B$30,A36,'ריכוז'!$C$3:$C$30)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SUMIF('Pplay1'!$F$3:$F$15,A37,'Pplay1'!$H$3:$H$15)+SUMIF('ריכוז'!$B$3:$B$30,A37,'ריכוז'!$C$3:$C$30)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SUMIF('Pplay1'!$F$3:$F$15,A38,'Pplay1'!$H$3:$H$15)+SUMIF('ריכוז'!$B$3:$B$30,A38,'ריכוז'!$C$3:$C$30)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SUMIF('Pplay1'!$F$3:$F$15,A39,'Pplay1'!$H$3:$H$15)+SUMIF('ריכוז'!$B$3:$B$30,A39,'ריכוז'!$C$3:$C$30)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242308.13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1482349.525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IFERROR(INDEX('PPLAY1_מקור'!$B:$B,MATCH(A3,'PPLAY1_מקור'!$A:$A,0)),"")</f>
        <v>138960.6</v>
      </c>
      <c r="H3" s="27" t="n">
        <f aca="false">IF(G3="","",G3*0.91)</f>
        <v>126454.146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IFERROR(INDEX('PPLAY1_מקור'!$B:$B,MATCH(A4,'PPLAY1_מקור'!$A:$A,0)),"")</f>
        <v>310.4</v>
      </c>
      <c r="H4" s="27" t="n">
        <f aca="false">IF(G4="","",G4*0.91)</f>
        <v>282.464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IFERROR(INDEX('PPLAY1_מקור'!$B:$B,MATCH(A5,'PPLAY1_מקור'!$A:$A,0)),"")</f>
        <v>379060</v>
      </c>
      <c r="H5" s="27" t="n">
        <f aca="false">IF(G5="","",G5*0.91)</f>
        <v>344944.6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IFERROR(INDEX('PPLAY1_מקור'!$B:$B,MATCH(A6,'PPLAY1_מקור'!$A:$A,0)),"")</f>
        <v>3608</v>
      </c>
      <c r="H6" s="27" t="n">
        <f aca="false">IF(G6="","",G6*0.91)</f>
        <v>3283.28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IFERROR(INDEX('PPLAY1_מקור'!$B:$B,MATCH(A7,'PPLAY1_מקור'!$A:$A,0)),"")</f>
        <v>871.9</v>
      </c>
      <c r="H7" s="27" t="n">
        <f aca="false">IF(G7="","",G7*0.91)</f>
        <v>793.429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IFERROR(INDEX('PPLAY1_מקור'!$B:$B,MATCH(A8,'PPLAY1_מקור'!$A:$A,0)),"")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IFERROR(INDEX('PPLAY1_מקור'!$B:$B,MATCH(A9,'PPLAY1_מקור'!$A:$A,0)),"")</f>
        <v>362.9</v>
      </c>
      <c r="H9" s="27" t="n">
        <f aca="false">IF(G9="","",G9*0.91)</f>
        <v>330.239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IFERROR(INDEX('PPLAY1_מקור'!$B:$B,MATCH(A10,'PPLAY1_מקור'!$A:$A,0)),"")</f>
        <v>325992.5</v>
      </c>
      <c r="H10" s="27" t="n">
        <f aca="false">IF(G10="","",G10*0.91)</f>
        <v>296653.175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IFERROR(INDEX('PPLAY1_מקור'!$B:$B,MATCH(A11,'PPLAY1_מקור'!$A:$A,0)),"")</f>
        <v>49022.6</v>
      </c>
      <c r="H11" s="27" t="n">
        <f aca="false">IF(G11="","",G11*0.91)</f>
        <v>44610.566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IFERROR(INDEX('PPLAY1_מקור'!$B:$B,MATCH(A12,'PPLAY1_מקור'!$A:$A,0)),"")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IFERROR(INDEX('PPLAY1_מקור'!$B:$B,MATCH(A13,'PPLAY1_מקור'!$A:$A,0)),"")</f>
        <v>47989.3</v>
      </c>
      <c r="H13" s="27" t="n">
        <f aca="false">IF(G13="","",G13*0.91)</f>
        <v>43670.263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IFERROR(INDEX('PPLAY1_מקור'!$B:$B,MATCH(A14,'PPLAY1_מקור'!$A:$A,0)),"")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IFERROR(INDEX('PPLAY1_מקור'!$B:$B,MATCH(A15,'PPLAY1_מקור'!$A:$A,0)),"")</f>
        <v>-797.7</v>
      </c>
      <c r="H15" s="27" t="n">
        <f aca="false">IF(G15="","",G15*0.91)</f>
        <v>-725.907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60</v>
      </c>
      <c r="C1" s="24" t="s">
        <v>61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62</v>
      </c>
      <c r="B3" s="1" t="n">
        <v>6</v>
      </c>
      <c r="C3" s="27" t="n">
        <f aca="false">IFERROR(INDEX('NetSuite_מקור'!$D:$D,MATCH(A3,'NetSuite_מקור'!$A:$A,0)),"")</f>
        <v>45788.74</v>
      </c>
    </row>
    <row r="4" customFormat="false" ht="14.25" hidden="false" customHeight="true" outlineLevel="0" collapsed="false">
      <c r="A4" s="28" t="s">
        <v>63</v>
      </c>
      <c r="B4" s="1" t="n">
        <v>5</v>
      </c>
      <c r="C4" s="27" t="n">
        <f aca="false">IFERROR(INDEX('NetSuite_מקור'!$D:$D,MATCH(A4,'NetSuite_מקור'!$A:$A,0)),"")</f>
        <v>193941.5</v>
      </c>
    </row>
    <row r="5" customFormat="false" ht="14.25" hidden="false" customHeight="true" outlineLevel="0" collapsed="false">
      <c r="A5" s="28" t="s">
        <v>64</v>
      </c>
      <c r="B5" s="1" t="n">
        <v>9</v>
      </c>
      <c r="C5" s="27" t="n">
        <f aca="false">IFERROR(INDEX('NetSuite_מקור'!$D:$D,MATCH(A5,'NetSuite_מקור'!$A:$A,0)),"")</f>
        <v>9272.69</v>
      </c>
    </row>
    <row r="6" customFormat="false" ht="14.25" hidden="false" customHeight="true" outlineLevel="0" collapsed="false">
      <c r="A6" s="28" t="s">
        <v>65</v>
      </c>
      <c r="B6" s="1" t="n">
        <v>11</v>
      </c>
      <c r="C6" s="27" t="n">
        <f aca="false">IFERROR(INDEX('NetSuite_מקור'!$D:$D,MATCH(A6,'NetSuite_מקור'!$A:$A,0)),"")</f>
        <v>4935.24</v>
      </c>
    </row>
    <row r="7" customFormat="false" ht="14.25" hidden="false" customHeight="true" outlineLevel="0" collapsed="false">
      <c r="A7" s="28" t="s">
        <v>66</v>
      </c>
      <c r="B7" s="1" t="n">
        <v>10</v>
      </c>
      <c r="C7" s="27" t="n">
        <f aca="false">IFERROR(INDEX('NetSuite_מקור'!$D:$D,MATCH(A7,'NetSuite_מקור'!$A:$A,0)),"")</f>
        <v>5538.29</v>
      </c>
    </row>
    <row r="8" customFormat="false" ht="14.25" hidden="false" customHeight="true" outlineLevel="0" collapsed="false">
      <c r="A8" s="28" t="s">
        <v>67</v>
      </c>
      <c r="B8" s="1" t="n">
        <v>4</v>
      </c>
      <c r="C8" s="27" t="n">
        <f aca="false">IFERROR(INDEX('NetSuite_מקור'!$D:$D,MATCH(A8,'NetSuite_מקור'!$A:$A,0)),"")</f>
        <v>10183.77</v>
      </c>
    </row>
    <row r="9" customFormat="false" ht="14.25" hidden="false" customHeight="true" outlineLevel="0" collapsed="false">
      <c r="A9" s="28" t="s">
        <v>68</v>
      </c>
      <c r="B9" s="1" t="n">
        <v>13</v>
      </c>
      <c r="C9" s="27" t="n">
        <f aca="false">IFERROR(INDEX('NetSuite_מקור'!$D:$D,MATCH(A9,'NetSuite_מקור'!$A:$A,0)),"")</f>
        <v>3512.91</v>
      </c>
    </row>
    <row r="10" customFormat="false" ht="14.25" hidden="false" customHeight="true" outlineLevel="0" collapsed="false">
      <c r="A10" s="28" t="s">
        <v>69</v>
      </c>
      <c r="B10" s="1" t="n">
        <v>8</v>
      </c>
      <c r="C10" s="27" t="str">
        <f aca="false">IFERROR(INDEX('NetSuite_מקור'!$D:$D,MATCH(A10,'NetSuite_מקור'!$A:$A,0)),"")</f>
        <v/>
      </c>
    </row>
    <row r="11" customFormat="false" ht="14.25" hidden="false" customHeight="true" outlineLevel="0" collapsed="false">
      <c r="A11" s="28" t="s">
        <v>70</v>
      </c>
      <c r="B11" s="1" t="n">
        <v>3</v>
      </c>
      <c r="C11" s="27" t="n">
        <f aca="false">IFERROR(INDEX('NetSuite_מקור'!$D:$D,MATCH(A11,'NetSuite_מקור'!$A:$A,0)),"")</f>
        <v>175443.7</v>
      </c>
    </row>
    <row r="12" customFormat="false" ht="14.25" hidden="false" customHeight="true" outlineLevel="0" collapsed="false">
      <c r="A12" s="28" t="s">
        <v>71</v>
      </c>
      <c r="B12" s="1" t="n">
        <v>2</v>
      </c>
      <c r="C12" s="27" t="n">
        <f aca="false">IFERROR(INDEX('NetSuite_מקור'!$D:$D,MATCH(A12,'NetSuite_מקור'!$A:$A,0)),"")</f>
        <v>275743.41</v>
      </c>
    </row>
    <row r="13" customFormat="false" ht="14.25" hidden="false" customHeight="true" outlineLevel="0" collapsed="false">
      <c r="A13" s="28" t="s">
        <v>72</v>
      </c>
      <c r="B13" s="1" t="n">
        <v>12</v>
      </c>
      <c r="C13" s="27" t="n">
        <f aca="false">IFERROR(INDEX('NetSuite_מקור'!$D:$D,MATCH(A13,'NetSuite_מקור'!$A:$A,0)),"")</f>
        <v>329.49</v>
      </c>
    </row>
    <row r="14" customFormat="false" ht="14.25" hidden="false" customHeight="true" outlineLevel="0" collapsed="false">
      <c r="A14" s="28" t="s">
        <v>73</v>
      </c>
      <c r="B14" s="1" t="n">
        <v>23</v>
      </c>
      <c r="C14" s="27" t="n">
        <f aca="false">IFERROR(INDEX('NetSuite_מקור'!$D:$D,MATCH(A14,'NetSuite_מקור'!$A:$A,0)),"")</f>
        <v>15160.58</v>
      </c>
    </row>
    <row r="15" customFormat="false" ht="14.25" hidden="false" customHeight="true" outlineLevel="0" collapsed="false">
      <c r="A15" s="28" t="s">
        <v>74</v>
      </c>
      <c r="B15" s="1" t="n">
        <v>25</v>
      </c>
      <c r="C15" s="27" t="str">
        <f aca="false">IFERROR(INDEX('NetSuite_מקור'!$D:$D,MATCH(A15,'NetSuite_מקור'!$A:$A,0)),"")</f>
        <v/>
      </c>
    </row>
    <row r="16" customFormat="false" ht="14.25" hidden="false" customHeight="true" outlineLevel="0" collapsed="false">
      <c r="A16" s="28" t="s">
        <v>75</v>
      </c>
      <c r="B16" s="1" t="n">
        <v>28</v>
      </c>
      <c r="C16" s="27" t="n">
        <f aca="false">IFERROR(INDEX('NetSuite_מקור'!$D:$D,MATCH(A16,'NetSuite_מקור'!$A:$A,0)),"")</f>
        <v>25430.19</v>
      </c>
    </row>
    <row r="17" customFormat="false" ht="14.25" hidden="false" customHeight="true" outlineLevel="0" collapsed="false">
      <c r="A17" s="28" t="s">
        <v>76</v>
      </c>
      <c r="B17" s="1" t="n">
        <v>20</v>
      </c>
      <c r="C17" s="29" t="str">
        <f aca="false">IFERROR(INDEX('NetSuite_מקור'!$D:$D,MATCH(A17,'NetSuite_מקור'!$A:$A,0)),"")</f>
        <v/>
      </c>
    </row>
    <row r="18" customFormat="false" ht="14.25" hidden="false" customHeight="true" outlineLevel="0" collapsed="false">
      <c r="A18" s="28" t="s">
        <v>77</v>
      </c>
      <c r="B18" s="1" t="n">
        <v>33</v>
      </c>
      <c r="C18" s="29" t="str">
        <f aca="false">IFERROR(INDEX('NetSuite_מקור'!$D:$D,MATCH(A18,'NetSuite_מקור'!$A:$A,0)),"")</f>
        <v/>
      </c>
    </row>
    <row r="19" customFormat="false" ht="14.25" hidden="false" customHeight="true" outlineLevel="0" collapsed="false">
      <c r="A19" s="28" t="s">
        <v>78</v>
      </c>
      <c r="B19" s="1" t="n">
        <v>21</v>
      </c>
      <c r="C19" s="29" t="str">
        <f aca="false">IFERROR(INDEX('NetSuite_מקור'!$D:$D,MATCH(A19,'NetSuite_מקור'!$A:$A,0)),"")</f>
        <v/>
      </c>
    </row>
    <row r="20" customFormat="false" ht="14.25" hidden="false" customHeight="true" outlineLevel="0" collapsed="false">
      <c r="A20" s="28" t="s">
        <v>79</v>
      </c>
      <c r="B20" s="1" t="n">
        <v>22</v>
      </c>
      <c r="C20" s="29" t="n">
        <f aca="false">IFERROR(INDEX('NetSuite_מקור'!$D:$D,MATCH(A20,'NetSuite_מקור'!$A:$A,0)),"")</f>
        <v>51223.23</v>
      </c>
    </row>
    <row r="21" customFormat="false" ht="14.25" hidden="false" customHeight="true" outlineLevel="0" collapsed="false">
      <c r="A21" s="28" t="s">
        <v>80</v>
      </c>
      <c r="B21" s="1" t="n">
        <v>24</v>
      </c>
      <c r="C21" s="29" t="str">
        <f aca="false">IFERROR(INDEX('NetSuite_מקור'!$D:$D,MATCH(A21,'NetSuite_מקור'!$A:$A,0)),"")</f>
        <v/>
      </c>
    </row>
    <row r="22" customFormat="false" ht="14.25" hidden="false" customHeight="true" outlineLevel="0" collapsed="false">
      <c r="A22" s="28" t="s">
        <v>81</v>
      </c>
      <c r="B22" s="1" t="n">
        <v>26</v>
      </c>
      <c r="C22" s="29" t="str">
        <f aca="false">IFERROR(INDEX('NetSuite_מקור'!$D:$D,MATCH(A22,'NetSuite_מקור'!$A:$A,0)),"")</f>
        <v/>
      </c>
    </row>
    <row r="23" customFormat="false" ht="14.25" hidden="false" customHeight="true" outlineLevel="0" collapsed="false">
      <c r="A23" s="28" t="s">
        <v>82</v>
      </c>
      <c r="B23" s="1" t="n">
        <v>27</v>
      </c>
      <c r="C23" s="29" t="str">
        <f aca="false">IFERROR(INDEX('NetSuite_מקור'!$D:$D,MATCH(A23,'NetSuite_מקור'!$A:$A,0)),"")</f>
        <v/>
      </c>
    </row>
    <row r="24" customFormat="false" ht="14.25" hidden="false" customHeight="true" outlineLevel="0" collapsed="false">
      <c r="A24" s="28" t="s">
        <v>83</v>
      </c>
      <c r="B24" s="1" t="n">
        <v>29</v>
      </c>
      <c r="C24" s="29" t="str">
        <f aca="false">IFERROR(INDEX('NetSuite_מקור'!$D:$D,MATCH(A24,'NetSuite_מקור'!$A:$A,0)),"")</f>
        <v/>
      </c>
    </row>
    <row r="25" customFormat="false" ht="14.25" hidden="false" customHeight="true" outlineLevel="0" collapsed="false">
      <c r="A25" s="28" t="s">
        <v>84</v>
      </c>
      <c r="B25" s="1" t="n">
        <v>30</v>
      </c>
      <c r="C25" s="29" t="str">
        <f aca="false">IFERROR(INDEX('NetSuite_מקור'!$D:$D,MATCH(A25,'NetSuite_מקור'!$A:$A,0)),"")</f>
        <v/>
      </c>
    </row>
    <row r="26" customFormat="false" ht="14.25" hidden="false" customHeight="true" outlineLevel="0" collapsed="false">
      <c r="A26" s="28" t="s">
        <v>85</v>
      </c>
      <c r="B26" s="1" t="n">
        <v>31</v>
      </c>
      <c r="C26" s="29" t="str">
        <f aca="false">IFERROR(INDEX('NetSuite_מקור'!$D:$D,MATCH(A26,'NetSuite_מקור'!$A:$A,0)),"")</f>
        <v/>
      </c>
    </row>
    <row r="27" customFormat="false" ht="14.25" hidden="false" customHeight="true" outlineLevel="0" collapsed="false">
      <c r="A27" s="28" t="s">
        <v>86</v>
      </c>
      <c r="B27" s="1" t="n">
        <v>32</v>
      </c>
      <c r="C27" s="29" t="str">
        <f aca="false">IFERROR(INDEX('NetSuite_מקור'!$D:$D,MATCH(A27,'NetSuite_מקור'!$A:$A,0)),"")</f>
        <v/>
      </c>
    </row>
    <row r="28" customFormat="false" ht="14.25" hidden="false" customHeight="true" outlineLevel="0" collapsed="false">
      <c r="A28" s="28" t="s">
        <v>87</v>
      </c>
      <c r="B28" s="1" t="n">
        <v>34</v>
      </c>
      <c r="C28" s="29" t="str">
        <f aca="false">IFERROR(INDEX('NetSuite_מקור'!$D:$D,MATCH(A28,'NetSuite_מקור'!$A:$A,0)),"")</f>
        <v/>
      </c>
    </row>
    <row r="29" customFormat="false" ht="14.25" hidden="false" customHeight="true" outlineLevel="0" collapsed="false">
      <c r="A29" s="28" t="s">
        <v>88</v>
      </c>
      <c r="B29" s="1" t="n">
        <v>35</v>
      </c>
      <c r="C29" s="29" t="str">
        <f aca="false">IFERROR(INDEX('NetSuite_מקור'!$D:$D,MATCH(A29,'NetSuite_מקור'!$A:$A,0)),"")</f>
        <v/>
      </c>
    </row>
    <row r="30" customFormat="false" ht="14.25" hidden="false" customHeight="true" outlineLevel="0" collapsed="false">
      <c r="A30" s="28" t="s">
        <v>89</v>
      </c>
      <c r="B30" s="1" t="n">
        <v>14</v>
      </c>
      <c r="C30" s="29" t="str">
        <f aca="false">IFERROR(INDEX('NetSuite_מקור'!$D:$D,MATCH(A30,'NetSuite_מקור'!$A:$A,0)),"")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90</v>
      </c>
      <c r="B1" s="24" t="s">
        <v>91</v>
      </c>
      <c r="C1" s="24" t="s">
        <v>47</v>
      </c>
      <c r="D1" s="24" t="s">
        <v>92</v>
      </c>
    </row>
    <row r="2" customFormat="false" ht="14.25" hidden="false" customHeight="true" outlineLevel="0" collapsed="false">
      <c r="A2" s="26" t="s">
        <v>48</v>
      </c>
      <c r="B2" s="27" t="n">
        <v>138960.6</v>
      </c>
      <c r="C2" s="27" t="n">
        <f aca="false">B2*0.91</f>
        <v>126454.146</v>
      </c>
      <c r="D2" s="30"/>
    </row>
    <row r="3" customFormat="false" ht="14.25" hidden="false" customHeight="true" outlineLevel="0" collapsed="false">
      <c r="A3" s="26" t="s">
        <v>49</v>
      </c>
      <c r="B3" s="27" t="n">
        <v>310.4</v>
      </c>
      <c r="C3" s="27" t="n">
        <f aca="false">B3*0.91</f>
        <v>282.464</v>
      </c>
      <c r="D3" s="30"/>
    </row>
    <row r="4" customFormat="false" ht="14.25" hidden="false" customHeight="true" outlineLevel="0" collapsed="false">
      <c r="A4" s="26" t="s">
        <v>50</v>
      </c>
      <c r="B4" s="27" t="n">
        <v>379060</v>
      </c>
      <c r="C4" s="27" t="n">
        <f aca="false">B4*0.91</f>
        <v>344944.6</v>
      </c>
      <c r="D4" s="30"/>
    </row>
    <row r="5" customFormat="false" ht="14.25" hidden="false" customHeight="true" outlineLevel="0" collapsed="false">
      <c r="A5" s="26" t="s">
        <v>51</v>
      </c>
      <c r="B5" s="27" t="n">
        <v>3608</v>
      </c>
      <c r="C5" s="27" t="n">
        <f aca="false">B5*0.91</f>
        <v>3283.28</v>
      </c>
      <c r="D5" s="30"/>
    </row>
    <row r="6" customFormat="false" ht="14.25" hidden="false" customHeight="true" outlineLevel="0" collapsed="false">
      <c r="A6" s="26" t="s">
        <v>54</v>
      </c>
      <c r="B6" s="27" t="n">
        <v>362.9</v>
      </c>
      <c r="C6" s="27" t="n">
        <f aca="false">B6*0.91</f>
        <v>330.239</v>
      </c>
      <c r="D6" s="30"/>
    </row>
    <row r="7" customFormat="false" ht="14.25" hidden="false" customHeight="true" outlineLevel="0" collapsed="false">
      <c r="A7" s="26" t="s">
        <v>59</v>
      </c>
      <c r="B7" s="27" t="n">
        <v>-797.7</v>
      </c>
      <c r="C7" s="27" t="n">
        <f aca="false">B7*0.91</f>
        <v>-725.907</v>
      </c>
      <c r="D7" s="30"/>
    </row>
    <row r="8" customFormat="false" ht="14.25" hidden="false" customHeight="true" outlineLevel="0" collapsed="false">
      <c r="A8" s="26" t="s">
        <v>3</v>
      </c>
      <c r="B8" s="27" t="n">
        <v>325992.5</v>
      </c>
      <c r="C8" s="27" t="n">
        <f aca="false">B8*0.91</f>
        <v>296653.175</v>
      </c>
      <c r="D8" s="30"/>
    </row>
    <row r="9" customFormat="false" ht="14.25" hidden="false" customHeight="true" outlineLevel="0" collapsed="false">
      <c r="A9" s="26" t="s">
        <v>55</v>
      </c>
      <c r="B9" s="27" t="n">
        <v>49022.6</v>
      </c>
      <c r="C9" s="27" t="n">
        <f aca="false">B9*0.91</f>
        <v>44610.566</v>
      </c>
    </row>
    <row r="10" customFormat="false" ht="14.25" hidden="false" customHeight="true" outlineLevel="0" collapsed="false">
      <c r="A10" s="26" t="s">
        <v>57</v>
      </c>
      <c r="B10" s="27" t="n">
        <v>47989.3</v>
      </c>
      <c r="C10" s="27" t="n">
        <f aca="false">B10*0.91</f>
        <v>43670.263</v>
      </c>
    </row>
    <row r="11" customFormat="false" ht="14.25" hidden="false" customHeight="true" outlineLevel="0" collapsed="false">
      <c r="A11" s="1" t="s">
        <v>52</v>
      </c>
      <c r="B11" s="1" t="n">
        <v>871.9</v>
      </c>
      <c r="C11" s="1" t="n">
        <f aca="false">B11*0.91</f>
        <v>793.429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93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62</v>
      </c>
      <c r="D3" s="29" t="n">
        <v>45788.74</v>
      </c>
    </row>
    <row r="4" customFormat="false" ht="15" hidden="false" customHeight="true" outlineLevel="0" collapsed="false">
      <c r="A4" s="26" t="s">
        <v>64</v>
      </c>
      <c r="D4" s="29" t="n">
        <v>9272.69</v>
      </c>
    </row>
    <row r="5" customFormat="false" ht="15" hidden="false" customHeight="true" outlineLevel="0" collapsed="false">
      <c r="A5" s="26" t="s">
        <v>65</v>
      </c>
      <c r="D5" s="29" t="n">
        <v>4935.24</v>
      </c>
    </row>
    <row r="6" customFormat="false" ht="15" hidden="false" customHeight="true" outlineLevel="0" collapsed="false">
      <c r="A6" s="26" t="s">
        <v>63</v>
      </c>
      <c r="D6" s="29" t="n">
        <v>193941.5</v>
      </c>
    </row>
    <row r="7" customFormat="false" ht="15" hidden="false" customHeight="true" outlineLevel="0" collapsed="false">
      <c r="A7" s="26" t="s">
        <v>66</v>
      </c>
      <c r="D7" s="29" t="n">
        <v>5538.29</v>
      </c>
    </row>
    <row r="8" customFormat="false" ht="15" hidden="false" customHeight="true" outlineLevel="0" collapsed="false">
      <c r="A8" s="26" t="s">
        <v>67</v>
      </c>
      <c r="D8" s="29" t="n">
        <v>10183.77</v>
      </c>
    </row>
    <row r="9" customFormat="false" ht="15" hidden="false" customHeight="true" outlineLevel="0" collapsed="false">
      <c r="A9" s="26" t="s">
        <v>70</v>
      </c>
      <c r="D9" s="29" t="n">
        <v>175443.7</v>
      </c>
    </row>
    <row r="10" customFormat="false" ht="14.25" hidden="false" customHeight="true" outlineLevel="0" collapsed="false">
      <c r="A10" s="26" t="s">
        <v>71</v>
      </c>
      <c r="D10" s="29" t="n">
        <v>275743.41</v>
      </c>
    </row>
    <row r="11" customFormat="false" ht="14.25" hidden="false" customHeight="true" outlineLevel="0" collapsed="false">
      <c r="A11" s="26" t="s">
        <v>72</v>
      </c>
      <c r="D11" s="29" t="n">
        <v>329.49</v>
      </c>
    </row>
    <row r="12" customFormat="false" ht="14.25" hidden="false" customHeight="true" outlineLevel="0" collapsed="false">
      <c r="A12" s="26" t="s">
        <v>73</v>
      </c>
      <c r="B12" s="31"/>
      <c r="C12" s="31"/>
      <c r="D12" s="29" t="n">
        <v>15160.58</v>
      </c>
      <c r="E12" s="32"/>
    </row>
    <row r="13" customFormat="false" ht="14.25" hidden="false" customHeight="true" outlineLevel="0" collapsed="false">
      <c r="A13" s="33" t="s">
        <v>75</v>
      </c>
      <c r="B13" s="31"/>
      <c r="C13" s="31"/>
      <c r="D13" s="34" t="n">
        <v>25430.19</v>
      </c>
      <c r="E13" s="32"/>
    </row>
    <row r="14" customFormat="false" ht="14.25" hidden="false" customHeight="true" outlineLevel="0" collapsed="false">
      <c r="A14" s="26" t="s">
        <v>79</v>
      </c>
      <c r="D14" s="27" t="n">
        <v>51223.23</v>
      </c>
    </row>
    <row r="15" customFormat="false" ht="14.25" hidden="false" customHeight="true" outlineLevel="0" collapsed="false">
      <c r="A15" s="26" t="s">
        <v>68</v>
      </c>
      <c r="D15" s="27" t="n">
        <v>3512.91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97</v>
      </c>
      <c r="B2" s="24" t="s">
        <v>98</v>
      </c>
      <c r="C2" s="24" t="s">
        <v>92</v>
      </c>
    </row>
    <row r="3" customFormat="false" ht="15" hidden="false" customHeight="true" outlineLevel="0" collapsed="false">
      <c r="A3" s="26" t="s">
        <v>95</v>
      </c>
      <c r="B3" s="27" t="n">
        <v>54893.67</v>
      </c>
      <c r="C3" s="30" t="s">
        <v>99</v>
      </c>
    </row>
    <row r="4" customFormat="false" ht="15" hidden="false" customHeight="true" outlineLevel="0" collapsed="false">
      <c r="A4" s="26" t="s">
        <v>100</v>
      </c>
      <c r="B4" s="27" t="n">
        <v>-4728.96</v>
      </c>
      <c r="C4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2026-09-24T06:14:13Z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